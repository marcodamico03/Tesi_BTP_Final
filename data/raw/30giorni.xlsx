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damico/Desktop/tesi/test/excel/"/>
    </mc:Choice>
  </mc:AlternateContent>
  <xr:revisionPtr revIDLastSave="0" documentId="13_ncr:1_{CF2C13D1-614C-0F43-8188-DA8E5426F021}" xr6:coauthVersionLast="47" xr6:coauthVersionMax="47" xr10:uidLastSave="{00000000-0000-0000-0000-000000000000}"/>
  <bookViews>
    <workbookView xWindow="0" yWindow="500" windowWidth="25600" windowHeight="14160" xr2:uid="{CD96CE4B-6879-C244-BA49-42D6ABA0F0A8}"/>
  </bookViews>
  <sheets>
    <sheet name="aprile" sheetId="43" r:id="rId1"/>
    <sheet name="maggio" sheetId="8" r:id="rId2"/>
    <sheet name="no109" sheetId="32" r:id="rId3"/>
    <sheet name="singolo" sheetId="31" r:id="rId4"/>
    <sheet name="15a" sheetId="42" r:id="rId5"/>
    <sheet name="16a" sheetId="41" r:id="rId6"/>
    <sheet name="17a" sheetId="40" r:id="rId7"/>
    <sheet name="22a" sheetId="39" r:id="rId8"/>
    <sheet name="23a" sheetId="38" r:id="rId9"/>
    <sheet name="24a" sheetId="37" r:id="rId10"/>
    <sheet name="25a" sheetId="36" r:id="rId11"/>
    <sheet name="28" sheetId="10" r:id="rId12"/>
    <sheet name="29" sheetId="11" r:id="rId13"/>
    <sheet name="30" sheetId="12" r:id="rId14"/>
    <sheet name="2" sheetId="13" r:id="rId15"/>
    <sheet name="5" sheetId="14" r:id="rId16"/>
    <sheet name="6" sheetId="15" r:id="rId17"/>
    <sheet name="7" sheetId="16" r:id="rId18"/>
    <sheet name="8" sheetId="18" r:id="rId19"/>
    <sheet name="9" sheetId="17" r:id="rId20"/>
    <sheet name="12" sheetId="19" r:id="rId21"/>
    <sheet name="13" sheetId="20" r:id="rId22"/>
    <sheet name="14" sheetId="21" r:id="rId23"/>
    <sheet name="15" sheetId="22" r:id="rId24"/>
    <sheet name="16" sheetId="23" r:id="rId25"/>
    <sheet name="19" sheetId="24" r:id="rId26"/>
    <sheet name="20" sheetId="25" r:id="rId27"/>
    <sheet name="21" sheetId="26" r:id="rId28"/>
    <sheet name="22" sheetId="27" r:id="rId29"/>
    <sheet name="23" sheetId="28" r:id="rId30"/>
    <sheet name="26" sheetId="29" r:id="rId31"/>
    <sheet name="27" sheetId="30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0" i="43" l="1"/>
  <c r="AH110" i="43"/>
  <c r="AG110" i="43"/>
  <c r="AF110" i="43"/>
  <c r="AC110" i="43"/>
  <c r="AB110" i="43"/>
  <c r="AA110" i="43"/>
  <c r="Z110" i="43"/>
  <c r="Y110" i="43"/>
  <c r="V110" i="43"/>
  <c r="T110" i="43"/>
  <c r="S110" i="43"/>
  <c r="R110" i="43"/>
  <c r="N110" i="43"/>
  <c r="M110" i="43"/>
  <c r="L110" i="43"/>
  <c r="G110" i="43"/>
  <c r="F110" i="43"/>
  <c r="E110" i="43"/>
  <c r="AI109" i="43"/>
  <c r="AH109" i="43"/>
  <c r="AG109" i="43"/>
  <c r="AF109" i="43"/>
  <c r="AC109" i="43"/>
  <c r="AB109" i="43"/>
  <c r="AA109" i="43"/>
  <c r="Z109" i="43"/>
  <c r="Y109" i="43"/>
  <c r="V109" i="43"/>
  <c r="T109" i="43"/>
  <c r="S109" i="43"/>
  <c r="R109" i="43"/>
  <c r="N109" i="43"/>
  <c r="M109" i="43"/>
  <c r="L109" i="43"/>
  <c r="G109" i="43"/>
  <c r="F109" i="43"/>
  <c r="E109" i="43"/>
  <c r="AI108" i="43"/>
  <c r="AH108" i="43"/>
  <c r="AG108" i="43"/>
  <c r="AF108" i="43"/>
  <c r="AC108" i="43"/>
  <c r="AB108" i="43"/>
  <c r="AA108" i="43"/>
  <c r="Z108" i="43"/>
  <c r="Y108" i="43"/>
  <c r="V108" i="43"/>
  <c r="T108" i="43"/>
  <c r="S108" i="43"/>
  <c r="R108" i="43"/>
  <c r="N108" i="43"/>
  <c r="M108" i="43"/>
  <c r="L108" i="43"/>
  <c r="G108" i="43"/>
  <c r="F108" i="43"/>
  <c r="E108" i="43"/>
  <c r="AI107" i="43"/>
  <c r="AH107" i="43"/>
  <c r="AG107" i="43"/>
  <c r="AF107" i="43"/>
  <c r="AC107" i="43"/>
  <c r="AB107" i="43"/>
  <c r="AA107" i="43"/>
  <c r="Z107" i="43"/>
  <c r="Y107" i="43"/>
  <c r="V107" i="43"/>
  <c r="T107" i="43"/>
  <c r="S107" i="43"/>
  <c r="R107" i="43"/>
  <c r="N107" i="43"/>
  <c r="M107" i="43"/>
  <c r="L107" i="43"/>
  <c r="G107" i="43"/>
  <c r="F107" i="43"/>
  <c r="E107" i="43"/>
  <c r="AI106" i="43"/>
  <c r="AH106" i="43"/>
  <c r="AG106" i="43"/>
  <c r="AF106" i="43"/>
  <c r="AC106" i="43"/>
  <c r="AB106" i="43"/>
  <c r="AA106" i="43"/>
  <c r="Z106" i="43"/>
  <c r="Y106" i="43"/>
  <c r="V106" i="43"/>
  <c r="T106" i="43"/>
  <c r="S106" i="43"/>
  <c r="R106" i="43"/>
  <c r="N106" i="43"/>
  <c r="M106" i="43"/>
  <c r="L106" i="43"/>
  <c r="G106" i="43"/>
  <c r="F106" i="43"/>
  <c r="E106" i="43"/>
  <c r="AI105" i="43"/>
  <c r="AH105" i="43"/>
  <c r="AG105" i="43"/>
  <c r="AF105" i="43"/>
  <c r="AC105" i="43"/>
  <c r="AB105" i="43"/>
  <c r="AA105" i="43"/>
  <c r="Z105" i="43"/>
  <c r="Y105" i="43"/>
  <c r="V105" i="43"/>
  <c r="T105" i="43"/>
  <c r="S105" i="43"/>
  <c r="R105" i="43"/>
  <c r="N105" i="43"/>
  <c r="M105" i="43"/>
  <c r="L105" i="43"/>
  <c r="G105" i="43"/>
  <c r="F105" i="43"/>
  <c r="E105" i="43"/>
  <c r="AI104" i="43"/>
  <c r="AH104" i="43"/>
  <c r="AG104" i="43"/>
  <c r="AF104" i="43"/>
  <c r="AC104" i="43"/>
  <c r="AB104" i="43"/>
  <c r="AA104" i="43"/>
  <c r="Z104" i="43"/>
  <c r="Y104" i="43"/>
  <c r="V104" i="43"/>
  <c r="T104" i="43"/>
  <c r="S104" i="43"/>
  <c r="R104" i="43"/>
  <c r="N104" i="43"/>
  <c r="M104" i="43"/>
  <c r="L104" i="43"/>
  <c r="G104" i="43"/>
  <c r="F104" i="43"/>
  <c r="E104" i="43"/>
  <c r="AI103" i="43"/>
  <c r="AH103" i="43"/>
  <c r="AG103" i="43"/>
  <c r="AF103" i="43"/>
  <c r="AC103" i="43"/>
  <c r="AB103" i="43"/>
  <c r="AA103" i="43"/>
  <c r="Z103" i="43"/>
  <c r="Y103" i="43"/>
  <c r="V103" i="43"/>
  <c r="T103" i="43"/>
  <c r="S103" i="43"/>
  <c r="R103" i="43"/>
  <c r="N103" i="43"/>
  <c r="M103" i="43"/>
  <c r="L103" i="43"/>
  <c r="G103" i="43"/>
  <c r="F103" i="43"/>
  <c r="E103" i="43"/>
  <c r="AI102" i="43"/>
  <c r="AH102" i="43"/>
  <c r="AG102" i="43"/>
  <c r="AF102" i="43"/>
  <c r="AC102" i="43"/>
  <c r="AB102" i="43"/>
  <c r="AA102" i="43"/>
  <c r="Z102" i="43"/>
  <c r="Y102" i="43"/>
  <c r="V102" i="43"/>
  <c r="T102" i="43"/>
  <c r="S102" i="43"/>
  <c r="R102" i="43"/>
  <c r="N102" i="43"/>
  <c r="M102" i="43"/>
  <c r="L102" i="43"/>
  <c r="G102" i="43"/>
  <c r="F102" i="43"/>
  <c r="E102" i="43"/>
  <c r="AI101" i="43"/>
  <c r="AH101" i="43"/>
  <c r="AG101" i="43"/>
  <c r="AF101" i="43"/>
  <c r="AC101" i="43"/>
  <c r="AB101" i="43"/>
  <c r="AA101" i="43"/>
  <c r="Z101" i="43"/>
  <c r="Y101" i="43"/>
  <c r="V101" i="43"/>
  <c r="T101" i="43"/>
  <c r="S101" i="43"/>
  <c r="R101" i="43"/>
  <c r="N101" i="43"/>
  <c r="M101" i="43"/>
  <c r="L101" i="43"/>
  <c r="G101" i="43"/>
  <c r="F101" i="43"/>
  <c r="E101" i="43"/>
  <c r="AI100" i="43"/>
  <c r="AH100" i="43"/>
  <c r="AG100" i="43"/>
  <c r="AF100" i="43"/>
  <c r="AC100" i="43"/>
  <c r="AB100" i="43"/>
  <c r="AA100" i="43"/>
  <c r="Z100" i="43"/>
  <c r="Y100" i="43"/>
  <c r="V100" i="43"/>
  <c r="T100" i="43"/>
  <c r="S100" i="43"/>
  <c r="R100" i="43"/>
  <c r="N100" i="43"/>
  <c r="M100" i="43"/>
  <c r="L100" i="43"/>
  <c r="G100" i="43"/>
  <c r="F100" i="43"/>
  <c r="E100" i="43"/>
  <c r="AI99" i="43"/>
  <c r="AH99" i="43"/>
  <c r="AG99" i="43"/>
  <c r="AF99" i="43"/>
  <c r="AC99" i="43"/>
  <c r="AB99" i="43"/>
  <c r="AA99" i="43"/>
  <c r="Z99" i="43"/>
  <c r="Y99" i="43"/>
  <c r="V99" i="43"/>
  <c r="T99" i="43"/>
  <c r="S99" i="43"/>
  <c r="R99" i="43"/>
  <c r="N99" i="43"/>
  <c r="M99" i="43"/>
  <c r="L99" i="43"/>
  <c r="G99" i="43"/>
  <c r="F99" i="43"/>
  <c r="E99" i="43"/>
  <c r="AI98" i="43"/>
  <c r="AH98" i="43"/>
  <c r="AG98" i="43"/>
  <c r="AF98" i="43"/>
  <c r="AC98" i="43"/>
  <c r="AB98" i="43"/>
  <c r="AA98" i="43"/>
  <c r="Z98" i="43"/>
  <c r="Y98" i="43"/>
  <c r="V98" i="43"/>
  <c r="T98" i="43"/>
  <c r="S98" i="43"/>
  <c r="R98" i="43"/>
  <c r="N98" i="43"/>
  <c r="M98" i="43"/>
  <c r="L98" i="43"/>
  <c r="G98" i="43"/>
  <c r="F98" i="43"/>
  <c r="E98" i="43"/>
  <c r="AI97" i="43"/>
  <c r="AH97" i="43"/>
  <c r="AG97" i="43"/>
  <c r="AF97" i="43"/>
  <c r="AC97" i="43"/>
  <c r="AB97" i="43"/>
  <c r="AA97" i="43"/>
  <c r="Z97" i="43"/>
  <c r="Y97" i="43"/>
  <c r="V97" i="43"/>
  <c r="T97" i="43"/>
  <c r="S97" i="43"/>
  <c r="R97" i="43"/>
  <c r="N97" i="43"/>
  <c r="M97" i="43"/>
  <c r="L97" i="43"/>
  <c r="G97" i="43"/>
  <c r="F97" i="43"/>
  <c r="E97" i="43"/>
  <c r="AI96" i="43"/>
  <c r="AH96" i="43"/>
  <c r="AG96" i="43"/>
  <c r="AF96" i="43"/>
  <c r="AC96" i="43"/>
  <c r="AB96" i="43"/>
  <c r="AA96" i="43"/>
  <c r="Z96" i="43"/>
  <c r="Y96" i="43"/>
  <c r="V96" i="43"/>
  <c r="T96" i="43"/>
  <c r="S96" i="43"/>
  <c r="R96" i="43"/>
  <c r="N96" i="43"/>
  <c r="M96" i="43"/>
  <c r="L96" i="43"/>
  <c r="G96" i="43"/>
  <c r="F96" i="43"/>
  <c r="E96" i="43"/>
  <c r="AI95" i="43"/>
  <c r="AH95" i="43"/>
  <c r="AG95" i="43"/>
  <c r="AF95" i="43"/>
  <c r="AC95" i="43"/>
  <c r="AB95" i="43"/>
  <c r="AA95" i="43"/>
  <c r="Z95" i="43"/>
  <c r="Y95" i="43"/>
  <c r="V95" i="43"/>
  <c r="T95" i="43"/>
  <c r="S95" i="43"/>
  <c r="R95" i="43"/>
  <c r="N95" i="43"/>
  <c r="M95" i="43"/>
  <c r="L95" i="43"/>
  <c r="G95" i="43"/>
  <c r="F95" i="43"/>
  <c r="E95" i="43"/>
  <c r="AI94" i="43"/>
  <c r="AH94" i="43"/>
  <c r="AG94" i="43"/>
  <c r="AF94" i="43"/>
  <c r="AC94" i="43"/>
  <c r="AB94" i="43"/>
  <c r="AA94" i="43"/>
  <c r="Z94" i="43"/>
  <c r="Y94" i="43"/>
  <c r="V94" i="43"/>
  <c r="T94" i="43"/>
  <c r="S94" i="43"/>
  <c r="R94" i="43"/>
  <c r="N94" i="43"/>
  <c r="M94" i="43"/>
  <c r="L94" i="43"/>
  <c r="G94" i="43"/>
  <c r="F94" i="43"/>
  <c r="E94" i="43"/>
  <c r="AI93" i="43"/>
  <c r="AH93" i="43"/>
  <c r="AG93" i="43"/>
  <c r="AF93" i="43"/>
  <c r="AC93" i="43"/>
  <c r="AB93" i="43"/>
  <c r="AA93" i="43"/>
  <c r="Z93" i="43"/>
  <c r="Y93" i="43"/>
  <c r="V93" i="43"/>
  <c r="T93" i="43"/>
  <c r="S93" i="43"/>
  <c r="R93" i="43"/>
  <c r="N93" i="43"/>
  <c r="M93" i="43"/>
  <c r="L93" i="43"/>
  <c r="G93" i="43"/>
  <c r="F93" i="43"/>
  <c r="E93" i="43"/>
  <c r="AI92" i="43"/>
  <c r="AH92" i="43"/>
  <c r="AG92" i="43"/>
  <c r="AF92" i="43"/>
  <c r="AC92" i="43"/>
  <c r="AB92" i="43"/>
  <c r="AA92" i="43"/>
  <c r="Z92" i="43"/>
  <c r="Y92" i="43"/>
  <c r="V92" i="43"/>
  <c r="T92" i="43"/>
  <c r="S92" i="43"/>
  <c r="R92" i="43"/>
  <c r="N92" i="43"/>
  <c r="M92" i="43"/>
  <c r="L92" i="43"/>
  <c r="G92" i="43"/>
  <c r="F92" i="43"/>
  <c r="E92" i="43"/>
  <c r="AI91" i="43"/>
  <c r="AH91" i="43"/>
  <c r="AG91" i="43"/>
  <c r="AF91" i="43"/>
  <c r="AC91" i="43"/>
  <c r="AB91" i="43"/>
  <c r="AA91" i="43"/>
  <c r="Z91" i="43"/>
  <c r="Y91" i="43"/>
  <c r="V91" i="43"/>
  <c r="T91" i="43"/>
  <c r="S91" i="43"/>
  <c r="R91" i="43"/>
  <c r="N91" i="43"/>
  <c r="M91" i="43"/>
  <c r="L91" i="43"/>
  <c r="G91" i="43"/>
  <c r="F91" i="43"/>
  <c r="E91" i="43"/>
  <c r="AI90" i="43"/>
  <c r="AH90" i="43"/>
  <c r="AG90" i="43"/>
  <c r="AF90" i="43"/>
  <c r="AC90" i="43"/>
  <c r="AB90" i="43"/>
  <c r="AA90" i="43"/>
  <c r="Z90" i="43"/>
  <c r="Y90" i="43"/>
  <c r="V90" i="43"/>
  <c r="T90" i="43"/>
  <c r="S90" i="43"/>
  <c r="R90" i="43"/>
  <c r="N90" i="43"/>
  <c r="M90" i="43"/>
  <c r="L90" i="43"/>
  <c r="G90" i="43"/>
  <c r="F90" i="43"/>
  <c r="E90" i="43"/>
  <c r="AI89" i="43"/>
  <c r="AH89" i="43"/>
  <c r="AG89" i="43"/>
  <c r="AF89" i="43"/>
  <c r="AC89" i="43"/>
  <c r="AB89" i="43"/>
  <c r="AA89" i="43"/>
  <c r="Z89" i="43"/>
  <c r="Y89" i="43"/>
  <c r="V89" i="43"/>
  <c r="T89" i="43"/>
  <c r="S89" i="43"/>
  <c r="R89" i="43"/>
  <c r="N89" i="43"/>
  <c r="M89" i="43"/>
  <c r="L89" i="43"/>
  <c r="G89" i="43"/>
  <c r="F89" i="43"/>
  <c r="E89" i="43"/>
  <c r="AI88" i="43"/>
  <c r="AH88" i="43"/>
  <c r="AG88" i="43"/>
  <c r="AF88" i="43"/>
  <c r="AC88" i="43"/>
  <c r="AB88" i="43"/>
  <c r="AA88" i="43"/>
  <c r="Z88" i="43"/>
  <c r="Y88" i="43"/>
  <c r="V88" i="43"/>
  <c r="T88" i="43"/>
  <c r="S88" i="43"/>
  <c r="R88" i="43"/>
  <c r="N88" i="43"/>
  <c r="M88" i="43"/>
  <c r="L88" i="43"/>
  <c r="G88" i="43"/>
  <c r="F88" i="43"/>
  <c r="E88" i="43"/>
  <c r="AI87" i="43"/>
  <c r="AH87" i="43"/>
  <c r="AG87" i="43"/>
  <c r="AF87" i="43"/>
  <c r="AC87" i="43"/>
  <c r="AB87" i="43"/>
  <c r="AA87" i="43"/>
  <c r="Z87" i="43"/>
  <c r="Y87" i="43"/>
  <c r="V87" i="43"/>
  <c r="T87" i="43"/>
  <c r="S87" i="43"/>
  <c r="R87" i="43"/>
  <c r="N87" i="43"/>
  <c r="M87" i="43"/>
  <c r="L87" i="43"/>
  <c r="G87" i="43"/>
  <c r="F87" i="43"/>
  <c r="E87" i="43"/>
  <c r="AI86" i="43"/>
  <c r="AH86" i="43"/>
  <c r="AG86" i="43"/>
  <c r="AF86" i="43"/>
  <c r="AC86" i="43"/>
  <c r="AB86" i="43"/>
  <c r="AA86" i="43"/>
  <c r="Z86" i="43"/>
  <c r="Y86" i="43"/>
  <c r="V86" i="43"/>
  <c r="T86" i="43"/>
  <c r="S86" i="43"/>
  <c r="R86" i="43"/>
  <c r="N86" i="43"/>
  <c r="M86" i="43"/>
  <c r="L86" i="43"/>
  <c r="G86" i="43"/>
  <c r="F86" i="43"/>
  <c r="E86" i="43"/>
  <c r="AI85" i="43"/>
  <c r="AH85" i="43"/>
  <c r="AG85" i="43"/>
  <c r="AF85" i="43"/>
  <c r="AC85" i="43"/>
  <c r="AB85" i="43"/>
  <c r="AA85" i="43"/>
  <c r="Z85" i="43"/>
  <c r="Y85" i="43"/>
  <c r="V85" i="43"/>
  <c r="T85" i="43"/>
  <c r="S85" i="43"/>
  <c r="R85" i="43"/>
  <c r="N85" i="43"/>
  <c r="M85" i="43"/>
  <c r="L85" i="43"/>
  <c r="G85" i="43"/>
  <c r="F85" i="43"/>
  <c r="E85" i="43"/>
  <c r="AI84" i="43"/>
  <c r="AH84" i="43"/>
  <c r="AG84" i="43"/>
  <c r="AF84" i="43"/>
  <c r="AC84" i="43"/>
  <c r="AB84" i="43"/>
  <c r="AA84" i="43"/>
  <c r="Z84" i="43"/>
  <c r="Y84" i="43"/>
  <c r="V84" i="43"/>
  <c r="T84" i="43"/>
  <c r="S84" i="43"/>
  <c r="R84" i="43"/>
  <c r="N84" i="43"/>
  <c r="M84" i="43"/>
  <c r="L84" i="43"/>
  <c r="G84" i="43"/>
  <c r="F84" i="43"/>
  <c r="E84" i="43"/>
  <c r="AI83" i="43"/>
  <c r="AH83" i="43"/>
  <c r="AG83" i="43"/>
  <c r="AF83" i="43"/>
  <c r="AC83" i="43"/>
  <c r="AB83" i="43"/>
  <c r="AA83" i="43"/>
  <c r="Z83" i="43"/>
  <c r="Y83" i="43"/>
  <c r="V83" i="43"/>
  <c r="T83" i="43"/>
  <c r="S83" i="43"/>
  <c r="R83" i="43"/>
  <c r="N83" i="43"/>
  <c r="M83" i="43"/>
  <c r="L83" i="43"/>
  <c r="G83" i="43"/>
  <c r="F83" i="43"/>
  <c r="E83" i="43"/>
  <c r="AI82" i="43"/>
  <c r="AH82" i="43"/>
  <c r="AG82" i="43"/>
  <c r="AF82" i="43"/>
  <c r="AC82" i="43"/>
  <c r="AB82" i="43"/>
  <c r="AA82" i="43"/>
  <c r="Z82" i="43"/>
  <c r="Y82" i="43"/>
  <c r="V82" i="43"/>
  <c r="T82" i="43"/>
  <c r="S82" i="43"/>
  <c r="R82" i="43"/>
  <c r="N82" i="43"/>
  <c r="M82" i="43"/>
  <c r="L82" i="43"/>
  <c r="G82" i="43"/>
  <c r="F82" i="43"/>
  <c r="E82" i="43"/>
  <c r="AI81" i="43"/>
  <c r="AH81" i="43"/>
  <c r="AG81" i="43"/>
  <c r="AF81" i="43"/>
  <c r="AC81" i="43"/>
  <c r="AB81" i="43"/>
  <c r="AA81" i="43"/>
  <c r="Z81" i="43"/>
  <c r="Y81" i="43"/>
  <c r="V81" i="43"/>
  <c r="T81" i="43"/>
  <c r="S81" i="43"/>
  <c r="R81" i="43"/>
  <c r="N81" i="43"/>
  <c r="M81" i="43"/>
  <c r="L81" i="43"/>
  <c r="G81" i="43"/>
  <c r="F81" i="43"/>
  <c r="E81" i="43"/>
  <c r="AI80" i="43"/>
  <c r="AH80" i="43"/>
  <c r="AG80" i="43"/>
  <c r="AF80" i="43"/>
  <c r="AC80" i="43"/>
  <c r="AB80" i="43"/>
  <c r="AA80" i="43"/>
  <c r="Z80" i="43"/>
  <c r="Y80" i="43"/>
  <c r="V80" i="43"/>
  <c r="T80" i="43"/>
  <c r="S80" i="43"/>
  <c r="R80" i="43"/>
  <c r="N80" i="43"/>
  <c r="M80" i="43"/>
  <c r="L80" i="43"/>
  <c r="G80" i="43"/>
  <c r="F80" i="43"/>
  <c r="E80" i="43"/>
  <c r="AI79" i="43"/>
  <c r="AH79" i="43"/>
  <c r="AG79" i="43"/>
  <c r="AF79" i="43"/>
  <c r="AC79" i="43"/>
  <c r="AB79" i="43"/>
  <c r="AA79" i="43"/>
  <c r="Z79" i="43"/>
  <c r="Y79" i="43"/>
  <c r="V79" i="43"/>
  <c r="T79" i="43"/>
  <c r="S79" i="43"/>
  <c r="R79" i="43"/>
  <c r="N79" i="43"/>
  <c r="M79" i="43"/>
  <c r="L79" i="43"/>
  <c r="G79" i="43"/>
  <c r="F79" i="43"/>
  <c r="E79" i="43"/>
  <c r="AI78" i="43"/>
  <c r="AH78" i="43"/>
  <c r="AG78" i="43"/>
  <c r="AF78" i="43"/>
  <c r="AC78" i="43"/>
  <c r="AB78" i="43"/>
  <c r="AA78" i="43"/>
  <c r="Z78" i="43"/>
  <c r="Y78" i="43"/>
  <c r="V78" i="43"/>
  <c r="T78" i="43"/>
  <c r="S78" i="43"/>
  <c r="R78" i="43"/>
  <c r="N78" i="43"/>
  <c r="M78" i="43"/>
  <c r="L78" i="43"/>
  <c r="G78" i="43"/>
  <c r="F78" i="43"/>
  <c r="E78" i="43"/>
  <c r="AI77" i="43"/>
  <c r="AH77" i="43"/>
  <c r="AG77" i="43"/>
  <c r="AF77" i="43"/>
  <c r="AC77" i="43"/>
  <c r="AB77" i="43"/>
  <c r="AA77" i="43"/>
  <c r="Z77" i="43"/>
  <c r="Y77" i="43"/>
  <c r="V77" i="43"/>
  <c r="T77" i="43"/>
  <c r="S77" i="43"/>
  <c r="R77" i="43"/>
  <c r="N77" i="43"/>
  <c r="M77" i="43"/>
  <c r="L77" i="43"/>
  <c r="G77" i="43"/>
  <c r="F77" i="43"/>
  <c r="E77" i="43"/>
  <c r="AI76" i="43"/>
  <c r="AH76" i="43"/>
  <c r="AG76" i="43"/>
  <c r="AF76" i="43"/>
  <c r="AC76" i="43"/>
  <c r="AB76" i="43"/>
  <c r="AA76" i="43"/>
  <c r="Z76" i="43"/>
  <c r="Y76" i="43"/>
  <c r="V76" i="43"/>
  <c r="T76" i="43"/>
  <c r="S76" i="43"/>
  <c r="R76" i="43"/>
  <c r="N76" i="43"/>
  <c r="M76" i="43"/>
  <c r="L76" i="43"/>
  <c r="G76" i="43"/>
  <c r="F76" i="43"/>
  <c r="E76" i="43"/>
  <c r="AI75" i="43"/>
  <c r="AH75" i="43"/>
  <c r="AG75" i="43"/>
  <c r="AF75" i="43"/>
  <c r="AC75" i="43"/>
  <c r="AB75" i="43"/>
  <c r="AA75" i="43"/>
  <c r="Z75" i="43"/>
  <c r="Y75" i="43"/>
  <c r="V75" i="43"/>
  <c r="T75" i="43"/>
  <c r="S75" i="43"/>
  <c r="R75" i="43"/>
  <c r="N75" i="43"/>
  <c r="M75" i="43"/>
  <c r="L75" i="43"/>
  <c r="G75" i="43"/>
  <c r="F75" i="43"/>
  <c r="E75" i="43"/>
  <c r="AI74" i="43"/>
  <c r="AH74" i="43"/>
  <c r="AG74" i="43"/>
  <c r="AF74" i="43"/>
  <c r="AC74" i="43"/>
  <c r="AB74" i="43"/>
  <c r="AA74" i="43"/>
  <c r="Z74" i="43"/>
  <c r="Y74" i="43"/>
  <c r="V74" i="43"/>
  <c r="T74" i="43"/>
  <c r="S74" i="43"/>
  <c r="R74" i="43"/>
  <c r="N74" i="43"/>
  <c r="M74" i="43"/>
  <c r="L74" i="43"/>
  <c r="G74" i="43"/>
  <c r="F74" i="43"/>
  <c r="E74" i="43"/>
  <c r="AI73" i="43"/>
  <c r="AH73" i="43"/>
  <c r="AG73" i="43"/>
  <c r="AF73" i="43"/>
  <c r="AC73" i="43"/>
  <c r="AB73" i="43"/>
  <c r="AA73" i="43"/>
  <c r="Z73" i="43"/>
  <c r="Y73" i="43"/>
  <c r="V73" i="43"/>
  <c r="T73" i="43"/>
  <c r="S73" i="43"/>
  <c r="R73" i="43"/>
  <c r="N73" i="43"/>
  <c r="M73" i="43"/>
  <c r="L73" i="43"/>
  <c r="G73" i="43"/>
  <c r="F73" i="43"/>
  <c r="E73" i="43"/>
  <c r="AI72" i="43"/>
  <c r="AH72" i="43"/>
  <c r="AG72" i="43"/>
  <c r="AF72" i="43"/>
  <c r="AC72" i="43"/>
  <c r="AB72" i="43"/>
  <c r="AA72" i="43"/>
  <c r="Z72" i="43"/>
  <c r="Y72" i="43"/>
  <c r="V72" i="43"/>
  <c r="T72" i="43"/>
  <c r="S72" i="43"/>
  <c r="R72" i="43"/>
  <c r="N72" i="43"/>
  <c r="M72" i="43"/>
  <c r="L72" i="43"/>
  <c r="G72" i="43"/>
  <c r="F72" i="43"/>
  <c r="E72" i="43"/>
  <c r="AI71" i="43"/>
  <c r="AH71" i="43"/>
  <c r="AG71" i="43"/>
  <c r="AF71" i="43"/>
  <c r="AC71" i="43"/>
  <c r="AB71" i="43"/>
  <c r="AA71" i="43"/>
  <c r="Z71" i="43"/>
  <c r="Y71" i="43"/>
  <c r="V71" i="43"/>
  <c r="T71" i="43"/>
  <c r="S71" i="43"/>
  <c r="R71" i="43"/>
  <c r="N71" i="43"/>
  <c r="M71" i="43"/>
  <c r="L71" i="43"/>
  <c r="G71" i="43"/>
  <c r="F71" i="43"/>
  <c r="E71" i="43"/>
  <c r="AI70" i="43"/>
  <c r="AH70" i="43"/>
  <c r="AG70" i="43"/>
  <c r="AF70" i="43"/>
  <c r="AC70" i="43"/>
  <c r="AB70" i="43"/>
  <c r="AA70" i="43"/>
  <c r="Z70" i="43"/>
  <c r="Y70" i="43"/>
  <c r="V70" i="43"/>
  <c r="T70" i="43"/>
  <c r="S70" i="43"/>
  <c r="R70" i="43"/>
  <c r="N70" i="43"/>
  <c r="M70" i="43"/>
  <c r="L70" i="43"/>
  <c r="G70" i="43"/>
  <c r="F70" i="43"/>
  <c r="E70" i="43"/>
  <c r="AI69" i="43"/>
  <c r="AH69" i="43"/>
  <c r="AG69" i="43"/>
  <c r="AF69" i="43"/>
  <c r="AC69" i="43"/>
  <c r="AB69" i="43"/>
  <c r="AA69" i="43"/>
  <c r="Z69" i="43"/>
  <c r="Y69" i="43"/>
  <c r="V69" i="43"/>
  <c r="T69" i="43"/>
  <c r="S69" i="43"/>
  <c r="R69" i="43"/>
  <c r="N69" i="43"/>
  <c r="M69" i="43"/>
  <c r="L69" i="43"/>
  <c r="G69" i="43"/>
  <c r="F69" i="43"/>
  <c r="E69" i="43"/>
  <c r="AI68" i="43"/>
  <c r="AH68" i="43"/>
  <c r="AG68" i="43"/>
  <c r="AF68" i="43"/>
  <c r="AC68" i="43"/>
  <c r="AB68" i="43"/>
  <c r="AA68" i="43"/>
  <c r="Z68" i="43"/>
  <c r="Y68" i="43"/>
  <c r="V68" i="43"/>
  <c r="T68" i="43"/>
  <c r="S68" i="43"/>
  <c r="R68" i="43"/>
  <c r="N68" i="43"/>
  <c r="M68" i="43"/>
  <c r="L68" i="43"/>
  <c r="G68" i="43"/>
  <c r="F68" i="43"/>
  <c r="E68" i="43"/>
  <c r="AI67" i="43"/>
  <c r="AH67" i="43"/>
  <c r="AG67" i="43"/>
  <c r="AF67" i="43"/>
  <c r="AC67" i="43"/>
  <c r="AB67" i="43"/>
  <c r="AA67" i="43"/>
  <c r="Z67" i="43"/>
  <c r="Y67" i="43"/>
  <c r="V67" i="43"/>
  <c r="T67" i="43"/>
  <c r="S67" i="43"/>
  <c r="R67" i="43"/>
  <c r="N67" i="43"/>
  <c r="M67" i="43"/>
  <c r="L67" i="43"/>
  <c r="G67" i="43"/>
  <c r="F67" i="43"/>
  <c r="E67" i="43"/>
  <c r="AI66" i="43"/>
  <c r="AH66" i="43"/>
  <c r="AG66" i="43"/>
  <c r="AF66" i="43"/>
  <c r="AC66" i="43"/>
  <c r="AB66" i="43"/>
  <c r="AA66" i="43"/>
  <c r="Z66" i="43"/>
  <c r="Y66" i="43"/>
  <c r="V66" i="43"/>
  <c r="T66" i="43"/>
  <c r="S66" i="43"/>
  <c r="R66" i="43"/>
  <c r="N66" i="43"/>
  <c r="M66" i="43"/>
  <c r="L66" i="43"/>
  <c r="G66" i="43"/>
  <c r="F66" i="43"/>
  <c r="E66" i="43"/>
  <c r="AI65" i="43"/>
  <c r="AH65" i="43"/>
  <c r="AG65" i="43"/>
  <c r="AF65" i="43"/>
  <c r="AC65" i="43"/>
  <c r="AB65" i="43"/>
  <c r="AA65" i="43"/>
  <c r="Z65" i="43"/>
  <c r="Y65" i="43"/>
  <c r="V65" i="43"/>
  <c r="T65" i="43"/>
  <c r="S65" i="43"/>
  <c r="R65" i="43"/>
  <c r="N65" i="43"/>
  <c r="M65" i="43"/>
  <c r="L65" i="43"/>
  <c r="G65" i="43"/>
  <c r="F65" i="43"/>
  <c r="E65" i="43"/>
  <c r="AI64" i="43"/>
  <c r="AH64" i="43"/>
  <c r="AG64" i="43"/>
  <c r="AF64" i="43"/>
  <c r="AC64" i="43"/>
  <c r="AB64" i="43"/>
  <c r="AA64" i="43"/>
  <c r="Z64" i="43"/>
  <c r="Y64" i="43"/>
  <c r="V64" i="43"/>
  <c r="T64" i="43"/>
  <c r="S64" i="43"/>
  <c r="R64" i="43"/>
  <c r="N64" i="43"/>
  <c r="M64" i="43"/>
  <c r="L64" i="43"/>
  <c r="G64" i="43"/>
  <c r="F64" i="43"/>
  <c r="E64" i="43"/>
  <c r="AI63" i="43"/>
  <c r="AH63" i="43"/>
  <c r="AG63" i="43"/>
  <c r="AF63" i="43"/>
  <c r="AC63" i="43"/>
  <c r="AB63" i="43"/>
  <c r="AA63" i="43"/>
  <c r="Z63" i="43"/>
  <c r="Y63" i="43"/>
  <c r="V63" i="43"/>
  <c r="T63" i="43"/>
  <c r="S63" i="43"/>
  <c r="R63" i="43"/>
  <c r="N63" i="43"/>
  <c r="M63" i="43"/>
  <c r="L63" i="43"/>
  <c r="G63" i="43"/>
  <c r="F63" i="43"/>
  <c r="E63" i="43"/>
  <c r="AI62" i="43"/>
  <c r="AH62" i="43"/>
  <c r="AG62" i="43"/>
  <c r="AF62" i="43"/>
  <c r="AC62" i="43"/>
  <c r="AB62" i="43"/>
  <c r="AA62" i="43"/>
  <c r="Z62" i="43"/>
  <c r="Y62" i="43"/>
  <c r="V62" i="43"/>
  <c r="T62" i="43"/>
  <c r="S62" i="43"/>
  <c r="R62" i="43"/>
  <c r="N62" i="43"/>
  <c r="M62" i="43"/>
  <c r="L62" i="43"/>
  <c r="G62" i="43"/>
  <c r="F62" i="43"/>
  <c r="E62" i="43"/>
  <c r="AI61" i="43"/>
  <c r="AH61" i="43"/>
  <c r="AG61" i="43"/>
  <c r="AF61" i="43"/>
  <c r="AC61" i="43"/>
  <c r="AB61" i="43"/>
  <c r="AA61" i="43"/>
  <c r="Z61" i="43"/>
  <c r="Y61" i="43"/>
  <c r="V61" i="43"/>
  <c r="T61" i="43"/>
  <c r="S61" i="43"/>
  <c r="R61" i="43"/>
  <c r="N61" i="43"/>
  <c r="M61" i="43"/>
  <c r="L61" i="43"/>
  <c r="G61" i="43"/>
  <c r="F61" i="43"/>
  <c r="E61" i="43"/>
  <c r="AI60" i="43"/>
  <c r="AH60" i="43"/>
  <c r="AG60" i="43"/>
  <c r="AF60" i="43"/>
  <c r="AC60" i="43"/>
  <c r="AB60" i="43"/>
  <c r="AA60" i="43"/>
  <c r="Z60" i="43"/>
  <c r="Y60" i="43"/>
  <c r="V60" i="43"/>
  <c r="T60" i="43"/>
  <c r="S60" i="43"/>
  <c r="R60" i="43"/>
  <c r="N60" i="43"/>
  <c r="M60" i="43"/>
  <c r="L60" i="43"/>
  <c r="G60" i="43"/>
  <c r="F60" i="43"/>
  <c r="E60" i="43"/>
  <c r="AI59" i="43"/>
  <c r="AH59" i="43"/>
  <c r="AG59" i="43"/>
  <c r="AF59" i="43"/>
  <c r="AC59" i="43"/>
  <c r="AB59" i="43"/>
  <c r="AA59" i="43"/>
  <c r="Z59" i="43"/>
  <c r="Y59" i="43"/>
  <c r="V59" i="43"/>
  <c r="T59" i="43"/>
  <c r="S59" i="43"/>
  <c r="R59" i="43"/>
  <c r="N59" i="43"/>
  <c r="M59" i="43"/>
  <c r="L59" i="43"/>
  <c r="G59" i="43"/>
  <c r="F59" i="43"/>
  <c r="E59" i="43"/>
  <c r="AI58" i="43"/>
  <c r="AH58" i="43"/>
  <c r="AG58" i="43"/>
  <c r="AF58" i="43"/>
  <c r="AC58" i="43"/>
  <c r="AB58" i="43"/>
  <c r="AA58" i="43"/>
  <c r="Z58" i="43"/>
  <c r="Y58" i="43"/>
  <c r="V58" i="43"/>
  <c r="T58" i="43"/>
  <c r="S58" i="43"/>
  <c r="R58" i="43"/>
  <c r="N58" i="43"/>
  <c r="M58" i="43"/>
  <c r="L58" i="43"/>
  <c r="G58" i="43"/>
  <c r="F58" i="43"/>
  <c r="E58" i="43"/>
  <c r="AI57" i="43"/>
  <c r="AH57" i="43"/>
  <c r="AG57" i="43"/>
  <c r="AF57" i="43"/>
  <c r="AC57" i="43"/>
  <c r="AB57" i="43"/>
  <c r="AA57" i="43"/>
  <c r="Z57" i="43"/>
  <c r="Y57" i="43"/>
  <c r="V57" i="43"/>
  <c r="T57" i="43"/>
  <c r="S57" i="43"/>
  <c r="R57" i="43"/>
  <c r="N57" i="43"/>
  <c r="M57" i="43"/>
  <c r="L57" i="43"/>
  <c r="G57" i="43"/>
  <c r="F57" i="43"/>
  <c r="E57" i="43"/>
  <c r="AI56" i="43"/>
  <c r="AH56" i="43"/>
  <c r="AG56" i="43"/>
  <c r="AF56" i="43"/>
  <c r="AC56" i="43"/>
  <c r="AB56" i="43"/>
  <c r="AA56" i="43"/>
  <c r="Z56" i="43"/>
  <c r="Y56" i="43"/>
  <c r="V56" i="43"/>
  <c r="T56" i="43"/>
  <c r="S56" i="43"/>
  <c r="R56" i="43"/>
  <c r="N56" i="43"/>
  <c r="M56" i="43"/>
  <c r="L56" i="43"/>
  <c r="G56" i="43"/>
  <c r="F56" i="43"/>
  <c r="E56" i="43"/>
  <c r="AI55" i="43"/>
  <c r="AH55" i="43"/>
  <c r="AG55" i="43"/>
  <c r="AF55" i="43"/>
  <c r="AC55" i="43"/>
  <c r="AB55" i="43"/>
  <c r="AA55" i="43"/>
  <c r="Z55" i="43"/>
  <c r="Y55" i="43"/>
  <c r="V55" i="43"/>
  <c r="T55" i="43"/>
  <c r="S55" i="43"/>
  <c r="R55" i="43"/>
  <c r="N55" i="43"/>
  <c r="M55" i="43"/>
  <c r="L55" i="43"/>
  <c r="G55" i="43"/>
  <c r="F55" i="43"/>
  <c r="E55" i="43"/>
  <c r="AI54" i="43"/>
  <c r="AH54" i="43"/>
  <c r="AG54" i="43"/>
  <c r="AF54" i="43"/>
  <c r="AC54" i="43"/>
  <c r="AB54" i="43"/>
  <c r="AA54" i="43"/>
  <c r="Z54" i="43"/>
  <c r="Y54" i="43"/>
  <c r="V54" i="43"/>
  <c r="T54" i="43"/>
  <c r="S54" i="43"/>
  <c r="R54" i="43"/>
  <c r="N54" i="43"/>
  <c r="M54" i="43"/>
  <c r="L54" i="43"/>
  <c r="G54" i="43"/>
  <c r="F54" i="43"/>
  <c r="E54" i="43"/>
  <c r="AI53" i="43"/>
  <c r="AH53" i="43"/>
  <c r="AG53" i="43"/>
  <c r="AF53" i="43"/>
  <c r="AC53" i="43"/>
  <c r="AB53" i="43"/>
  <c r="AA53" i="43"/>
  <c r="Z53" i="43"/>
  <c r="Y53" i="43"/>
  <c r="V53" i="43"/>
  <c r="T53" i="43"/>
  <c r="S53" i="43"/>
  <c r="R53" i="43"/>
  <c r="AI52" i="43"/>
  <c r="AH52" i="43"/>
  <c r="AG52" i="43"/>
  <c r="AF52" i="43"/>
  <c r="AC52" i="43"/>
  <c r="AB52" i="43"/>
  <c r="AA52" i="43"/>
  <c r="Z52" i="43"/>
  <c r="Y52" i="43"/>
  <c r="V52" i="43"/>
  <c r="T52" i="43"/>
  <c r="S52" i="43"/>
  <c r="R52" i="43"/>
  <c r="N52" i="43"/>
  <c r="M52" i="43"/>
  <c r="L52" i="43"/>
  <c r="G52" i="43"/>
  <c r="F52" i="43"/>
  <c r="E52" i="43"/>
  <c r="AI51" i="43"/>
  <c r="AH51" i="43"/>
  <c r="AG51" i="43"/>
  <c r="AF51" i="43"/>
  <c r="AC51" i="43"/>
  <c r="AB51" i="43"/>
  <c r="AA51" i="43"/>
  <c r="Z51" i="43"/>
  <c r="Y51" i="43"/>
  <c r="V51" i="43"/>
  <c r="T51" i="43"/>
  <c r="S51" i="43"/>
  <c r="R51" i="43"/>
  <c r="N51" i="43"/>
  <c r="M51" i="43"/>
  <c r="L51" i="43"/>
  <c r="G51" i="43"/>
  <c r="F51" i="43"/>
  <c r="E51" i="43"/>
  <c r="AI50" i="43"/>
  <c r="AH50" i="43"/>
  <c r="AG50" i="43"/>
  <c r="AF50" i="43"/>
  <c r="AC50" i="43"/>
  <c r="AB50" i="43"/>
  <c r="AA50" i="43"/>
  <c r="Z50" i="43"/>
  <c r="Y50" i="43"/>
  <c r="V50" i="43"/>
  <c r="T50" i="43"/>
  <c r="S50" i="43"/>
  <c r="R50" i="43"/>
  <c r="N50" i="43"/>
  <c r="M50" i="43"/>
  <c r="L50" i="43"/>
  <c r="G50" i="43"/>
  <c r="F50" i="43"/>
  <c r="E50" i="43"/>
  <c r="AI49" i="43"/>
  <c r="AH49" i="43"/>
  <c r="AG49" i="43"/>
  <c r="AF49" i="43"/>
  <c r="AC49" i="43"/>
  <c r="AB49" i="43"/>
  <c r="AA49" i="43"/>
  <c r="Z49" i="43"/>
  <c r="Y49" i="43"/>
  <c r="V49" i="43"/>
  <c r="T49" i="43"/>
  <c r="S49" i="43"/>
  <c r="R49" i="43"/>
  <c r="N49" i="43"/>
  <c r="M49" i="43"/>
  <c r="L49" i="43"/>
  <c r="G49" i="43"/>
  <c r="F49" i="43"/>
  <c r="E49" i="43"/>
  <c r="AI48" i="43"/>
  <c r="AH48" i="43"/>
  <c r="AG48" i="43"/>
  <c r="AF48" i="43"/>
  <c r="AC48" i="43"/>
  <c r="AB48" i="43"/>
  <c r="AA48" i="43"/>
  <c r="Z48" i="43"/>
  <c r="Y48" i="43"/>
  <c r="V48" i="43"/>
  <c r="T48" i="43"/>
  <c r="S48" i="43"/>
  <c r="R48" i="43"/>
  <c r="N48" i="43"/>
  <c r="M48" i="43"/>
  <c r="L48" i="43"/>
  <c r="G48" i="43"/>
  <c r="F48" i="43"/>
  <c r="E48" i="43"/>
  <c r="AI47" i="43"/>
  <c r="AH47" i="43"/>
  <c r="AG47" i="43"/>
  <c r="AF47" i="43"/>
  <c r="AC47" i="43"/>
  <c r="AB47" i="43"/>
  <c r="AA47" i="43"/>
  <c r="Z47" i="43"/>
  <c r="Y47" i="43"/>
  <c r="V47" i="43"/>
  <c r="T47" i="43"/>
  <c r="S47" i="43"/>
  <c r="R47" i="43"/>
  <c r="N47" i="43"/>
  <c r="M47" i="43"/>
  <c r="L47" i="43"/>
  <c r="G47" i="43"/>
  <c r="F47" i="43"/>
  <c r="E47" i="43"/>
  <c r="AI46" i="43"/>
  <c r="AH46" i="43"/>
  <c r="AG46" i="43"/>
  <c r="AF46" i="43"/>
  <c r="AC46" i="43"/>
  <c r="AB46" i="43"/>
  <c r="AA46" i="43"/>
  <c r="Z46" i="43"/>
  <c r="Y46" i="43"/>
  <c r="V46" i="43"/>
  <c r="T46" i="43"/>
  <c r="S46" i="43"/>
  <c r="R46" i="43"/>
  <c r="N46" i="43"/>
  <c r="M46" i="43"/>
  <c r="L46" i="43"/>
  <c r="G46" i="43"/>
  <c r="F46" i="43"/>
  <c r="E46" i="43"/>
  <c r="AI45" i="43"/>
  <c r="AH45" i="43"/>
  <c r="AG45" i="43"/>
  <c r="AF45" i="43"/>
  <c r="AC45" i="43"/>
  <c r="AB45" i="43"/>
  <c r="AA45" i="43"/>
  <c r="Z45" i="43"/>
  <c r="Y45" i="43"/>
  <c r="V45" i="43"/>
  <c r="T45" i="43"/>
  <c r="S45" i="43"/>
  <c r="R45" i="43"/>
  <c r="N45" i="43"/>
  <c r="M45" i="43"/>
  <c r="L45" i="43"/>
  <c r="G45" i="43"/>
  <c r="F45" i="43"/>
  <c r="E45" i="43"/>
  <c r="AI44" i="43"/>
  <c r="AH44" i="43"/>
  <c r="AG44" i="43"/>
  <c r="AF44" i="43"/>
  <c r="AC44" i="43"/>
  <c r="AB44" i="43"/>
  <c r="AA44" i="43"/>
  <c r="Z44" i="43"/>
  <c r="Y44" i="43"/>
  <c r="V44" i="43"/>
  <c r="T44" i="43"/>
  <c r="S44" i="43"/>
  <c r="R44" i="43"/>
  <c r="N44" i="43"/>
  <c r="M44" i="43"/>
  <c r="L44" i="43"/>
  <c r="G44" i="43"/>
  <c r="F44" i="43"/>
  <c r="E44" i="43"/>
  <c r="AI43" i="43"/>
  <c r="AH43" i="43"/>
  <c r="AG43" i="43"/>
  <c r="AF43" i="43"/>
  <c r="AC43" i="43"/>
  <c r="AB43" i="43"/>
  <c r="AA43" i="43"/>
  <c r="Z43" i="43"/>
  <c r="Y43" i="43"/>
  <c r="V43" i="43"/>
  <c r="T43" i="43"/>
  <c r="S43" i="43"/>
  <c r="R43" i="43"/>
  <c r="N43" i="43"/>
  <c r="M43" i="43"/>
  <c r="L43" i="43"/>
  <c r="G43" i="43"/>
  <c r="F43" i="43"/>
  <c r="E43" i="43"/>
  <c r="AI42" i="43"/>
  <c r="AH42" i="43"/>
  <c r="AG42" i="43"/>
  <c r="AF42" i="43"/>
  <c r="AC42" i="43"/>
  <c r="AB42" i="43"/>
  <c r="AA42" i="43"/>
  <c r="Z42" i="43"/>
  <c r="Y42" i="43"/>
  <c r="V42" i="43"/>
  <c r="T42" i="43"/>
  <c r="S42" i="43"/>
  <c r="R42" i="43"/>
  <c r="N42" i="43"/>
  <c r="M42" i="43"/>
  <c r="L42" i="43"/>
  <c r="G42" i="43"/>
  <c r="F42" i="43"/>
  <c r="E42" i="43"/>
  <c r="AI41" i="43"/>
  <c r="AH41" i="43"/>
  <c r="AG41" i="43"/>
  <c r="AF41" i="43"/>
  <c r="AC41" i="43"/>
  <c r="AB41" i="43"/>
  <c r="AA41" i="43"/>
  <c r="Z41" i="43"/>
  <c r="Y41" i="43"/>
  <c r="V41" i="43"/>
  <c r="T41" i="43"/>
  <c r="S41" i="43"/>
  <c r="R41" i="43"/>
  <c r="N41" i="43"/>
  <c r="M41" i="43"/>
  <c r="L41" i="43"/>
  <c r="G41" i="43"/>
  <c r="F41" i="43"/>
  <c r="E41" i="43"/>
  <c r="AI40" i="43"/>
  <c r="AH40" i="43"/>
  <c r="AG40" i="43"/>
  <c r="AF40" i="43"/>
  <c r="AC40" i="43"/>
  <c r="AB40" i="43"/>
  <c r="AA40" i="43"/>
  <c r="Z40" i="43"/>
  <c r="Y40" i="43"/>
  <c r="V40" i="43"/>
  <c r="T40" i="43"/>
  <c r="S40" i="43"/>
  <c r="R40" i="43"/>
  <c r="N40" i="43"/>
  <c r="M40" i="43"/>
  <c r="L40" i="43"/>
  <c r="G40" i="43"/>
  <c r="F40" i="43"/>
  <c r="E40" i="43"/>
  <c r="AI39" i="43"/>
  <c r="AH39" i="43"/>
  <c r="AG39" i="43"/>
  <c r="AF39" i="43"/>
  <c r="AC39" i="43"/>
  <c r="AB39" i="43"/>
  <c r="AA39" i="43"/>
  <c r="Z39" i="43"/>
  <c r="Y39" i="43"/>
  <c r="V39" i="43"/>
  <c r="T39" i="43"/>
  <c r="S39" i="43"/>
  <c r="R39" i="43"/>
  <c r="N39" i="43"/>
  <c r="M39" i="43"/>
  <c r="L39" i="43"/>
  <c r="G39" i="43"/>
  <c r="F39" i="43"/>
  <c r="E39" i="43"/>
  <c r="AI38" i="43"/>
  <c r="AH38" i="43"/>
  <c r="AG38" i="43"/>
  <c r="AF38" i="43"/>
  <c r="AC38" i="43"/>
  <c r="AB38" i="43"/>
  <c r="AA38" i="43"/>
  <c r="Z38" i="43"/>
  <c r="Y38" i="43"/>
  <c r="V38" i="43"/>
  <c r="T38" i="43"/>
  <c r="S38" i="43"/>
  <c r="R38" i="43"/>
  <c r="N38" i="43"/>
  <c r="M38" i="43"/>
  <c r="L38" i="43"/>
  <c r="G38" i="43"/>
  <c r="F38" i="43"/>
  <c r="E38" i="43"/>
  <c r="AI37" i="43"/>
  <c r="AH37" i="43"/>
  <c r="AG37" i="43"/>
  <c r="AF37" i="43"/>
  <c r="AC37" i="43"/>
  <c r="AB37" i="43"/>
  <c r="AA37" i="43"/>
  <c r="Z37" i="43"/>
  <c r="Y37" i="43"/>
  <c r="V37" i="43"/>
  <c r="T37" i="43"/>
  <c r="S37" i="43"/>
  <c r="R37" i="43"/>
  <c r="N37" i="43"/>
  <c r="M37" i="43"/>
  <c r="L37" i="43"/>
  <c r="G37" i="43"/>
  <c r="F37" i="43"/>
  <c r="E37" i="43"/>
  <c r="AI36" i="43"/>
  <c r="AH36" i="43"/>
  <c r="AG36" i="43"/>
  <c r="AF36" i="43"/>
  <c r="AC36" i="43"/>
  <c r="AB36" i="43"/>
  <c r="AA36" i="43"/>
  <c r="Z36" i="43"/>
  <c r="Y36" i="43"/>
  <c r="V36" i="43"/>
  <c r="T36" i="43"/>
  <c r="S36" i="43"/>
  <c r="R36" i="43"/>
  <c r="N36" i="43"/>
  <c r="M36" i="43"/>
  <c r="L36" i="43"/>
  <c r="G36" i="43"/>
  <c r="F36" i="43"/>
  <c r="E36" i="43"/>
  <c r="AI35" i="43"/>
  <c r="AH35" i="43"/>
  <c r="AG35" i="43"/>
  <c r="AF35" i="43"/>
  <c r="AC35" i="43"/>
  <c r="AB35" i="43"/>
  <c r="AA35" i="43"/>
  <c r="Z35" i="43"/>
  <c r="Y35" i="43"/>
  <c r="V35" i="43"/>
  <c r="T35" i="43"/>
  <c r="S35" i="43"/>
  <c r="R35" i="43"/>
  <c r="N35" i="43"/>
  <c r="M35" i="43"/>
  <c r="L35" i="43"/>
  <c r="G35" i="43"/>
  <c r="F35" i="43"/>
  <c r="E35" i="43"/>
  <c r="AI34" i="43"/>
  <c r="AH34" i="43"/>
  <c r="AG34" i="43"/>
  <c r="AF34" i="43"/>
  <c r="AC34" i="43"/>
  <c r="AB34" i="43"/>
  <c r="AA34" i="43"/>
  <c r="Z34" i="43"/>
  <c r="Y34" i="43"/>
  <c r="V34" i="43"/>
  <c r="T34" i="43"/>
  <c r="S34" i="43"/>
  <c r="R34" i="43"/>
  <c r="N34" i="43"/>
  <c r="M34" i="43"/>
  <c r="L34" i="43"/>
  <c r="G34" i="43"/>
  <c r="F34" i="43"/>
  <c r="E34" i="43"/>
  <c r="AI33" i="43"/>
  <c r="AH33" i="43"/>
  <c r="AG33" i="43"/>
  <c r="AF33" i="43"/>
  <c r="AC33" i="43"/>
  <c r="AB33" i="43"/>
  <c r="AA33" i="43"/>
  <c r="Z33" i="43"/>
  <c r="Y33" i="43"/>
  <c r="V33" i="43"/>
  <c r="T33" i="43"/>
  <c r="S33" i="43"/>
  <c r="R33" i="43"/>
  <c r="N33" i="43"/>
  <c r="M33" i="43"/>
  <c r="L33" i="43"/>
  <c r="G33" i="43"/>
  <c r="F33" i="43"/>
  <c r="E33" i="43"/>
  <c r="AI32" i="43"/>
  <c r="AH32" i="43"/>
  <c r="AG32" i="43"/>
  <c r="AF32" i="43"/>
  <c r="AC32" i="43"/>
  <c r="AB32" i="43"/>
  <c r="AA32" i="43"/>
  <c r="Z32" i="43"/>
  <c r="Y32" i="43"/>
  <c r="V32" i="43"/>
  <c r="T32" i="43"/>
  <c r="S32" i="43"/>
  <c r="R32" i="43"/>
  <c r="N32" i="43"/>
  <c r="M32" i="43"/>
  <c r="L32" i="43"/>
  <c r="G32" i="43"/>
  <c r="F32" i="43"/>
  <c r="E32" i="43"/>
  <c r="AI31" i="43"/>
  <c r="AH31" i="43"/>
  <c r="AG31" i="43"/>
  <c r="AF31" i="43"/>
  <c r="AC31" i="43"/>
  <c r="AB31" i="43"/>
  <c r="AA31" i="43"/>
  <c r="Z31" i="43"/>
  <c r="Y31" i="43"/>
  <c r="V31" i="43"/>
  <c r="T31" i="43"/>
  <c r="S31" i="43"/>
  <c r="R31" i="43"/>
  <c r="N31" i="43"/>
  <c r="M31" i="43"/>
  <c r="L31" i="43"/>
  <c r="G31" i="43"/>
  <c r="F31" i="43"/>
  <c r="E31" i="43"/>
  <c r="AI30" i="43"/>
  <c r="AH30" i="43"/>
  <c r="AG30" i="43"/>
  <c r="AF30" i="43"/>
  <c r="AC30" i="43"/>
  <c r="AB30" i="43"/>
  <c r="AA30" i="43"/>
  <c r="Z30" i="43"/>
  <c r="Y30" i="43"/>
  <c r="V30" i="43"/>
  <c r="T30" i="43"/>
  <c r="S30" i="43"/>
  <c r="R30" i="43"/>
  <c r="N30" i="43"/>
  <c r="M30" i="43"/>
  <c r="L30" i="43"/>
  <c r="G30" i="43"/>
  <c r="F30" i="43"/>
  <c r="E30" i="43"/>
  <c r="AI29" i="43"/>
  <c r="AH29" i="43"/>
  <c r="AG29" i="43"/>
  <c r="AF29" i="43"/>
  <c r="AC29" i="43"/>
  <c r="AB29" i="43"/>
  <c r="AA29" i="43"/>
  <c r="Z29" i="43"/>
  <c r="Y29" i="43"/>
  <c r="V29" i="43"/>
  <c r="T29" i="43"/>
  <c r="S29" i="43"/>
  <c r="R29" i="43"/>
  <c r="N29" i="43"/>
  <c r="M29" i="43"/>
  <c r="L29" i="43"/>
  <c r="G29" i="43"/>
  <c r="F29" i="43"/>
  <c r="E29" i="43"/>
  <c r="AI28" i="43"/>
  <c r="AH28" i="43"/>
  <c r="AG28" i="43"/>
  <c r="AF28" i="43"/>
  <c r="AC28" i="43"/>
  <c r="AB28" i="43"/>
  <c r="AA28" i="43"/>
  <c r="Z28" i="43"/>
  <c r="Y28" i="43"/>
  <c r="V28" i="43"/>
  <c r="T28" i="43"/>
  <c r="S28" i="43"/>
  <c r="R28" i="43"/>
  <c r="N28" i="43"/>
  <c r="M28" i="43"/>
  <c r="L28" i="43"/>
  <c r="G28" i="43"/>
  <c r="F28" i="43"/>
  <c r="E28" i="43"/>
  <c r="AI27" i="43"/>
  <c r="AH27" i="43"/>
  <c r="AG27" i="43"/>
  <c r="AF27" i="43"/>
  <c r="AC27" i="43"/>
  <c r="AB27" i="43"/>
  <c r="AA27" i="43"/>
  <c r="Z27" i="43"/>
  <c r="Y27" i="43"/>
  <c r="V27" i="43"/>
  <c r="T27" i="43"/>
  <c r="S27" i="43"/>
  <c r="R27" i="43"/>
  <c r="N27" i="43"/>
  <c r="M27" i="43"/>
  <c r="L27" i="43"/>
  <c r="G27" i="43"/>
  <c r="F27" i="43"/>
  <c r="E27" i="43"/>
  <c r="AI26" i="43"/>
  <c r="AH26" i="43"/>
  <c r="AG26" i="43"/>
  <c r="AF26" i="43"/>
  <c r="AC26" i="43"/>
  <c r="AB26" i="43"/>
  <c r="AA26" i="43"/>
  <c r="Z26" i="43"/>
  <c r="Y26" i="43"/>
  <c r="V26" i="43"/>
  <c r="T26" i="43"/>
  <c r="S26" i="43"/>
  <c r="R26" i="43"/>
  <c r="N26" i="43"/>
  <c r="M26" i="43"/>
  <c r="L26" i="43"/>
  <c r="G26" i="43"/>
  <c r="F26" i="43"/>
  <c r="E26" i="43"/>
  <c r="AI25" i="43"/>
  <c r="AH25" i="43"/>
  <c r="AG25" i="43"/>
  <c r="AF25" i="43"/>
  <c r="AC25" i="43"/>
  <c r="AB25" i="43"/>
  <c r="AA25" i="43"/>
  <c r="Z25" i="43"/>
  <c r="Y25" i="43"/>
  <c r="V25" i="43"/>
  <c r="T25" i="43"/>
  <c r="S25" i="43"/>
  <c r="R25" i="43"/>
  <c r="N25" i="43"/>
  <c r="M25" i="43"/>
  <c r="L25" i="43"/>
  <c r="G25" i="43"/>
  <c r="F25" i="43"/>
  <c r="E25" i="43"/>
  <c r="AI24" i="43"/>
  <c r="AH24" i="43"/>
  <c r="AG24" i="43"/>
  <c r="AF24" i="43"/>
  <c r="AC24" i="43"/>
  <c r="AB24" i="43"/>
  <c r="AA24" i="43"/>
  <c r="Z24" i="43"/>
  <c r="Y24" i="43"/>
  <c r="V24" i="43"/>
  <c r="T24" i="43"/>
  <c r="S24" i="43"/>
  <c r="R24" i="43"/>
  <c r="N24" i="43"/>
  <c r="M24" i="43"/>
  <c r="L24" i="43"/>
  <c r="G24" i="43"/>
  <c r="F24" i="43"/>
  <c r="E24" i="43"/>
  <c r="AI23" i="43"/>
  <c r="AH23" i="43"/>
  <c r="AG23" i="43"/>
  <c r="AF23" i="43"/>
  <c r="AC23" i="43"/>
  <c r="AB23" i="43"/>
  <c r="AA23" i="43"/>
  <c r="Z23" i="43"/>
  <c r="Y23" i="43"/>
  <c r="V23" i="43"/>
  <c r="T23" i="43"/>
  <c r="S23" i="43"/>
  <c r="R23" i="43"/>
  <c r="N23" i="43"/>
  <c r="M23" i="43"/>
  <c r="L23" i="43"/>
  <c r="G23" i="43"/>
  <c r="F23" i="43"/>
  <c r="E23" i="43"/>
  <c r="AI22" i="43"/>
  <c r="AH22" i="43"/>
  <c r="AG22" i="43"/>
  <c r="AF22" i="43"/>
  <c r="AC22" i="43"/>
  <c r="AB22" i="43"/>
  <c r="AA22" i="43"/>
  <c r="Z22" i="43"/>
  <c r="Y22" i="43"/>
  <c r="V22" i="43"/>
  <c r="T22" i="43"/>
  <c r="S22" i="43"/>
  <c r="R22" i="43"/>
  <c r="N22" i="43"/>
  <c r="M22" i="43"/>
  <c r="L22" i="43"/>
  <c r="G22" i="43"/>
  <c r="F22" i="43"/>
  <c r="E22" i="43"/>
  <c r="AI21" i="43"/>
  <c r="AH21" i="43"/>
  <c r="AG21" i="43"/>
  <c r="AF21" i="43"/>
  <c r="AC21" i="43"/>
  <c r="AB21" i="43"/>
  <c r="AA21" i="43"/>
  <c r="Z21" i="43"/>
  <c r="Y21" i="43"/>
  <c r="V21" i="43"/>
  <c r="T21" i="43"/>
  <c r="S21" i="43"/>
  <c r="R21" i="43"/>
  <c r="N21" i="43"/>
  <c r="M21" i="43"/>
  <c r="L21" i="43"/>
  <c r="G21" i="43"/>
  <c r="F21" i="43"/>
  <c r="E21" i="43"/>
  <c r="AI20" i="43"/>
  <c r="AH20" i="43"/>
  <c r="AG20" i="43"/>
  <c r="AF20" i="43"/>
  <c r="AC20" i="43"/>
  <c r="AB20" i="43"/>
  <c r="AA20" i="43"/>
  <c r="Z20" i="43"/>
  <c r="Y20" i="43"/>
  <c r="V20" i="43"/>
  <c r="T20" i="43"/>
  <c r="S20" i="43"/>
  <c r="R20" i="43"/>
  <c r="N20" i="43"/>
  <c r="M20" i="43"/>
  <c r="L20" i="43"/>
  <c r="G20" i="43"/>
  <c r="F20" i="43"/>
  <c r="E20" i="43"/>
  <c r="AI19" i="43"/>
  <c r="AH19" i="43"/>
  <c r="AG19" i="43"/>
  <c r="AF19" i="43"/>
  <c r="AC19" i="43"/>
  <c r="AB19" i="43"/>
  <c r="AA19" i="43"/>
  <c r="Z19" i="43"/>
  <c r="Y19" i="43"/>
  <c r="V19" i="43"/>
  <c r="T19" i="43"/>
  <c r="S19" i="43"/>
  <c r="R19" i="43"/>
  <c r="N19" i="43"/>
  <c r="M19" i="43"/>
  <c r="L19" i="43"/>
  <c r="G19" i="43"/>
  <c r="F19" i="43"/>
  <c r="E19" i="43"/>
  <c r="AI18" i="43"/>
  <c r="AH18" i="43"/>
  <c r="AG18" i="43"/>
  <c r="AF18" i="43"/>
  <c r="AC18" i="43"/>
  <c r="AB18" i="43"/>
  <c r="AA18" i="43"/>
  <c r="Z18" i="43"/>
  <c r="Y18" i="43"/>
  <c r="V18" i="43"/>
  <c r="T18" i="43"/>
  <c r="S18" i="43"/>
  <c r="R18" i="43"/>
  <c r="N18" i="43"/>
  <c r="M18" i="43"/>
  <c r="L18" i="43"/>
  <c r="G18" i="43"/>
  <c r="F18" i="43"/>
  <c r="E18" i="43"/>
  <c r="AI17" i="43"/>
  <c r="AH17" i="43"/>
  <c r="AG17" i="43"/>
  <c r="AF17" i="43"/>
  <c r="AC17" i="43"/>
  <c r="AB17" i="43"/>
  <c r="AA17" i="43"/>
  <c r="Z17" i="43"/>
  <c r="Y17" i="43"/>
  <c r="V17" i="43"/>
  <c r="T17" i="43"/>
  <c r="S17" i="43"/>
  <c r="R17" i="43"/>
  <c r="N17" i="43"/>
  <c r="M17" i="43"/>
  <c r="L17" i="43"/>
  <c r="G17" i="43"/>
  <c r="F17" i="43"/>
  <c r="E17" i="43"/>
  <c r="AI16" i="43"/>
  <c r="AH16" i="43"/>
  <c r="AG16" i="43"/>
  <c r="AF16" i="43"/>
  <c r="AC16" i="43"/>
  <c r="AB16" i="43"/>
  <c r="AA16" i="43"/>
  <c r="Z16" i="43"/>
  <c r="Y16" i="43"/>
  <c r="V16" i="43"/>
  <c r="T16" i="43"/>
  <c r="S16" i="43"/>
  <c r="R16" i="43"/>
  <c r="N16" i="43"/>
  <c r="M16" i="43"/>
  <c r="L16" i="43"/>
  <c r="G16" i="43"/>
  <c r="F16" i="43"/>
  <c r="E16" i="43"/>
  <c r="AI15" i="43"/>
  <c r="AH15" i="43"/>
  <c r="AG15" i="43"/>
  <c r="AF15" i="43"/>
  <c r="AC15" i="43"/>
  <c r="AB15" i="43"/>
  <c r="AA15" i="43"/>
  <c r="Z15" i="43"/>
  <c r="Y15" i="43"/>
  <c r="V15" i="43"/>
  <c r="T15" i="43"/>
  <c r="S15" i="43"/>
  <c r="R15" i="43"/>
  <c r="N15" i="43"/>
  <c r="M15" i="43"/>
  <c r="L15" i="43"/>
  <c r="G15" i="43"/>
  <c r="F15" i="43"/>
  <c r="E15" i="43"/>
  <c r="AI14" i="43"/>
  <c r="AH14" i="43"/>
  <c r="AG14" i="43"/>
  <c r="AF14" i="43"/>
  <c r="AC14" i="43"/>
  <c r="AB14" i="43"/>
  <c r="AA14" i="43"/>
  <c r="Z14" i="43"/>
  <c r="Y14" i="43"/>
  <c r="V14" i="43"/>
  <c r="T14" i="43"/>
  <c r="S14" i="43"/>
  <c r="R14" i="43"/>
  <c r="N14" i="43"/>
  <c r="M14" i="43"/>
  <c r="L14" i="43"/>
  <c r="G14" i="43"/>
  <c r="F14" i="43"/>
  <c r="E14" i="43"/>
  <c r="AI13" i="43"/>
  <c r="AH13" i="43"/>
  <c r="AG13" i="43"/>
  <c r="AF13" i="43"/>
  <c r="AC13" i="43"/>
  <c r="AB13" i="43"/>
  <c r="AA13" i="43"/>
  <c r="Z13" i="43"/>
  <c r="Y13" i="43"/>
  <c r="V13" i="43"/>
  <c r="T13" i="43"/>
  <c r="S13" i="43"/>
  <c r="R13" i="43"/>
  <c r="N13" i="43"/>
  <c r="M13" i="43"/>
  <c r="L13" i="43"/>
  <c r="G13" i="43"/>
  <c r="F13" i="43"/>
  <c r="E13" i="43"/>
  <c r="AI12" i="43"/>
  <c r="AH12" i="43"/>
  <c r="AG12" i="43"/>
  <c r="AF12" i="43"/>
  <c r="AC12" i="43"/>
  <c r="AB12" i="43"/>
  <c r="AA12" i="43"/>
  <c r="Z12" i="43"/>
  <c r="Y12" i="43"/>
  <c r="V12" i="43"/>
  <c r="T12" i="43"/>
  <c r="S12" i="43"/>
  <c r="R12" i="43"/>
  <c r="N12" i="43"/>
  <c r="M12" i="43"/>
  <c r="L12" i="43"/>
  <c r="G12" i="43"/>
  <c r="F12" i="43"/>
  <c r="E12" i="43"/>
  <c r="AI11" i="43"/>
  <c r="AH11" i="43"/>
  <c r="AG11" i="43"/>
  <c r="AF11" i="43"/>
  <c r="AC11" i="43"/>
  <c r="AB11" i="43"/>
  <c r="AA11" i="43"/>
  <c r="Z11" i="43"/>
  <c r="Y11" i="43"/>
  <c r="V11" i="43"/>
  <c r="T11" i="43"/>
  <c r="S11" i="43"/>
  <c r="R11" i="43"/>
  <c r="N11" i="43"/>
  <c r="M11" i="43"/>
  <c r="L11" i="43"/>
  <c r="G11" i="43"/>
  <c r="F11" i="43"/>
  <c r="E11" i="43"/>
  <c r="AI10" i="43"/>
  <c r="AH10" i="43"/>
  <c r="AG10" i="43"/>
  <c r="AF10" i="43"/>
  <c r="AC10" i="43"/>
  <c r="AB10" i="43"/>
  <c r="AA10" i="43"/>
  <c r="Z10" i="43"/>
  <c r="Y10" i="43"/>
  <c r="V10" i="43"/>
  <c r="T10" i="43"/>
  <c r="S10" i="43"/>
  <c r="R10" i="43"/>
  <c r="N10" i="43"/>
  <c r="M10" i="43"/>
  <c r="L10" i="43"/>
  <c r="G10" i="43"/>
  <c r="F10" i="43"/>
  <c r="E10" i="43"/>
  <c r="AI9" i="43"/>
  <c r="AH9" i="43"/>
  <c r="AG9" i="43"/>
  <c r="AF9" i="43"/>
  <c r="AC9" i="43"/>
  <c r="AB9" i="43"/>
  <c r="AA9" i="43"/>
  <c r="Z9" i="43"/>
  <c r="Y9" i="43"/>
  <c r="V9" i="43"/>
  <c r="T9" i="43"/>
  <c r="S9" i="43"/>
  <c r="R9" i="43"/>
  <c r="N9" i="43"/>
  <c r="M9" i="43"/>
  <c r="L9" i="43"/>
  <c r="G9" i="43"/>
  <c r="F9" i="43"/>
  <c r="E9" i="43"/>
  <c r="AI8" i="43"/>
  <c r="AH8" i="43"/>
  <c r="AG8" i="43"/>
  <c r="AF8" i="43"/>
  <c r="AC8" i="43"/>
  <c r="AB8" i="43"/>
  <c r="AA8" i="43"/>
  <c r="Z8" i="43"/>
  <c r="Y8" i="43"/>
  <c r="V8" i="43"/>
  <c r="T8" i="43"/>
  <c r="S8" i="43"/>
  <c r="R8" i="43"/>
  <c r="N8" i="43"/>
  <c r="M8" i="43"/>
  <c r="L8" i="43"/>
  <c r="G8" i="43"/>
  <c r="F8" i="43"/>
  <c r="E8" i="43"/>
  <c r="AI7" i="43"/>
  <c r="AH7" i="43"/>
  <c r="AG7" i="43"/>
  <c r="AF7" i="43"/>
  <c r="AC7" i="43"/>
  <c r="AB7" i="43"/>
  <c r="AA7" i="43"/>
  <c r="Z7" i="43"/>
  <c r="Y7" i="43"/>
  <c r="V7" i="43"/>
  <c r="T7" i="43"/>
  <c r="S7" i="43"/>
  <c r="R7" i="43"/>
  <c r="N7" i="43"/>
  <c r="M7" i="43"/>
  <c r="L7" i="43"/>
  <c r="G7" i="43"/>
  <c r="F7" i="43"/>
  <c r="E7" i="43"/>
  <c r="AI6" i="43"/>
  <c r="AH6" i="43"/>
  <c r="AG6" i="43"/>
  <c r="AF6" i="43"/>
  <c r="AC6" i="43"/>
  <c r="AB6" i="43"/>
  <c r="AA6" i="43"/>
  <c r="Z6" i="43"/>
  <c r="Y6" i="43"/>
  <c r="V6" i="43"/>
  <c r="T6" i="43"/>
  <c r="S6" i="43"/>
  <c r="R6" i="43"/>
  <c r="N6" i="43"/>
  <c r="M6" i="43"/>
  <c r="L6" i="43"/>
  <c r="G6" i="43"/>
  <c r="F6" i="43"/>
  <c r="E6" i="43"/>
  <c r="AI5" i="43"/>
  <c r="AH5" i="43"/>
  <c r="AG5" i="43"/>
  <c r="AF5" i="43"/>
  <c r="AC5" i="43"/>
  <c r="AB5" i="43"/>
  <c r="AA5" i="43"/>
  <c r="Z5" i="43"/>
  <c r="Y5" i="43"/>
  <c r="V5" i="43"/>
  <c r="T5" i="43"/>
  <c r="S5" i="43"/>
  <c r="R5" i="43"/>
  <c r="N5" i="43"/>
  <c r="M5" i="43"/>
  <c r="L5" i="43"/>
  <c r="G5" i="43"/>
  <c r="F5" i="43"/>
  <c r="E5" i="43"/>
  <c r="AI4" i="43"/>
  <c r="AH4" i="43"/>
  <c r="AG4" i="43"/>
  <c r="AF4" i="43"/>
  <c r="AC4" i="43"/>
  <c r="AB4" i="43"/>
  <c r="AA4" i="43"/>
  <c r="Z4" i="43"/>
  <c r="Y4" i="43"/>
  <c r="V4" i="43"/>
  <c r="T4" i="43"/>
  <c r="S4" i="43"/>
  <c r="R4" i="43"/>
  <c r="N4" i="43"/>
  <c r="M4" i="43"/>
  <c r="L4" i="43"/>
  <c r="G4" i="43"/>
  <c r="F4" i="43"/>
  <c r="E4" i="43"/>
  <c r="AI3" i="43"/>
  <c r="AH3" i="43"/>
  <c r="AG3" i="43"/>
  <c r="AF3" i="43"/>
  <c r="AC3" i="43"/>
  <c r="AB3" i="43"/>
  <c r="AA3" i="43"/>
  <c r="Z3" i="43"/>
  <c r="Y3" i="43"/>
  <c r="V3" i="43"/>
  <c r="T3" i="43"/>
  <c r="S3" i="43"/>
  <c r="R3" i="43"/>
  <c r="N3" i="43"/>
  <c r="M3" i="43"/>
  <c r="L3" i="43"/>
  <c r="G3" i="43"/>
  <c r="F3" i="43"/>
  <c r="E3" i="43"/>
  <c r="AI2" i="43"/>
  <c r="AH2" i="43"/>
  <c r="AG2" i="43"/>
  <c r="AF2" i="43"/>
  <c r="AC2" i="43"/>
  <c r="AB2" i="43"/>
  <c r="AA2" i="43"/>
  <c r="Z2" i="43"/>
  <c r="Y2" i="43"/>
  <c r="V2" i="43"/>
  <c r="T2" i="43"/>
  <c r="S2" i="43"/>
  <c r="R2" i="43"/>
  <c r="N2" i="43"/>
  <c r="M2" i="43"/>
  <c r="L2" i="43"/>
  <c r="G2" i="43"/>
  <c r="F2" i="43"/>
  <c r="E2" i="43"/>
  <c r="I2" i="8"/>
  <c r="E109" i="32"/>
  <c r="E108" i="32"/>
  <c r="E107" i="32"/>
  <c r="E106" i="32"/>
  <c r="E105" i="32"/>
  <c r="E104" i="32"/>
  <c r="E103" i="32"/>
  <c r="E102" i="32"/>
  <c r="E101" i="32"/>
  <c r="E100" i="32"/>
  <c r="E99" i="32"/>
  <c r="E98" i="32"/>
  <c r="E97" i="32"/>
  <c r="E96" i="32"/>
  <c r="E95" i="32"/>
  <c r="E94" i="32"/>
  <c r="E93" i="32"/>
  <c r="E92" i="32"/>
  <c r="E91" i="32"/>
  <c r="E90" i="32"/>
  <c r="E89" i="32"/>
  <c r="E88" i="32"/>
  <c r="E87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2" i="32"/>
  <c r="E110" i="31"/>
  <c r="E108" i="31"/>
  <c r="E107" i="31"/>
  <c r="E106" i="31"/>
  <c r="E105" i="31"/>
  <c r="E104" i="31"/>
  <c r="E103" i="31"/>
  <c r="E102" i="31"/>
  <c r="E101" i="31"/>
  <c r="E100" i="31"/>
  <c r="E99" i="31"/>
  <c r="E98" i="31"/>
  <c r="E97" i="31"/>
  <c r="E96" i="31"/>
  <c r="E95" i="31"/>
  <c r="E94" i="31"/>
  <c r="E93" i="31"/>
  <c r="E92" i="31"/>
  <c r="E91" i="31"/>
  <c r="E90" i="31"/>
  <c r="E89" i="31"/>
  <c r="E88" i="31"/>
  <c r="E87" i="31"/>
  <c r="E86" i="31"/>
  <c r="E85" i="31"/>
  <c r="E84" i="31"/>
  <c r="E83" i="31"/>
  <c r="E82" i="31"/>
  <c r="E81" i="31"/>
  <c r="E80" i="31"/>
  <c r="E79" i="31"/>
  <c r="E78" i="31"/>
  <c r="E77" i="31"/>
  <c r="E76" i="31"/>
  <c r="E75" i="31"/>
  <c r="E74" i="31"/>
  <c r="E73" i="31"/>
  <c r="E72" i="31"/>
  <c r="E71" i="3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109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2" i="31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I2" i="8"/>
  <c r="AH2" i="8"/>
  <c r="AG2" i="8"/>
  <c r="AB2" i="8"/>
  <c r="AA2" i="8"/>
  <c r="Z2" i="8"/>
  <c r="U2" i="8"/>
  <c r="T2" i="8"/>
  <c r="S2" i="8"/>
  <c r="N2" i="8"/>
  <c r="M2" i="8"/>
  <c r="L2" i="8"/>
  <c r="K2" i="8"/>
  <c r="J2" i="8"/>
  <c r="AK2" i="8"/>
  <c r="AJ2" i="8"/>
  <c r="AF2" i="8"/>
  <c r="AE2" i="8"/>
  <c r="AD2" i="8"/>
  <c r="AC2" i="8"/>
  <c r="Y2" i="8"/>
  <c r="X2" i="8"/>
  <c r="W2" i="8"/>
  <c r="V2" i="8"/>
  <c r="R2" i="8"/>
  <c r="Q2" i="8"/>
  <c r="P2" i="8"/>
  <c r="O2" i="8"/>
  <c r="H2" i="8"/>
</calcChain>
</file>

<file path=xl/sharedStrings.xml><?xml version="1.0" encoding="utf-8"?>
<sst xmlns="http://schemas.openxmlformats.org/spreadsheetml/2006/main" count="19262" uniqueCount="376">
  <si>
    <t>IT0001086567</t>
  </si>
  <si>
    <t>IT0001174611</t>
  </si>
  <si>
    <t>IT0001278511</t>
  </si>
  <si>
    <t>IT0001444378</t>
  </si>
  <si>
    <t>IT0003256820</t>
  </si>
  <si>
    <t>IT0003535157</t>
  </si>
  <si>
    <t>IT0003934657</t>
  </si>
  <si>
    <t>IT0004286966</t>
  </si>
  <si>
    <t>IT0004532559</t>
  </si>
  <si>
    <t>IT0004644735</t>
  </si>
  <si>
    <t>IT0004889033</t>
  </si>
  <si>
    <t>IT0004923998</t>
  </si>
  <si>
    <t>IT0005024234</t>
  </si>
  <si>
    <t>IT0005083057</t>
  </si>
  <si>
    <t>IT0005090318</t>
  </si>
  <si>
    <t>IT0005094088</t>
  </si>
  <si>
    <t>IT0005127086</t>
  </si>
  <si>
    <t>IT0005162828</t>
  </si>
  <si>
    <t>IT0005170839</t>
  </si>
  <si>
    <t>IT0005177909</t>
  </si>
  <si>
    <t>IT0005210650</t>
  </si>
  <si>
    <t>IT0005217390</t>
  </si>
  <si>
    <t>IT0005240350</t>
  </si>
  <si>
    <t>IT0005240830</t>
  </si>
  <si>
    <t>IT0005273013</t>
  </si>
  <si>
    <t>IT0005274805</t>
  </si>
  <si>
    <t>IT0005321325</t>
  </si>
  <si>
    <t>IT0005323032</t>
  </si>
  <si>
    <t>IT0005340929</t>
  </si>
  <si>
    <t>IT0005345183</t>
  </si>
  <si>
    <t>IT0005358806</t>
  </si>
  <si>
    <t>IT0005363111</t>
  </si>
  <si>
    <t>IT0005365165</t>
  </si>
  <si>
    <t>IT0005370306</t>
  </si>
  <si>
    <t>IT0005377152</t>
  </si>
  <si>
    <t>IT0005383309</t>
  </si>
  <si>
    <t>IT0005390874</t>
  </si>
  <si>
    <t>IT0005398406</t>
  </si>
  <si>
    <t>IT0005402117</t>
  </si>
  <si>
    <t>IT0005403396</t>
  </si>
  <si>
    <t>IT0005408502</t>
  </si>
  <si>
    <t>IT0005413171</t>
  </si>
  <si>
    <t>IT0005416570</t>
  </si>
  <si>
    <t>IT0005419848</t>
  </si>
  <si>
    <t>IT0005421703</t>
  </si>
  <si>
    <t>IT0005422891</t>
  </si>
  <si>
    <t>IT0005425233</t>
  </si>
  <si>
    <t>IT0005433195</t>
  </si>
  <si>
    <t>IT0005433690</t>
  </si>
  <si>
    <t>IT0005436693</t>
  </si>
  <si>
    <t>IT0005437147</t>
  </si>
  <si>
    <t>IT0005441883</t>
  </si>
  <si>
    <t>IT0005445306</t>
  </si>
  <si>
    <t>IT0005449969</t>
  </si>
  <si>
    <t>IT0005454241</t>
  </si>
  <si>
    <t>IT0005466013</t>
  </si>
  <si>
    <t>IT0005467482</t>
  </si>
  <si>
    <t>IT0005480980</t>
  </si>
  <si>
    <t>IT0005484552</t>
  </si>
  <si>
    <t>IT0005493298</t>
  </si>
  <si>
    <t>IT0005494239</t>
  </si>
  <si>
    <t>IT0005495731</t>
  </si>
  <si>
    <t>IT0005496770</t>
  </si>
  <si>
    <t>IT0005500068</t>
  </si>
  <si>
    <t>IT0005514473</t>
  </si>
  <si>
    <t>IT0005518128</t>
  </si>
  <si>
    <t>IT0005519787</t>
  </si>
  <si>
    <t>IT0005521981</t>
  </si>
  <si>
    <t>IT0005530032</t>
  </si>
  <si>
    <t>IT0005534141</t>
  </si>
  <si>
    <t>IT0005538597</t>
  </si>
  <si>
    <t>IT0005542797</t>
  </si>
  <si>
    <t>IT0005544082</t>
  </si>
  <si>
    <t>IT0005547408</t>
  </si>
  <si>
    <t>IT0005548315</t>
  </si>
  <si>
    <t>IT0005556011</t>
  </si>
  <si>
    <t>IT0005557084</t>
  </si>
  <si>
    <t>IT0005560948</t>
  </si>
  <si>
    <t>IT0005561888</t>
  </si>
  <si>
    <t>IT0005565400</t>
  </si>
  <si>
    <t>IT0005566408</t>
  </si>
  <si>
    <t>IT0005580045</t>
  </si>
  <si>
    <t>IT0005580094</t>
  </si>
  <si>
    <t>IT0005582421</t>
  </si>
  <si>
    <t>IT0005583486</t>
  </si>
  <si>
    <t>IT0005584302</t>
  </si>
  <si>
    <t>IT0005584849</t>
  </si>
  <si>
    <t>IT0005584856</t>
  </si>
  <si>
    <t>IT0005594483</t>
  </si>
  <si>
    <t>IT0005595803</t>
  </si>
  <si>
    <t>IT0005599904</t>
  </si>
  <si>
    <t>IT0005607269</t>
  </si>
  <si>
    <t>IT0005607970</t>
  </si>
  <si>
    <t>IT0005611055</t>
  </si>
  <si>
    <t>IT0005611741</t>
  </si>
  <si>
    <t>IT0005619546</t>
  </si>
  <si>
    <t>IT0005622128</t>
  </si>
  <si>
    <t>IT0005631590</t>
  </si>
  <si>
    <t>IT0005633794</t>
  </si>
  <si>
    <t>IT0005635583</t>
  </si>
  <si>
    <t>IT0005637399</t>
  </si>
  <si>
    <t>IT0005641029</t>
  </si>
  <si>
    <t>ISIN</t>
  </si>
  <si>
    <t>Coupon</t>
  </si>
  <si>
    <t>Maturity</t>
  </si>
  <si>
    <t>ID</t>
  </si>
  <si>
    <t>01/02/2033</t>
  </si>
  <si>
    <t>01/06/2027</t>
  </si>
  <si>
    <t>01/02/2028</t>
  </si>
  <si>
    <t>01/08/2029</t>
  </si>
  <si>
    <t>01/10/2039</t>
  </si>
  <si>
    <t>01/08/2031</t>
  </si>
  <si>
    <t>01/09/2044</t>
  </si>
  <si>
    <t>01/03/2030</t>
  </si>
  <si>
    <t>01/03/2032</t>
  </si>
  <si>
    <t>01/06/2026</t>
  </si>
  <si>
    <t>01/09/2036</t>
  </si>
  <si>
    <t>01/03/2048</t>
  </si>
  <si>
    <t>01/03/2040</t>
  </si>
  <si>
    <t>01/04/2026</t>
  </si>
  <si>
    <t>01/03/2072</t>
  </si>
  <si>
    <t>01/03/2038</t>
  </si>
  <si>
    <t>01/04/2027</t>
  </si>
  <si>
    <t>01/07/2029</t>
  </si>
  <si>
    <t>01/07/2034</t>
  </si>
  <si>
    <t>01/12/2030</t>
  </si>
  <si>
    <t>01/12/2031</t>
  </si>
  <si>
    <t>01/08/2028</t>
  </si>
  <si>
    <t>01/08/2034</t>
  </si>
  <si>
    <t>01/02/2037</t>
  </si>
  <si>
    <t>01/08/2039</t>
  </si>
  <si>
    <t>01/12/2026</t>
  </si>
  <si>
    <t>01/12/2028</t>
  </si>
  <si>
    <t>01/02/2026</t>
  </si>
  <si>
    <t>01/08/2026</t>
  </si>
  <si>
    <t>01/02/2035</t>
  </si>
  <si>
    <t>01/09/2040</t>
  </si>
  <si>
    <t>01/03/2026</t>
  </si>
  <si>
    <t>01/09/2046</t>
  </si>
  <si>
    <t>01/12/2025</t>
  </si>
  <si>
    <t>01/03/2067</t>
  </si>
  <si>
    <t>01/09/2033</t>
  </si>
  <si>
    <t>01/09/2038</t>
  </si>
  <si>
    <t>01/03/2035</t>
  </si>
  <si>
    <t>01/09/2049</t>
  </si>
  <si>
    <t>01/04/2030</t>
  </si>
  <si>
    <t>01/09/2050</t>
  </si>
  <si>
    <t>01/09/2051</t>
  </si>
  <si>
    <t>01/09/2043</t>
  </si>
  <si>
    <t>01/03/2034</t>
  </si>
  <si>
    <t>01/04/2031</t>
  </si>
  <si>
    <t>01/06/2032</t>
  </si>
  <si>
    <t>01/05/2033</t>
  </si>
  <si>
    <t>01/11/2026</t>
  </si>
  <si>
    <t>01/11/2027</t>
  </si>
  <si>
    <t>01/11/2029</t>
  </si>
  <si>
    <t>01/05/2031</t>
  </si>
  <si>
    <t>01/06/2025</t>
  </si>
  <si>
    <t>01/08/2030</t>
  </si>
  <si>
    <t>01/11/2033</t>
  </si>
  <si>
    <t>IT0005648149</t>
  </si>
  <si>
    <t>01/10/2035</t>
  </si>
  <si>
    <t>01/10/2029</t>
  </si>
  <si>
    <t>01/02/2029</t>
  </si>
  <si>
    <t>01/07/2030</t>
  </si>
  <si>
    <t>01/12/2032</t>
  </si>
  <si>
    <t>01/08/2027</t>
  </si>
  <si>
    <t>01/12/2027</t>
  </si>
  <si>
    <t>01/03/2047</t>
  </si>
  <si>
    <t>01/03/2037</t>
  </si>
  <si>
    <t>01/09/2052</t>
  </si>
  <si>
    <t>15/02/2027</t>
  </si>
  <si>
    <t>01/08/2035</t>
  </si>
  <si>
    <t>15/07/2026</t>
  </si>
  <si>
    <t>15/07/2031</t>
  </si>
  <si>
    <t>01/03/2041</t>
  </si>
  <si>
    <t>15/11/2030</t>
  </si>
  <si>
    <t>15/01/2027</t>
  </si>
  <si>
    <t>15/02/2029</t>
  </si>
  <si>
    <t>15/12/2029</t>
  </si>
  <si>
    <t>15/10/2027</t>
  </si>
  <si>
    <t>15/02/2031</t>
  </si>
  <si>
    <t>15/04/2026</t>
  </si>
  <si>
    <t>15/06/2029</t>
  </si>
  <si>
    <t>15/09/2027</t>
  </si>
  <si>
    <t>15/06/2028</t>
  </si>
  <si>
    <t>15/06/2030</t>
  </si>
  <si>
    <t>15/07/2028</t>
  </si>
  <si>
    <t>15/07/2027</t>
  </si>
  <si>
    <t>15/09/2026</t>
  </si>
  <si>
    <t>15/11/2025</t>
  </si>
  <si>
    <t>01/10/2054</t>
  </si>
  <si>
    <t>15/01/2026</t>
  </si>
  <si>
    <t>15/03/2028</t>
  </si>
  <si>
    <t>01/03/2036</t>
  </si>
  <si>
    <t>01/10/2040</t>
  </si>
  <si>
    <t>15/08/2025</t>
  </si>
  <si>
    <t>XS3030521515</t>
  </si>
  <si>
    <t>20/03/2035</t>
  </si>
  <si>
    <t>01/09/2028</t>
  </si>
  <si>
    <t>01/10/2053</t>
  </si>
  <si>
    <t>IT0005647265</t>
  </si>
  <si>
    <t>15/07/2032</t>
  </si>
  <si>
    <t>28/01/2026</t>
  </si>
  <si>
    <t>29/09/2025</t>
  </si>
  <si>
    <t>01/07/2025</t>
  </si>
  <si>
    <t>28/08/2026</t>
  </si>
  <si>
    <t>15/11/2031</t>
  </si>
  <si>
    <t>25/02/2027</t>
  </si>
  <si>
    <t>01/04/2028</t>
  </si>
  <si>
    <t>05/03/2030</t>
  </si>
  <si>
    <t>IT0005583478</t>
  </si>
  <si>
    <t>10/10/2028</t>
  </si>
  <si>
    <t>IT0005565392</t>
  </si>
  <si>
    <t>13/06/2027</t>
  </si>
  <si>
    <t>IT0005547390</t>
  </si>
  <si>
    <t>14/05/2030</t>
  </si>
  <si>
    <t>IT0005594491</t>
  </si>
  <si>
    <t>IT0005647273</t>
  </si>
  <si>
    <t>15/05/2056</t>
  </si>
  <si>
    <t>Codice</t>
  </si>
  <si>
    <t>Strumento</t>
  </si>
  <si>
    <t>Societa</t>
  </si>
  <si>
    <t>Valuta</t>
  </si>
  <si>
    <t>Scadenza</t>
  </si>
  <si>
    <t>Cedola in corso</t>
  </si>
  <si>
    <t>Prezzo</t>
  </si>
  <si>
    <t>Rend. Eff. Lordo</t>
  </si>
  <si>
    <t>Rend. Eff. Netto</t>
  </si>
  <si>
    <t>Vita Residua</t>
  </si>
  <si>
    <t>Duration mod.</t>
  </si>
  <si>
    <t>Data prezzo</t>
  </si>
  <si>
    <t>BTP 01/02/02-33            5.75%</t>
  </si>
  <si>
    <t>Republic of Italy</t>
  </si>
  <si>
    <t>EUR</t>
  </si>
  <si>
    <t>30/04/2025</t>
  </si>
  <si>
    <t>BTP 01/02/17-01/06/27      2.20%</t>
  </si>
  <si>
    <t>BTP 01/02/18-28            2.00%</t>
  </si>
  <si>
    <t>BTP 01/02/19-01/08/29      3.00%</t>
  </si>
  <si>
    <t>BTP 01/02/2024-01/10/39    4.15%</t>
  </si>
  <si>
    <t>BTP 01/02/21-01/08/31      0.60%</t>
  </si>
  <si>
    <t>BTP 01/03/13-01/09/44      4.75%</t>
  </si>
  <si>
    <t>BTP 01/03/14-30            3.50%</t>
  </si>
  <si>
    <t>BTP 01/03/15-32            1.65%</t>
  </si>
  <si>
    <t>BTP 01/03/16-01/06/26      1.60%</t>
  </si>
  <si>
    <t>BTP 01/03/16-01/09/36      2.25%</t>
  </si>
  <si>
    <t>BTP 01/03/17-48            3.45%</t>
  </si>
  <si>
    <t>BTP 01/03/19-40            3.10%</t>
  </si>
  <si>
    <t>BTP 01/03/21-04/26         0.00%</t>
  </si>
  <si>
    <t>BTP 01/03/21-72            2.15%</t>
  </si>
  <si>
    <t>BTP 01/03/22-01/03/38      3.25%</t>
  </si>
  <si>
    <t>BTP 01/03/22-04/27         1.10%</t>
  </si>
  <si>
    <t>BTP 01/03/24-01/07/29      3.35%</t>
  </si>
  <si>
    <t>BTP 01/03/24-01/07/34      3.85%</t>
  </si>
  <si>
    <t>BTP 01/06/20-12/30         1.65%</t>
  </si>
  <si>
    <t>BTP 01/06/21-01/12/31      0.95%</t>
  </si>
  <si>
    <t>BTP 01/06/23-01/08/28      3.80%</t>
  </si>
  <si>
    <t>BTP 01/08/03-34            5.00%</t>
  </si>
  <si>
    <t>BTP 01/08/05-02/37         4.00%</t>
  </si>
  <si>
    <t>BTP 01/08/07-39            5.00%</t>
  </si>
  <si>
    <t>BTP 01/08/16-01/12/26      1.25%</t>
  </si>
  <si>
    <t>BTP 01/08/18-01/12/28      2.80%</t>
  </si>
  <si>
    <t>BTP 01/08/20-01/02/26      0.50%</t>
  </si>
  <si>
    <t>BTP 01/08/21-26            0.00%</t>
  </si>
  <si>
    <t>BTP 01/08/24-01/02/35      3.85%</t>
  </si>
  <si>
    <t>BTP 01/09/09-40            5.00%</t>
  </si>
  <si>
    <t>BTP 01/09/10-03/26         4.50%</t>
  </si>
  <si>
    <t>BTP 01/09/14-46            3.25%</t>
  </si>
  <si>
    <t>BTP 01/09/15-01/12/25      2.00%</t>
  </si>
  <si>
    <t>BTP 01/09/16-01/06/67      2.80%</t>
  </si>
  <si>
    <t>BTP 01/09/16-33            2.45%</t>
  </si>
  <si>
    <t>BTP 01/09/17-38            2.95%</t>
  </si>
  <si>
    <t>BTP 01/09/18-01/03/35      3.35%</t>
  </si>
  <si>
    <t>BTP 01/09/18-49            3.85%</t>
  </si>
  <si>
    <t>BTP 01/09/19-01/04/30      1.35%</t>
  </si>
  <si>
    <t>BTP 01/09/19-50            2.45%</t>
  </si>
  <si>
    <t>BTP 01/09/20-51            1.70%</t>
  </si>
  <si>
    <t>BTP 01/09/22-01/09/43      4.45%</t>
  </si>
  <si>
    <t>BTP 01/09/23-01/03/34      4.20%</t>
  </si>
  <si>
    <t>BTP 01/10/20-04/31         0.90%</t>
  </si>
  <si>
    <t>BTP 01/11/21-01/06/32      0.95%</t>
  </si>
  <si>
    <t>BTP 01/11/22-01/05/33      4.40%</t>
  </si>
  <si>
    <t>BTP 01/11/96-26            7.25%</t>
  </si>
  <si>
    <t>BTP 01/11/97-27            6.50%</t>
  </si>
  <si>
    <t>BTP 01/11/98-29            5.25%</t>
  </si>
  <si>
    <t>BTP 01/11/99-05/31         6.00%</t>
  </si>
  <si>
    <t>BTP 02/03/15-01/06/25      1.50%</t>
  </si>
  <si>
    <t>BTP 02/03/20-01/08/30      0.95%</t>
  </si>
  <si>
    <t>BTP 02/05/23-01/11/33      4.35%</t>
  </si>
  <si>
    <t>BTP 02/05/25-01/10/35      3.60%</t>
  </si>
  <si>
    <t>BTP 02/09/24-01/10/29      3.00%</t>
  </si>
  <si>
    <t>BTP 02/10/23-01/02/29      4.10%</t>
  </si>
  <si>
    <t>BTP 03/03/25-01/07/30      2.95%</t>
  </si>
  <si>
    <t>BTP 03/05/22-01/12/32      2.50%</t>
  </si>
  <si>
    <t>BTP 04/07/17-01/08/27      2.05%</t>
  </si>
  <si>
    <t>BTP 04/07/22-01/12/27      2.65%</t>
  </si>
  <si>
    <t>BTP 09/02/16-01/03/47      2.70%</t>
  </si>
  <si>
    <t>BTP 12/01/21-01/03/37      0.95%</t>
  </si>
  <si>
    <t>BTP 12/01/22-01/09/52      2.15%</t>
  </si>
  <si>
    <t>BTP 15/01/24-15/02/27      2.95%</t>
  </si>
  <si>
    <t>BTP 15/01/25-01/08/35      3.65%</t>
  </si>
  <si>
    <t>BTP 15/04/19-15/07/26      2.10%</t>
  </si>
  <si>
    <t>BTP 15/05/24-15/07/31      3.45%</t>
  </si>
  <si>
    <t>BTP 15/09/20-01/03/41      1.80%</t>
  </si>
  <si>
    <t>BTP 15/09/23-15/11/30      4.00%</t>
  </si>
  <si>
    <t>BTP 15/11/19-15/01/27      0.85%</t>
  </si>
  <si>
    <t>BTP 15/11/21-15/02/29      0.45%</t>
  </si>
  <si>
    <t>BTP 15/11/22-15/12/29      3.85%</t>
  </si>
  <si>
    <t>BTP 15/11/24-15/10/27      2.70%</t>
  </si>
  <si>
    <t>BTP 16/01/24-15/02/31      3.50%</t>
  </si>
  <si>
    <t>BTP 16/03/23-15/04/26      3.80%</t>
  </si>
  <si>
    <t>BTP 16/05/22-15/06/29      2.80%</t>
  </si>
  <si>
    <t>BTP 16/07/20-15/09/27      0.95%</t>
  </si>
  <si>
    <t>BTP 17/03/25-15/06/28      2.65%</t>
  </si>
  <si>
    <t>BTP 17/04/23-15/06/30      3.70%</t>
  </si>
  <si>
    <t>BTP 17/05/21-15/07/28      0.50%</t>
  </si>
  <si>
    <t>BTP 17/06/24-15/07/27      3.45%</t>
  </si>
  <si>
    <t>BTP 17/07/23-15/09/26      3.85%</t>
  </si>
  <si>
    <t>BTP 17/09/18-15/11/25      2.50%</t>
  </si>
  <si>
    <t>BTP 17/09/24-01/10/54      4.30%</t>
  </si>
  <si>
    <t>BTP 17/10/22-15/01/26      3.50%</t>
  </si>
  <si>
    <t>BTP 18/01/21-15/03/28      0.25%</t>
  </si>
  <si>
    <t>BTP 18/02/20-01/03/36      1.45%</t>
  </si>
  <si>
    <t>BTP 18/02/2025-01/10/40    3.85%</t>
  </si>
  <si>
    <t>BTP 19/04/22-15/08/25      1.20%</t>
  </si>
  <si>
    <t>BTP 20/03/25-35      4.25% TF+TV</t>
  </si>
  <si>
    <t>28/05/2025</t>
  </si>
  <si>
    <t>BTP 22/01/13-09/28         4.75%</t>
  </si>
  <si>
    <t>BTP 23/02/23-01/10/53      4.50%</t>
  </si>
  <si>
    <t>BTP 25/04/25-15/07/32      3.25%</t>
  </si>
  <si>
    <t>BTP 27/02/24-28/01/26      3.20%</t>
  </si>
  <si>
    <t>BTP 27/07/23-29/09/25      3.60%</t>
  </si>
  <si>
    <t>BTP 28/04/20-01/07/25      1.85%</t>
  </si>
  <si>
    <t>BTP 29/07/24-28/08/26      3.10%</t>
  </si>
  <si>
    <t>BTP 29/10/24-15/11/31      3.15%</t>
  </si>
  <si>
    <t>BTP 30/01/25-25/02/27      2.55%</t>
  </si>
  <si>
    <t>BTP 30/11/22-01/04/28      3.40%</t>
  </si>
  <si>
    <t>BTP VALORE 05/03/24-30   Step-up</t>
  </si>
  <si>
    <t>BTP VALORE 05/03/24-30 CUM St-up</t>
  </si>
  <si>
    <t>BTP VALORE 10/10/23-28   Step-up</t>
  </si>
  <si>
    <t>BTP VALORE 10/10/23-28 CUM St-up</t>
  </si>
  <si>
    <t>BTP VALORE 13/06/23-27   Step-up</t>
  </si>
  <si>
    <t>BTP VALORE 13/06/23-27 CUM St-up</t>
  </si>
  <si>
    <t>BTP VALORE 14/05/24-30   Step-up</t>
  </si>
  <si>
    <t>BTP VALORE 14/05/24-30 CUM St-up</t>
  </si>
  <si>
    <t>BTPei 15/11/24-05/56 2.55% reale</t>
  </si>
  <si>
    <t>29/04/2025</t>
  </si>
  <si>
    <t>02/05/2025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</si>
  <si>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</si>
  <si>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</si>
  <si>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</si>
  <si>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</si>
  <si>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</si>
  <si>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</si>
  <si>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</si>
  <si>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</si>
  <si>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</si>
  <si>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</si>
  <si>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</si>
  <si>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</si>
  <si>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</si>
  <si>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</si>
  <si>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</si>
  <si>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</si>
  <si>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15/04/2025</t>
  </si>
  <si>
    <t>IT0005654642</t>
  </si>
  <si>
    <t>BTP 11/06/01-01/10/30      2.70%</t>
  </si>
  <si>
    <t>01/10/2030</t>
  </si>
  <si>
    <t>09/06/2025</t>
  </si>
  <si>
    <t>19/06/2025</t>
  </si>
  <si>
    <t>22/04/2025</t>
  </si>
  <si>
    <t>23/04/2025</t>
  </si>
  <si>
    <t>16/04/2025</t>
  </si>
  <si>
    <t>17/04/2025</t>
  </si>
  <si>
    <t>24/04/2025</t>
  </si>
  <si>
    <t>25/04/2025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</si>
</sst>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10"/>
        <bgColor indexed="8"/>
      </patternFill>
    </fill>
    <fill>
      <patternFill patternType="solid">
        <fgColor rgb="FFD9ECF5"/>
        <bgColor rgb="FF000000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2" borderId="0" xfId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left"/>
    </xf>
    <xf numFmtId="0" fontId="7" fillId="0" borderId="0" xfId="0" applyFont="1"/>
    <xf numFmtId="16" fontId="2" fillId="2" borderId="0" xfId="1" applyNumberFormat="1" applyFont="1"/>
    <xf numFmtId="16" fontId="2" fillId="5" borderId="0" xfId="1" applyNumberFormat="1" applyFont="1" applyFill="1"/>
    <xf numFmtId="16" fontId="2" fillId="0" borderId="0" xfId="1" applyNumberFormat="1" applyFont="1" applyFill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D8A5-4ED9-FB46-95FF-3D8D13D088BB}">
  <dimension ref="A1:AU110"/>
  <sheetViews>
    <sheetView tabSelected="1" zoomScale="58" workbookViewId="0">
      <selection activeCell="H3" sqref="H3:K110"/>
    </sheetView>
  </sheetViews>
  <sheetFormatPr baseColWidth="10" defaultRowHeight="16" x14ac:dyDescent="0.2"/>
  <cols>
    <col min="1" max="1" width="6.83203125" customWidth="1"/>
    <col min="2" max="2" width="13.33203125" bestFit="1" customWidth="1"/>
    <col min="3" max="3" width="8.6640625" bestFit="1" customWidth="1"/>
    <col min="4" max="4" width="11.83203125" bestFit="1" customWidth="1"/>
    <col min="5" max="14" width="10.5" customWidth="1"/>
    <col min="15" max="21" width="10.83203125" customWidth="1"/>
    <col min="30" max="31" width="13" bestFit="1" customWidth="1"/>
  </cols>
  <sheetData>
    <row r="1" spans="1:47" ht="19" x14ac:dyDescent="0.25">
      <c r="A1" s="1" t="s">
        <v>105</v>
      </c>
      <c r="B1" s="1" t="s">
        <v>102</v>
      </c>
      <c r="C1" s="1" t="s">
        <v>103</v>
      </c>
      <c r="D1" s="1" t="s">
        <v>104</v>
      </c>
      <c r="E1" s="12">
        <v>45762</v>
      </c>
      <c r="F1" s="12">
        <v>45763</v>
      </c>
      <c r="G1" s="12">
        <v>45764</v>
      </c>
      <c r="H1" s="13">
        <v>45765</v>
      </c>
      <c r="I1" s="13">
        <v>45766</v>
      </c>
      <c r="J1" s="13">
        <v>45767</v>
      </c>
      <c r="K1" s="13">
        <v>45768</v>
      </c>
      <c r="L1" s="12">
        <v>45769</v>
      </c>
      <c r="M1" s="12">
        <v>45770</v>
      </c>
      <c r="N1" s="12">
        <v>45771</v>
      </c>
      <c r="O1" s="12">
        <v>45772</v>
      </c>
      <c r="P1" s="13">
        <v>45773</v>
      </c>
      <c r="Q1" s="13">
        <v>45774</v>
      </c>
      <c r="R1" s="12">
        <v>45775</v>
      </c>
      <c r="S1" s="12">
        <v>45776</v>
      </c>
      <c r="T1" s="12">
        <v>45777</v>
      </c>
      <c r="U1" s="13">
        <v>45778</v>
      </c>
      <c r="V1" s="12">
        <v>45779</v>
      </c>
      <c r="W1" s="13">
        <v>45780</v>
      </c>
      <c r="X1" s="13">
        <v>45781</v>
      </c>
      <c r="Y1" s="12">
        <v>45782</v>
      </c>
      <c r="Z1" s="12">
        <v>45783</v>
      </c>
      <c r="AA1" s="12">
        <v>45784</v>
      </c>
      <c r="AB1" s="12">
        <v>45785</v>
      </c>
      <c r="AC1" s="12">
        <v>45786</v>
      </c>
      <c r="AD1" s="13">
        <v>45787</v>
      </c>
      <c r="AE1" s="13">
        <v>45788</v>
      </c>
      <c r="AF1" s="12">
        <v>45789</v>
      </c>
      <c r="AG1" s="12">
        <v>45790</v>
      </c>
      <c r="AH1" s="12">
        <v>45791</v>
      </c>
      <c r="AI1" s="12">
        <v>45792</v>
      </c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</row>
    <row r="2" spans="1:47" x14ac:dyDescent="0.2">
      <c r="A2">
        <v>1</v>
      </c>
      <c r="B2" s="2" t="s">
        <v>4</v>
      </c>
      <c r="C2" s="3">
        <v>2.875</v>
      </c>
      <c r="D2" s="2" t="s">
        <v>106</v>
      </c>
      <c r="E2" s="2">
        <f>_xlfn.XLOOKUP(B2,'15a'!$A:$A,'15a'!$G:$G,"pipino il breve")</f>
        <v>116.49</v>
      </c>
      <c r="F2" s="2">
        <f>_xlfn.XLOOKUP(B2,'16a'!$A:$A,'16a'!$G:$G,"pipino il breve")</f>
        <v>116.73</v>
      </c>
      <c r="G2" s="2">
        <f>_xlfn.XLOOKUP(B2,'17a'!$A:$A,'17a'!$G:$G,"pipino il breve")</f>
        <v>117.14</v>
      </c>
      <c r="H2" s="2"/>
      <c r="I2" s="2"/>
      <c r="J2" s="2"/>
      <c r="K2" s="2"/>
      <c r="L2" s="2">
        <f>_xlfn.XLOOKUP(B2,'22a'!$A:$A,'22a'!$G:$G,"pipino il breve")</f>
        <v>117.32</v>
      </c>
      <c r="M2" s="2">
        <f>_xlfn.XLOOKUP(B2,'23a'!$A:$A,'23a'!$G:$G,"pipino il breve")</f>
        <v>117.15</v>
      </c>
      <c r="N2" s="2">
        <f>_xlfn.XLOOKUP(B2,'24a'!$A:$A,'24a'!$G:$G,"pipino il breve")</f>
        <v>117.85</v>
      </c>
      <c r="O2" s="3">
        <v>117.52</v>
      </c>
      <c r="P2" s="3"/>
      <c r="Q2" s="3"/>
      <c r="R2">
        <f>_xlfn.XLOOKUP(B2,'28'!$A:$A,'28'!$G:$G,"pipino il breve")</f>
        <v>117.4</v>
      </c>
      <c r="S2">
        <f>_xlfn.XLOOKUP(B2,'29'!$A:$A,'29'!$G:$G,"pipino il breve")</f>
        <v>117.36</v>
      </c>
      <c r="T2" s="11">
        <f>_xlfn.XLOOKUP(B2,'30'!$A:$A,'30'!$G:$G,"pipino il breve")</f>
        <v>117.71</v>
      </c>
      <c r="U2" s="3"/>
      <c r="V2">
        <f>_xlfn.XLOOKUP(B2,'2'!$A:$A,'2'!$G:$G,"pipino il breve")</f>
        <v>117.24</v>
      </c>
      <c r="Y2">
        <f>_xlfn.XLOOKUP(B2,'5'!$A:$A,'5'!$G:$G,"pipino il breve")</f>
        <v>117.4</v>
      </c>
      <c r="Z2">
        <f>_xlfn.XLOOKUP(B2,'6'!$A:$A,'6'!$G:$G,"pipino il breve")</f>
        <v>117.25</v>
      </c>
      <c r="AA2">
        <f>_xlfn.XLOOKUP(B2,'7'!$A:$A,'7'!$G:$G,"pipino il breve")</f>
        <v>117.67</v>
      </c>
      <c r="AB2">
        <f>_xlfn.XLOOKUP(B2,'8'!$A:$A,'8'!$G:$G,"pipino il breve")</f>
        <v>117.56</v>
      </c>
      <c r="AC2">
        <f>_xlfn.XLOOKUP(B2,'9'!$A:$A,'9'!$G:$G,"pipino il breve")</f>
        <v>117.32</v>
      </c>
      <c r="AF2">
        <f>_xlfn.XLOOKUP(B2,'12'!$A:$A,'12'!$G:$G,"pipino il breve")</f>
        <v>116.74</v>
      </c>
      <c r="AG2">
        <f>_xlfn.XLOOKUP(B2,'13'!$A:$A,'13'!$G:$G,"pipino il breve")</f>
        <v>116.59</v>
      </c>
      <c r="AH2">
        <f>_xlfn.XLOOKUP(B2,'14'!$A:$A,'14'!$G:$G,"pipino il breve")</f>
        <v>116.5</v>
      </c>
      <c r="AI2">
        <f>_xlfn.XLOOKUP(B2,'15'!$A:$A,'15'!$G:$G,"pipino il breve")</f>
        <v>116.98</v>
      </c>
    </row>
    <row r="3" spans="1:47" x14ac:dyDescent="0.2">
      <c r="A3">
        <v>2</v>
      </c>
      <c r="B3" s="2" t="s">
        <v>23</v>
      </c>
      <c r="C3" s="3">
        <v>1.1000000000000001</v>
      </c>
      <c r="D3" s="2" t="s">
        <v>107</v>
      </c>
      <c r="E3" s="2">
        <f>_xlfn.XLOOKUP(B3,'15a'!$A:$A,'15a'!$G:$G,"pipino il breve")</f>
        <v>100.38</v>
      </c>
      <c r="F3" s="2">
        <f>_xlfn.XLOOKUP(B3,'16a'!$A:$A,'16a'!$G:$G,"pipino il breve")</f>
        <v>100.49</v>
      </c>
      <c r="G3" s="2">
        <f>_xlfn.XLOOKUP(B3,'17a'!$A:$A,'17a'!$G:$G,"pipino il breve")</f>
        <v>100.59</v>
      </c>
      <c r="H3" s="2"/>
      <c r="I3" s="2"/>
      <c r="J3" s="2"/>
      <c r="K3" s="2"/>
      <c r="L3" s="2">
        <f>_xlfn.XLOOKUP(B3,'22a'!$A:$A,'22a'!$G:$G,"pipino il breve")</f>
        <v>100.63</v>
      </c>
      <c r="M3" s="2">
        <f>_xlfn.XLOOKUP(B3,'23a'!$A:$A,'23a'!$G:$G,"pipino il breve")</f>
        <v>100.54</v>
      </c>
      <c r="N3" s="2">
        <f>_xlfn.XLOOKUP(B3,'24a'!$A:$A,'24a'!$G:$G,"pipino il breve")</f>
        <v>100.68</v>
      </c>
      <c r="O3" s="3">
        <v>100.58</v>
      </c>
      <c r="P3" s="3"/>
      <c r="Q3" s="3"/>
      <c r="R3">
        <f>_xlfn.XLOOKUP(B3,'28'!$A:$A,'28'!$G:$G,"pipino il breve")</f>
        <v>100.6</v>
      </c>
      <c r="S3">
        <f>_xlfn.XLOOKUP(B3,'29'!$A:$A,'29'!$G:$G,"pipino il breve")</f>
        <v>100.57</v>
      </c>
      <c r="T3" s="11">
        <f>_xlfn.XLOOKUP(B3,'30'!$A:$A,'30'!$G:$G,"pipino il breve")</f>
        <v>100.63</v>
      </c>
      <c r="U3" s="3"/>
      <c r="V3">
        <f>_xlfn.XLOOKUP(B3,'2'!$A:$A,'2'!$G:$G,"pipino il breve")</f>
        <v>100.54</v>
      </c>
      <c r="Y3">
        <f>_xlfn.XLOOKUP(B3,'5'!$A:$A,'5'!$G:$G,"pipino il breve")</f>
        <v>100.54</v>
      </c>
      <c r="Z3">
        <f>_xlfn.XLOOKUP(B3,'6'!$A:$A,'6'!$G:$G,"pipino il breve")</f>
        <v>100.52</v>
      </c>
      <c r="AA3">
        <f>_xlfn.XLOOKUP(B3,'7'!$A:$A,'7'!$G:$G,"pipino il breve")</f>
        <v>100.67</v>
      </c>
      <c r="AB3">
        <f>_xlfn.XLOOKUP(B3,'8'!$A:$A,'8'!$G:$G,"pipino il breve")</f>
        <v>100.56</v>
      </c>
      <c r="AC3">
        <f>_xlfn.XLOOKUP(B3,'9'!$A:$A,'9'!$G:$G,"pipino il breve")</f>
        <v>100.5</v>
      </c>
      <c r="AF3">
        <f>_xlfn.XLOOKUP(B3,'12'!$A:$A,'12'!$G:$G,"pipino il breve")</f>
        <v>100.29</v>
      </c>
      <c r="AG3">
        <f>_xlfn.XLOOKUP(B3,'13'!$A:$A,'13'!$G:$G,"pipino il breve")</f>
        <v>100.2</v>
      </c>
      <c r="AH3">
        <f>_xlfn.XLOOKUP(B3,'14'!$A:$A,'14'!$G:$G,"pipino il breve")</f>
        <v>100.28</v>
      </c>
      <c r="AI3">
        <f>_xlfn.XLOOKUP(B3,'15'!$A:$A,'15'!$G:$G,"pipino il breve")</f>
        <v>100.37</v>
      </c>
    </row>
    <row r="4" spans="1:47" x14ac:dyDescent="0.2">
      <c r="A4">
        <v>3</v>
      </c>
      <c r="B4" s="2" t="s">
        <v>27</v>
      </c>
      <c r="C4" s="3">
        <v>1</v>
      </c>
      <c r="D4" s="2" t="s">
        <v>108</v>
      </c>
      <c r="E4" s="2">
        <f>_xlfn.XLOOKUP(B4,'15a'!$A:$A,'15a'!$G:$G,"pipino il breve")</f>
        <v>99.61</v>
      </c>
      <c r="F4" s="2">
        <f>_xlfn.XLOOKUP(B4,'16a'!$A:$A,'16a'!$G:$G,"pipino il breve")</f>
        <v>99.65</v>
      </c>
      <c r="G4" s="2">
        <f>_xlfn.XLOOKUP(B4,'17a'!$A:$A,'17a'!$G:$G,"pipino il breve")</f>
        <v>99.81</v>
      </c>
      <c r="H4" s="2"/>
      <c r="I4" s="2"/>
      <c r="J4" s="2"/>
      <c r="K4" s="2"/>
      <c r="L4" s="2">
        <f>_xlfn.XLOOKUP(B4,'22a'!$A:$A,'22a'!$G:$G,"pipino il breve")</f>
        <v>99.88</v>
      </c>
      <c r="M4" s="2">
        <f>_xlfn.XLOOKUP(B4,'23a'!$A:$A,'23a'!$G:$G,"pipino il breve")</f>
        <v>99.6</v>
      </c>
      <c r="N4" s="2">
        <f>_xlfn.XLOOKUP(B4,'24a'!$A:$A,'24a'!$G:$G,"pipino il breve")</f>
        <v>100</v>
      </c>
      <c r="O4" s="3">
        <v>99.79</v>
      </c>
      <c r="P4" s="3"/>
      <c r="Q4" s="3"/>
      <c r="R4">
        <f>_xlfn.XLOOKUP(B4,'28'!$A:$A,'28'!$G:$G,"pipino il breve")</f>
        <v>99.87</v>
      </c>
      <c r="S4">
        <f>_xlfn.XLOOKUP(B4,'29'!$A:$A,'29'!$G:$G,"pipino il breve")</f>
        <v>99.85</v>
      </c>
      <c r="T4" s="11">
        <f>_xlfn.XLOOKUP(B4,'30'!$A:$A,'30'!$G:$G,"pipino il breve")</f>
        <v>99.93</v>
      </c>
      <c r="U4" s="3"/>
      <c r="V4">
        <f>_xlfn.XLOOKUP(B4,'2'!$A:$A,'2'!$G:$G,"pipino il breve")</f>
        <v>99.9</v>
      </c>
      <c r="Y4">
        <f>_xlfn.XLOOKUP(B4,'5'!$A:$A,'5'!$G:$G,"pipino il breve")</f>
        <v>99.82</v>
      </c>
      <c r="Z4">
        <f>_xlfn.XLOOKUP(B4,'6'!$A:$A,'6'!$G:$G,"pipino il breve")</f>
        <v>99.81</v>
      </c>
      <c r="AA4">
        <f>_xlfn.XLOOKUP(B4,'7'!$A:$A,'7'!$G:$G,"pipino il breve")</f>
        <v>99.92</v>
      </c>
      <c r="AB4">
        <f>_xlfn.XLOOKUP(B4,'8'!$A:$A,'8'!$G:$G,"pipino il breve")</f>
        <v>99.84</v>
      </c>
      <c r="AC4">
        <f>_xlfn.XLOOKUP(B4,'9'!$A:$A,'9'!$G:$G,"pipino il breve")</f>
        <v>99.77</v>
      </c>
      <c r="AF4">
        <f>_xlfn.XLOOKUP(B4,'12'!$A:$A,'12'!$G:$G,"pipino il breve")</f>
        <v>99.47</v>
      </c>
      <c r="AG4">
        <f>_xlfn.XLOOKUP(B4,'13'!$A:$A,'13'!$G:$G,"pipino il breve")</f>
        <v>99.41</v>
      </c>
      <c r="AH4">
        <f>_xlfn.XLOOKUP(B4,'14'!$A:$A,'14'!$G:$G,"pipino il breve")</f>
        <v>99.45</v>
      </c>
      <c r="AI4">
        <f>_xlfn.XLOOKUP(B4,'15'!$A:$A,'15'!$G:$G,"pipino il breve")</f>
        <v>99.5</v>
      </c>
    </row>
    <row r="5" spans="1:47" x14ac:dyDescent="0.2">
      <c r="A5">
        <v>4</v>
      </c>
      <c r="B5" s="2" t="s">
        <v>32</v>
      </c>
      <c r="C5" s="3">
        <v>1.5</v>
      </c>
      <c r="D5" s="2" t="s">
        <v>109</v>
      </c>
      <c r="E5" s="2">
        <f>_xlfn.XLOOKUP(B5,'15a'!$A:$A,'15a'!$G:$G,"pipino il breve")</f>
        <v>101.8</v>
      </c>
      <c r="F5" s="2">
        <f>_xlfn.XLOOKUP(B5,'16a'!$A:$A,'16a'!$G:$G,"pipino il breve")</f>
        <v>102</v>
      </c>
      <c r="G5" s="2">
        <f>_xlfn.XLOOKUP(B5,'17a'!$A:$A,'17a'!$G:$G,"pipino il breve")</f>
        <v>102.23</v>
      </c>
      <c r="H5" s="2"/>
      <c r="I5" s="2"/>
      <c r="J5" s="2"/>
      <c r="K5" s="2"/>
      <c r="L5" s="2">
        <f>_xlfn.XLOOKUP(B5,'22a'!$A:$A,'22a'!$G:$G,"pipino il breve")</f>
        <v>102.28</v>
      </c>
      <c r="M5" s="2">
        <f>_xlfn.XLOOKUP(B5,'23a'!$A:$A,'23a'!$G:$G,"pipino il breve")</f>
        <v>102.16</v>
      </c>
      <c r="N5" s="2">
        <f>_xlfn.XLOOKUP(B5,'24a'!$A:$A,'24a'!$G:$G,"pipino il breve")</f>
        <v>102.58</v>
      </c>
      <c r="O5" s="3">
        <v>102.36</v>
      </c>
      <c r="P5" s="3"/>
      <c r="Q5" s="3"/>
      <c r="R5">
        <f>_xlfn.XLOOKUP(B5,'28'!$A:$A,'28'!$G:$G,"pipino il breve")</f>
        <v>102.35</v>
      </c>
      <c r="S5">
        <f>_xlfn.XLOOKUP(B5,'29'!$A:$A,'29'!$G:$G,"pipino il breve")</f>
        <v>102.28</v>
      </c>
      <c r="T5" s="11">
        <f>_xlfn.XLOOKUP(B5,'30'!$A:$A,'30'!$G:$G,"pipino il breve")</f>
        <v>102.48</v>
      </c>
      <c r="U5" s="3"/>
      <c r="V5">
        <f>_xlfn.XLOOKUP(B5,'2'!$A:$A,'2'!$G:$G,"pipino il breve")</f>
        <v>102.31</v>
      </c>
      <c r="Y5">
        <f>_xlfn.XLOOKUP(B5,'5'!$A:$A,'5'!$G:$G,"pipino il breve")</f>
        <v>102.3</v>
      </c>
      <c r="Z5">
        <f>_xlfn.XLOOKUP(B5,'6'!$A:$A,'6'!$G:$G,"pipino il breve")</f>
        <v>102.29</v>
      </c>
      <c r="AA5">
        <f>_xlfn.XLOOKUP(B5,'7'!$A:$A,'7'!$G:$G,"pipino il breve")</f>
        <v>102.52</v>
      </c>
      <c r="AB5">
        <f>_xlfn.XLOOKUP(B5,'8'!$A:$A,'8'!$G:$G,"pipino il breve")</f>
        <v>102.23</v>
      </c>
      <c r="AC5">
        <f>_xlfn.XLOOKUP(B5,'9'!$A:$A,'9'!$G:$G,"pipino il breve")</f>
        <v>102.25</v>
      </c>
      <c r="AF5">
        <f>_xlfn.XLOOKUP(B5,'12'!$A:$A,'12'!$G:$G,"pipino il breve")</f>
        <v>101.84</v>
      </c>
      <c r="AG5">
        <f>_xlfn.XLOOKUP(B5,'13'!$A:$A,'13'!$G:$G,"pipino il breve")</f>
        <v>101.79</v>
      </c>
      <c r="AH5">
        <f>_xlfn.XLOOKUP(B5,'14'!$A:$A,'14'!$G:$G,"pipino il breve")</f>
        <v>101.77</v>
      </c>
      <c r="AI5">
        <f>_xlfn.XLOOKUP(B5,'15'!$A:$A,'15'!$G:$G,"pipino il breve")</f>
        <v>102.29</v>
      </c>
    </row>
    <row r="6" spans="1:47" x14ac:dyDescent="0.2">
      <c r="A6">
        <v>5</v>
      </c>
      <c r="B6" s="2" t="s">
        <v>83</v>
      </c>
      <c r="C6" s="3">
        <v>2.0750000000000002</v>
      </c>
      <c r="D6" s="2" t="s">
        <v>110</v>
      </c>
      <c r="E6" s="2">
        <f>_xlfn.XLOOKUP(B6,'15a'!$A:$A,'15a'!$G:$G,"pipino il breve")</f>
        <v>101.3</v>
      </c>
      <c r="F6" s="2">
        <f>_xlfn.XLOOKUP(B6,'16a'!$A:$A,'16a'!$G:$G,"pipino il breve")</f>
        <v>101.56</v>
      </c>
      <c r="G6" s="2">
        <f>_xlfn.XLOOKUP(B6,'17a'!$A:$A,'17a'!$G:$G,"pipino il breve")</f>
        <v>101.94</v>
      </c>
      <c r="H6" s="2"/>
      <c r="I6" s="2"/>
      <c r="J6" s="2"/>
      <c r="K6" s="2"/>
      <c r="L6" s="2">
        <f>_xlfn.XLOOKUP(B6,'22a'!$A:$A,'22a'!$G:$G,"pipino il breve")</f>
        <v>102.22</v>
      </c>
      <c r="M6" s="2">
        <f>_xlfn.XLOOKUP(B6,'23a'!$A:$A,'23a'!$G:$G,"pipino il breve")</f>
        <v>102.05</v>
      </c>
      <c r="N6" s="2">
        <f>_xlfn.XLOOKUP(B6,'24a'!$A:$A,'24a'!$G:$G,"pipino il breve")</f>
        <v>102.92</v>
      </c>
      <c r="O6" s="3">
        <v>102.48</v>
      </c>
      <c r="P6" s="3"/>
      <c r="Q6" s="3"/>
      <c r="R6">
        <f>_xlfn.XLOOKUP(B6,'28'!$A:$A,'28'!$G:$G,"pipino il breve")</f>
        <v>102.27</v>
      </c>
      <c r="S6">
        <f>_xlfn.XLOOKUP(B6,'29'!$A:$A,'29'!$G:$G,"pipino il breve")</f>
        <v>102.21</v>
      </c>
      <c r="T6" s="11">
        <f>_xlfn.XLOOKUP(B6,'30'!$A:$A,'30'!$G:$G,"pipino il breve")</f>
        <v>102.58</v>
      </c>
      <c r="U6" s="3"/>
      <c r="V6">
        <f>_xlfn.XLOOKUP(B6,'2'!$A:$A,'2'!$G:$G,"pipino il breve")</f>
        <v>102.18</v>
      </c>
      <c r="Y6">
        <f>_xlfn.XLOOKUP(B6,'5'!$A:$A,'5'!$G:$G,"pipino il breve")</f>
        <v>102.15</v>
      </c>
      <c r="Z6">
        <f>_xlfn.XLOOKUP(B6,'6'!$A:$A,'6'!$G:$G,"pipino il breve")</f>
        <v>101.96</v>
      </c>
      <c r="AA6">
        <f>_xlfn.XLOOKUP(B6,'7'!$A:$A,'7'!$G:$G,"pipino il breve")</f>
        <v>102.73</v>
      </c>
      <c r="AB6">
        <f>_xlfn.XLOOKUP(B6,'8'!$A:$A,'8'!$G:$G,"pipino il breve")</f>
        <v>102.5</v>
      </c>
      <c r="AC6">
        <f>_xlfn.XLOOKUP(B6,'9'!$A:$A,'9'!$G:$G,"pipino il breve")</f>
        <v>102.1</v>
      </c>
      <c r="AF6">
        <f>_xlfn.XLOOKUP(B6,'12'!$A:$A,'12'!$G:$G,"pipino il breve")</f>
        <v>101.61</v>
      </c>
      <c r="AG6">
        <f>_xlfn.XLOOKUP(B6,'13'!$A:$A,'13'!$G:$G,"pipino il breve")</f>
        <v>101.22</v>
      </c>
      <c r="AH6">
        <f>_xlfn.XLOOKUP(B6,'14'!$A:$A,'14'!$G:$G,"pipino il breve")</f>
        <v>101.24</v>
      </c>
      <c r="AI6">
        <f>_xlfn.XLOOKUP(B6,'15'!$A:$A,'15'!$G:$G,"pipino il breve")</f>
        <v>101.99</v>
      </c>
    </row>
    <row r="7" spans="1:47" x14ac:dyDescent="0.2">
      <c r="A7">
        <v>6</v>
      </c>
      <c r="B7" s="2" t="s">
        <v>49</v>
      </c>
      <c r="C7" s="3">
        <v>0.3</v>
      </c>
      <c r="D7" s="2" t="s">
        <v>111</v>
      </c>
      <c r="E7" s="2">
        <f>_xlfn.XLOOKUP(B7,'15a'!$A:$A,'15a'!$G:$G,"pipino il breve")</f>
        <v>86.06</v>
      </c>
      <c r="F7" s="2">
        <f>_xlfn.XLOOKUP(B7,'16a'!$A:$A,'16a'!$G:$G,"pipino il breve")</f>
        <v>86.25</v>
      </c>
      <c r="G7" s="2">
        <f>_xlfn.XLOOKUP(B7,'17a'!$A:$A,'17a'!$G:$G,"pipino il breve")</f>
        <v>86.6</v>
      </c>
      <c r="H7" s="2"/>
      <c r="I7" s="2"/>
      <c r="J7" s="2"/>
      <c r="K7" s="2"/>
      <c r="L7" s="2">
        <f>_xlfn.XLOOKUP(B7,'22a'!$A:$A,'22a'!$G:$G,"pipino il breve")</f>
        <v>86.71</v>
      </c>
      <c r="M7" s="2">
        <f>_xlfn.XLOOKUP(B7,'23a'!$A:$A,'23a'!$G:$G,"pipino il breve")</f>
        <v>86.63</v>
      </c>
      <c r="N7" s="2">
        <f>_xlfn.XLOOKUP(B7,'24a'!$A:$A,'24a'!$G:$G,"pipino il breve")</f>
        <v>87.23</v>
      </c>
      <c r="O7" s="3">
        <v>86.93</v>
      </c>
      <c r="P7" s="3"/>
      <c r="Q7" s="3"/>
      <c r="R7">
        <f>_xlfn.XLOOKUP(B7,'28'!$A:$A,'28'!$G:$G,"pipino il breve")</f>
        <v>86.88</v>
      </c>
      <c r="S7">
        <f>_xlfn.XLOOKUP(B7,'29'!$A:$A,'29'!$G:$G,"pipino il breve")</f>
        <v>86.91</v>
      </c>
      <c r="T7" s="11">
        <f>_xlfn.XLOOKUP(B7,'30'!$A:$A,'30'!$G:$G,"pipino il breve")</f>
        <v>87.13</v>
      </c>
      <c r="U7" s="3"/>
      <c r="V7">
        <f>_xlfn.XLOOKUP(B7,'2'!$A:$A,'2'!$G:$G,"pipino il breve")</f>
        <v>86.86</v>
      </c>
      <c r="Y7">
        <f>_xlfn.XLOOKUP(B7,'5'!$A:$A,'5'!$G:$G,"pipino il breve")</f>
        <v>86.92</v>
      </c>
      <c r="Z7">
        <f>_xlfn.XLOOKUP(B7,'6'!$A:$A,'6'!$G:$G,"pipino il breve")</f>
        <v>86.92</v>
      </c>
      <c r="AA7">
        <f>_xlfn.XLOOKUP(B7,'7'!$A:$A,'7'!$G:$G,"pipino il breve")</f>
        <v>87.2</v>
      </c>
      <c r="AB7">
        <f>_xlfn.XLOOKUP(B7,'8'!$A:$A,'8'!$G:$G,"pipino il breve")</f>
        <v>87.1</v>
      </c>
      <c r="AC7">
        <f>_xlfn.XLOOKUP(B7,'9'!$A:$A,'9'!$G:$G,"pipino il breve")</f>
        <v>86.94</v>
      </c>
      <c r="AF7">
        <f>_xlfn.XLOOKUP(B7,'12'!$A:$A,'12'!$G:$G,"pipino il breve")</f>
        <v>86.51</v>
      </c>
      <c r="AG7">
        <f>_xlfn.XLOOKUP(B7,'13'!$A:$A,'13'!$G:$G,"pipino il breve")</f>
        <v>86.4</v>
      </c>
      <c r="AH7">
        <f>_xlfn.XLOOKUP(B7,'14'!$A:$A,'14'!$G:$G,"pipino il breve")</f>
        <v>86.36</v>
      </c>
      <c r="AI7">
        <f>_xlfn.XLOOKUP(B7,'15'!$A:$A,'15'!$G:$G,"pipino il breve")</f>
        <v>86.7</v>
      </c>
    </row>
    <row r="8" spans="1:47" x14ac:dyDescent="0.2">
      <c r="A8">
        <v>7</v>
      </c>
      <c r="B8" s="2" t="s">
        <v>11</v>
      </c>
      <c r="C8" s="3">
        <v>2.375</v>
      </c>
      <c r="D8" s="2" t="s">
        <v>112</v>
      </c>
      <c r="E8" s="2">
        <f>_xlfn.XLOOKUP(B8,'15a'!$A:$A,'15a'!$G:$G,"pipino il breve")</f>
        <v>107.55</v>
      </c>
      <c r="F8" s="2">
        <f>_xlfn.XLOOKUP(B8,'16a'!$A:$A,'16a'!$G:$G,"pipino il breve")</f>
        <v>107.67</v>
      </c>
      <c r="G8" s="2">
        <f>_xlfn.XLOOKUP(B8,'17a'!$A:$A,'17a'!$G:$G,"pipino il breve")</f>
        <v>108.13</v>
      </c>
      <c r="H8" s="2"/>
      <c r="I8" s="2"/>
      <c r="J8" s="2"/>
      <c r="K8" s="2"/>
      <c r="L8" s="2">
        <f>_xlfn.XLOOKUP(B8,'22a'!$A:$A,'22a'!$G:$G,"pipino il breve")</f>
        <v>108.37</v>
      </c>
      <c r="M8" s="2">
        <f>_xlfn.XLOOKUP(B8,'23a'!$A:$A,'23a'!$G:$G,"pipino il breve")</f>
        <v>108.25</v>
      </c>
      <c r="N8" s="2">
        <f>_xlfn.XLOOKUP(B8,'24a'!$A:$A,'24a'!$G:$G,"pipino il breve")</f>
        <v>109.32</v>
      </c>
      <c r="O8" s="3">
        <v>108.74</v>
      </c>
      <c r="P8" s="3"/>
      <c r="Q8" s="3"/>
      <c r="R8">
        <f>_xlfn.XLOOKUP(B8,'28'!$A:$A,'28'!$G:$G,"pipino il breve")</f>
        <v>108.57</v>
      </c>
      <c r="S8">
        <f>_xlfn.XLOOKUP(B8,'29'!$A:$A,'29'!$G:$G,"pipino il breve")</f>
        <v>108.41</v>
      </c>
      <c r="T8" s="11">
        <f>_xlfn.XLOOKUP(B8,'30'!$A:$A,'30'!$G:$G,"pipino il breve")</f>
        <v>108.82</v>
      </c>
      <c r="U8" s="3"/>
      <c r="V8">
        <f>_xlfn.XLOOKUP(B8,'2'!$A:$A,'2'!$G:$G,"pipino il breve")</f>
        <v>108.14</v>
      </c>
      <c r="Y8">
        <f>_xlfn.XLOOKUP(B8,'5'!$A:$A,'5'!$G:$G,"pipino il breve")</f>
        <v>108.34</v>
      </c>
      <c r="Z8">
        <f>_xlfn.XLOOKUP(B8,'6'!$A:$A,'6'!$G:$G,"pipino il breve")</f>
        <v>108.05</v>
      </c>
      <c r="AA8">
        <f>_xlfn.XLOOKUP(B8,'7'!$A:$A,'7'!$G:$G,"pipino il breve")</f>
        <v>108.96</v>
      </c>
      <c r="AB8">
        <f>_xlfn.XLOOKUP(B8,'8'!$A:$A,'8'!$G:$G,"pipino il breve")</f>
        <v>108.58</v>
      </c>
      <c r="AC8">
        <f>_xlfn.XLOOKUP(B8,'9'!$A:$A,'9'!$G:$G,"pipino il breve")</f>
        <v>108.15</v>
      </c>
      <c r="AF8">
        <f>_xlfn.XLOOKUP(B8,'12'!$A:$A,'12'!$G:$G,"pipino il breve")</f>
        <v>107.6</v>
      </c>
      <c r="AG8">
        <f>_xlfn.XLOOKUP(B8,'13'!$A:$A,'13'!$G:$G,"pipino il breve")</f>
        <v>107.16</v>
      </c>
      <c r="AH8">
        <f>_xlfn.XLOOKUP(B8,'14'!$A:$A,'14'!$G:$G,"pipino il breve")</f>
        <v>107.17</v>
      </c>
      <c r="AI8">
        <f>_xlfn.XLOOKUP(B8,'15'!$A:$A,'15'!$G:$G,"pipino il breve")</f>
        <v>108.08</v>
      </c>
    </row>
    <row r="9" spans="1:47" x14ac:dyDescent="0.2">
      <c r="A9">
        <v>8</v>
      </c>
      <c r="B9" s="2" t="s">
        <v>12</v>
      </c>
      <c r="C9" s="3">
        <v>1.75</v>
      </c>
      <c r="D9" s="2" t="s">
        <v>113</v>
      </c>
      <c r="E9" s="2">
        <f>_xlfn.XLOOKUP(B9,'15a'!$A:$A,'15a'!$G:$G,"pipino il breve")</f>
        <v>103.77</v>
      </c>
      <c r="F9" s="2">
        <f>_xlfn.XLOOKUP(B9,'16a'!$A:$A,'16a'!$G:$G,"pipino il breve")</f>
        <v>103.97</v>
      </c>
      <c r="G9" s="2">
        <f>_xlfn.XLOOKUP(B9,'17a'!$A:$A,'17a'!$G:$G,"pipino il breve")</f>
        <v>104.25</v>
      </c>
      <c r="H9" s="2"/>
      <c r="I9" s="2"/>
      <c r="J9" s="2"/>
      <c r="K9" s="2"/>
      <c r="L9" s="2">
        <f>_xlfn.XLOOKUP(B9,'22a'!$A:$A,'22a'!$G:$G,"pipino il breve")</f>
        <v>104.33</v>
      </c>
      <c r="M9" s="2">
        <f>_xlfn.XLOOKUP(B9,'23a'!$A:$A,'23a'!$G:$G,"pipino il breve")</f>
        <v>104.24</v>
      </c>
      <c r="N9" s="2">
        <f>_xlfn.XLOOKUP(B9,'24a'!$A:$A,'24a'!$G:$G,"pipino il breve")</f>
        <v>104.66</v>
      </c>
      <c r="O9" s="3">
        <v>104.38</v>
      </c>
      <c r="P9" s="3"/>
      <c r="Q9" s="3"/>
      <c r="R9">
        <f>_xlfn.XLOOKUP(B9,'28'!$A:$A,'28'!$G:$G,"pipino il breve")</f>
        <v>104.46</v>
      </c>
      <c r="S9">
        <f>_xlfn.XLOOKUP(B9,'29'!$A:$A,'29'!$G:$G,"pipino il breve")</f>
        <v>104.4</v>
      </c>
      <c r="T9" s="11">
        <f>_xlfn.XLOOKUP(B9,'30'!$A:$A,'30'!$G:$G,"pipino il breve")</f>
        <v>104.51</v>
      </c>
      <c r="U9" s="3"/>
      <c r="V9">
        <f>_xlfn.XLOOKUP(B9,'2'!$A:$A,'2'!$G:$G,"pipino il breve")</f>
        <v>104.37</v>
      </c>
      <c r="Y9">
        <f>_xlfn.XLOOKUP(B9,'5'!$A:$A,'5'!$G:$G,"pipino il breve")</f>
        <v>104.36</v>
      </c>
      <c r="Z9">
        <f>_xlfn.XLOOKUP(B9,'6'!$A:$A,'6'!$G:$G,"pipino il breve")</f>
        <v>104.4</v>
      </c>
      <c r="AA9">
        <f>_xlfn.XLOOKUP(B9,'7'!$A:$A,'7'!$G:$G,"pipino il breve")</f>
        <v>104.6</v>
      </c>
      <c r="AB9">
        <f>_xlfn.XLOOKUP(B9,'8'!$A:$A,'8'!$G:$G,"pipino il breve")</f>
        <v>104.45</v>
      </c>
      <c r="AC9">
        <f>_xlfn.XLOOKUP(B9,'9'!$A:$A,'9'!$G:$G,"pipino il breve")</f>
        <v>104.28</v>
      </c>
      <c r="AF9">
        <f>_xlfn.XLOOKUP(B9,'12'!$A:$A,'12'!$G:$G,"pipino il breve")</f>
        <v>103.84</v>
      </c>
      <c r="AG9">
        <f>_xlfn.XLOOKUP(B9,'13'!$A:$A,'13'!$G:$G,"pipino il breve")</f>
        <v>103.78</v>
      </c>
      <c r="AH9">
        <f>_xlfn.XLOOKUP(B9,'14'!$A:$A,'14'!$G:$G,"pipino il breve")</f>
        <v>103.75</v>
      </c>
      <c r="AI9">
        <f>_xlfn.XLOOKUP(B9,'15'!$A:$A,'15'!$G:$G,"pipino il breve")</f>
        <v>103.99</v>
      </c>
    </row>
    <row r="10" spans="1:47" x14ac:dyDescent="0.2">
      <c r="A10">
        <v>9</v>
      </c>
      <c r="B10" s="2" t="s">
        <v>15</v>
      </c>
      <c r="C10" s="3">
        <v>0.82499999999999996</v>
      </c>
      <c r="D10" s="2" t="s">
        <v>114</v>
      </c>
      <c r="E10" s="2">
        <f>_xlfn.XLOOKUP(B10,'15a'!$A:$A,'15a'!$G:$G,"pipino il breve")</f>
        <v>90.75</v>
      </c>
      <c r="F10" s="2">
        <f>_xlfn.XLOOKUP(B10,'16a'!$A:$A,'16a'!$G:$G,"pipino il breve")</f>
        <v>91</v>
      </c>
      <c r="G10" s="2">
        <f>_xlfn.XLOOKUP(B10,'17a'!$A:$A,'17a'!$G:$G,"pipino il breve")</f>
        <v>91.34</v>
      </c>
      <c r="H10" s="2"/>
      <c r="I10" s="2"/>
      <c r="J10" s="2"/>
      <c r="K10" s="2"/>
      <c r="L10" s="2">
        <f>_xlfn.XLOOKUP(B10,'22a'!$A:$A,'22a'!$G:$G,"pipino il breve")</f>
        <v>91.5</v>
      </c>
      <c r="M10" s="2">
        <f>_xlfn.XLOOKUP(B10,'23a'!$A:$A,'23a'!$G:$G,"pipino il breve")</f>
        <v>91.41</v>
      </c>
      <c r="N10" s="2">
        <f>_xlfn.XLOOKUP(B10,'24a'!$A:$A,'24a'!$G:$G,"pipino il breve")</f>
        <v>91.97</v>
      </c>
      <c r="O10" s="3">
        <v>91.72</v>
      </c>
      <c r="P10" s="3"/>
      <c r="Q10" s="3"/>
      <c r="R10">
        <f>_xlfn.XLOOKUP(B10,'28'!$A:$A,'28'!$G:$G,"pipino il breve")</f>
        <v>91.68</v>
      </c>
      <c r="S10">
        <f>_xlfn.XLOOKUP(B10,'29'!$A:$A,'29'!$G:$G,"pipino il breve")</f>
        <v>91.64</v>
      </c>
      <c r="T10" s="11">
        <f>_xlfn.XLOOKUP(B10,'30'!$A:$A,'30'!$G:$G,"pipino il breve")</f>
        <v>91.9</v>
      </c>
      <c r="U10" s="3"/>
      <c r="V10">
        <f>_xlfn.XLOOKUP(B10,'2'!$A:$A,'2'!$G:$G,"pipino il breve")</f>
        <v>91.64</v>
      </c>
      <c r="Y10">
        <f>_xlfn.XLOOKUP(B10,'5'!$A:$A,'5'!$G:$G,"pipino il breve")</f>
        <v>91.67</v>
      </c>
      <c r="Z10">
        <f>_xlfn.XLOOKUP(B10,'6'!$A:$A,'6'!$G:$G,"pipino il breve")</f>
        <v>91.62</v>
      </c>
      <c r="AA10">
        <f>_xlfn.XLOOKUP(B10,'7'!$A:$A,'7'!$G:$G,"pipino il breve")</f>
        <v>92</v>
      </c>
      <c r="AB10">
        <f>_xlfn.XLOOKUP(B10,'8'!$A:$A,'8'!$G:$G,"pipino il breve")</f>
        <v>91.91</v>
      </c>
      <c r="AC10">
        <f>_xlfn.XLOOKUP(B10,'9'!$A:$A,'9'!$G:$G,"pipino il breve")</f>
        <v>91.66</v>
      </c>
      <c r="AF10">
        <f>_xlfn.XLOOKUP(B10,'12'!$A:$A,'12'!$G:$G,"pipino il breve")</f>
        <v>91.23</v>
      </c>
      <c r="AG10">
        <f>_xlfn.XLOOKUP(B10,'13'!$A:$A,'13'!$G:$G,"pipino il breve")</f>
        <v>91.1</v>
      </c>
      <c r="AH10">
        <f>_xlfn.XLOOKUP(B10,'14'!$A:$A,'14'!$G:$G,"pipino il breve")</f>
        <v>91.08</v>
      </c>
      <c r="AI10">
        <f>_xlfn.XLOOKUP(B10,'15'!$A:$A,'15'!$G:$G,"pipino il breve")</f>
        <v>91.43</v>
      </c>
    </row>
    <row r="11" spans="1:47" x14ac:dyDescent="0.2">
      <c r="A11">
        <v>10</v>
      </c>
      <c r="B11" s="2" t="s">
        <v>18</v>
      </c>
      <c r="C11" s="3">
        <v>0.8</v>
      </c>
      <c r="D11" s="2" t="s">
        <v>115</v>
      </c>
      <c r="E11" s="2">
        <f>_xlfn.XLOOKUP(B11,'15a'!$A:$A,'15a'!$G:$G,"pipino il breve")</f>
        <v>99.55</v>
      </c>
      <c r="F11" s="2">
        <f>_xlfn.XLOOKUP(B11,'16a'!$A:$A,'16a'!$G:$G,"pipino il breve")</f>
        <v>99.62</v>
      </c>
      <c r="G11" s="2">
        <f>_xlfn.XLOOKUP(B11,'17a'!$A:$A,'17a'!$G:$G,"pipino il breve")</f>
        <v>99.7</v>
      </c>
      <c r="H11" s="2"/>
      <c r="I11" s="2"/>
      <c r="J11" s="2"/>
      <c r="K11" s="2"/>
      <c r="L11" s="2">
        <f>_xlfn.XLOOKUP(B11,'22a'!$A:$A,'22a'!$G:$G,"pipino il breve")</f>
        <v>99.75</v>
      </c>
      <c r="M11" s="2">
        <f>_xlfn.XLOOKUP(B11,'23a'!$A:$A,'23a'!$G:$G,"pipino il breve")</f>
        <v>99.65</v>
      </c>
      <c r="N11" s="2">
        <f>_xlfn.XLOOKUP(B11,'24a'!$A:$A,'24a'!$G:$G,"pipino il breve")</f>
        <v>99.77</v>
      </c>
      <c r="O11" s="3">
        <v>99.72</v>
      </c>
      <c r="P11" s="3"/>
      <c r="Q11" s="3"/>
      <c r="R11">
        <f>_xlfn.XLOOKUP(B11,'28'!$A:$A,'28'!$G:$G,"pipino il breve")</f>
        <v>99.75</v>
      </c>
      <c r="S11">
        <f>_xlfn.XLOOKUP(B11,'29'!$A:$A,'29'!$G:$G,"pipino il breve")</f>
        <v>99.72</v>
      </c>
      <c r="T11" s="11">
        <f>_xlfn.XLOOKUP(B11,'30'!$A:$A,'30'!$G:$G,"pipino il breve")</f>
        <v>99.76</v>
      </c>
      <c r="U11" s="3"/>
      <c r="V11">
        <f>_xlfn.XLOOKUP(B11,'2'!$A:$A,'2'!$G:$G,"pipino il breve")</f>
        <v>99.68</v>
      </c>
      <c r="Y11">
        <f>_xlfn.XLOOKUP(B11,'5'!$A:$A,'5'!$G:$G,"pipino il breve")</f>
        <v>99.7</v>
      </c>
      <c r="Z11">
        <f>_xlfn.XLOOKUP(B11,'6'!$A:$A,'6'!$G:$G,"pipino il breve")</f>
        <v>99.71</v>
      </c>
      <c r="AA11">
        <f>_xlfn.XLOOKUP(B11,'7'!$A:$A,'7'!$G:$G,"pipino il breve")</f>
        <v>99.75</v>
      </c>
      <c r="AB11">
        <f>_xlfn.XLOOKUP(B11,'8'!$A:$A,'8'!$G:$G,"pipino il breve")</f>
        <v>99.73</v>
      </c>
      <c r="AC11">
        <f>_xlfn.XLOOKUP(B11,'9'!$A:$A,'9'!$G:$G,"pipino il breve")</f>
        <v>99.75</v>
      </c>
      <c r="AF11">
        <f>_xlfn.XLOOKUP(B11,'12'!$A:$A,'12'!$G:$G,"pipino il breve")</f>
        <v>99.62</v>
      </c>
      <c r="AG11">
        <f>_xlfn.XLOOKUP(B11,'13'!$A:$A,'13'!$G:$G,"pipino il breve")</f>
        <v>99.9</v>
      </c>
      <c r="AH11">
        <f>_xlfn.XLOOKUP(B11,'14'!$A:$A,'14'!$G:$G,"pipino il breve")</f>
        <v>99.63</v>
      </c>
      <c r="AI11">
        <f>_xlfn.XLOOKUP(B11,'15'!$A:$A,'15'!$G:$G,"pipino il breve")</f>
        <v>99.64</v>
      </c>
    </row>
    <row r="12" spans="1:47" x14ac:dyDescent="0.2">
      <c r="A12">
        <v>11</v>
      </c>
      <c r="B12" s="2" t="s">
        <v>19</v>
      </c>
      <c r="C12" s="3">
        <v>1.125</v>
      </c>
      <c r="D12" s="2" t="s">
        <v>116</v>
      </c>
      <c r="E12" s="2">
        <f>_xlfn.XLOOKUP(B12,'15a'!$A:$A,'15a'!$G:$G,"pipino il breve")</f>
        <v>86.27</v>
      </c>
      <c r="F12" s="2">
        <f>_xlfn.XLOOKUP(B12,'16a'!$A:$A,'16a'!$G:$G,"pipino il breve")</f>
        <v>86.55</v>
      </c>
      <c r="G12" s="2">
        <f>_xlfn.XLOOKUP(B12,'17a'!$A:$A,'17a'!$G:$G,"pipino il breve")</f>
        <v>86.94</v>
      </c>
      <c r="H12" s="2"/>
      <c r="I12" s="2"/>
      <c r="J12" s="2"/>
      <c r="K12" s="2"/>
      <c r="L12" s="2">
        <f>_xlfn.XLOOKUP(B12,'22a'!$A:$A,'22a'!$G:$G,"pipino il breve")</f>
        <v>87.18</v>
      </c>
      <c r="M12" s="2">
        <f>_xlfn.XLOOKUP(B12,'23a'!$A:$A,'23a'!$G:$G,"pipino il breve")</f>
        <v>87.03</v>
      </c>
      <c r="N12" s="2">
        <f>_xlfn.XLOOKUP(B12,'24a'!$A:$A,'24a'!$G:$G,"pipino il breve")</f>
        <v>87.71</v>
      </c>
      <c r="O12" s="3">
        <v>87.26</v>
      </c>
      <c r="P12" s="3"/>
      <c r="Q12" s="3"/>
      <c r="R12">
        <f>_xlfn.XLOOKUP(B12,'28'!$A:$A,'28'!$G:$G,"pipino il breve")</f>
        <v>87.17</v>
      </c>
      <c r="S12">
        <f>_xlfn.XLOOKUP(B12,'29'!$A:$A,'29'!$G:$G,"pipino il breve")</f>
        <v>87.16</v>
      </c>
      <c r="T12" s="11">
        <f>_xlfn.XLOOKUP(B12,'30'!$A:$A,'30'!$G:$G,"pipino il breve")</f>
        <v>87.48</v>
      </c>
      <c r="U12" s="3"/>
      <c r="V12">
        <f>_xlfn.XLOOKUP(B12,'2'!$A:$A,'2'!$G:$G,"pipino il breve")</f>
        <v>87.14</v>
      </c>
      <c r="Y12">
        <f>_xlfn.XLOOKUP(B12,'5'!$A:$A,'5'!$G:$G,"pipino il breve")</f>
        <v>87.23</v>
      </c>
      <c r="Z12">
        <f>_xlfn.XLOOKUP(B12,'6'!$A:$A,'6'!$G:$G,"pipino il breve")</f>
        <v>87.12</v>
      </c>
      <c r="AA12">
        <f>_xlfn.XLOOKUP(B12,'7'!$A:$A,'7'!$G:$G,"pipino il breve")</f>
        <v>87.58</v>
      </c>
      <c r="AB12">
        <f>_xlfn.XLOOKUP(B12,'8'!$A:$A,'8'!$G:$G,"pipino il breve")</f>
        <v>87.54</v>
      </c>
      <c r="AC12">
        <f>_xlfn.XLOOKUP(B12,'9'!$A:$A,'9'!$G:$G,"pipino il breve")</f>
        <v>87.34</v>
      </c>
      <c r="AF12">
        <f>_xlfn.XLOOKUP(B12,'12'!$A:$A,'12'!$G:$G,"pipino il breve")</f>
        <v>86.82</v>
      </c>
      <c r="AG12">
        <f>_xlfn.XLOOKUP(B12,'13'!$A:$A,'13'!$G:$G,"pipino il breve")</f>
        <v>86.62</v>
      </c>
      <c r="AH12">
        <f>_xlfn.XLOOKUP(B12,'14'!$A:$A,'14'!$G:$G,"pipino il breve")</f>
        <v>86.51</v>
      </c>
      <c r="AI12">
        <f>_xlfn.XLOOKUP(B12,'15'!$A:$A,'15'!$G:$G,"pipino il breve")</f>
        <v>87.11</v>
      </c>
    </row>
    <row r="13" spans="1:47" x14ac:dyDescent="0.2">
      <c r="A13">
        <v>12</v>
      </c>
      <c r="B13" s="2" t="s">
        <v>24</v>
      </c>
      <c r="C13" s="3">
        <v>1.7250000000000001</v>
      </c>
      <c r="D13" s="2" t="s">
        <v>117</v>
      </c>
      <c r="E13" s="2">
        <f>_xlfn.XLOOKUP(B13,'15a'!$A:$A,'15a'!$G:$G,"pipino il breve")</f>
        <v>88.47</v>
      </c>
      <c r="F13" s="2">
        <f>_xlfn.XLOOKUP(B13,'16a'!$A:$A,'16a'!$G:$G,"pipino il breve")</f>
        <v>88.72</v>
      </c>
      <c r="G13" s="2">
        <f>_xlfn.XLOOKUP(B13,'17a'!$A:$A,'17a'!$G:$G,"pipino il breve")</f>
        <v>88.64</v>
      </c>
      <c r="H13" s="2"/>
      <c r="I13" s="2"/>
      <c r="J13" s="2"/>
      <c r="K13" s="2"/>
      <c r="L13" s="2">
        <f>_xlfn.XLOOKUP(B13,'22a'!$A:$A,'22a'!$G:$G,"pipino il breve")</f>
        <v>89.2</v>
      </c>
      <c r="M13" s="2">
        <f>_xlfn.XLOOKUP(B13,'23a'!$A:$A,'23a'!$G:$G,"pipino il breve")</f>
        <v>89</v>
      </c>
      <c r="N13" s="2">
        <f>_xlfn.XLOOKUP(B13,'24a'!$A:$A,'24a'!$G:$G,"pipino il breve")</f>
        <v>90.05</v>
      </c>
      <c r="O13" s="3">
        <v>89.66</v>
      </c>
      <c r="P13" s="3"/>
      <c r="Q13" s="3"/>
      <c r="R13">
        <f>_xlfn.XLOOKUP(B13,'28'!$A:$A,'28'!$G:$G,"pipino il breve")</f>
        <v>89.28</v>
      </c>
      <c r="S13">
        <f>_xlfn.XLOOKUP(B13,'29'!$A:$A,'29'!$G:$G,"pipino il breve")</f>
        <v>89.16</v>
      </c>
      <c r="T13" s="11">
        <f>_xlfn.XLOOKUP(B13,'30'!$A:$A,'30'!$G:$G,"pipino il breve")</f>
        <v>89.6</v>
      </c>
      <c r="U13" s="3"/>
      <c r="V13">
        <f>_xlfn.XLOOKUP(B13,'2'!$A:$A,'2'!$G:$G,"pipino il breve")</f>
        <v>88.93</v>
      </c>
      <c r="Y13">
        <f>_xlfn.XLOOKUP(B13,'5'!$A:$A,'5'!$G:$G,"pipino il breve")</f>
        <v>89</v>
      </c>
      <c r="Z13">
        <f>_xlfn.XLOOKUP(B13,'6'!$A:$A,'6'!$G:$G,"pipino il breve")</f>
        <v>88.78</v>
      </c>
      <c r="AA13">
        <f>_xlfn.XLOOKUP(B13,'7'!$A:$A,'7'!$G:$G,"pipino il breve")</f>
        <v>89.65</v>
      </c>
      <c r="AB13">
        <f>_xlfn.XLOOKUP(B13,'8'!$A:$A,'8'!$G:$G,"pipino il breve")</f>
        <v>89.16</v>
      </c>
      <c r="AC13">
        <f>_xlfn.XLOOKUP(B13,'9'!$A:$A,'9'!$G:$G,"pipino il breve")</f>
        <v>88.85</v>
      </c>
      <c r="AF13">
        <f>_xlfn.XLOOKUP(B13,'12'!$A:$A,'12'!$G:$G,"pipino il breve")</f>
        <v>88.36</v>
      </c>
      <c r="AG13">
        <f>_xlfn.XLOOKUP(B13,'13'!$A:$A,'13'!$G:$G,"pipino il breve")</f>
        <v>87.93</v>
      </c>
      <c r="AH13">
        <f>_xlfn.XLOOKUP(B13,'14'!$A:$A,'14'!$G:$G,"pipino il breve")</f>
        <v>87.9</v>
      </c>
      <c r="AI13">
        <f>_xlfn.XLOOKUP(B13,'15'!$A:$A,'15'!$G:$G,"pipino il breve")</f>
        <v>88.83</v>
      </c>
    </row>
    <row r="14" spans="1:47" x14ac:dyDescent="0.2">
      <c r="A14">
        <v>13</v>
      </c>
      <c r="B14" s="2" t="s">
        <v>34</v>
      </c>
      <c r="C14" s="3">
        <v>1.55</v>
      </c>
      <c r="D14" s="2" t="s">
        <v>118</v>
      </c>
      <c r="E14" s="2">
        <f>_xlfn.XLOOKUP(B14,'15a'!$A:$A,'15a'!$G:$G,"pipino il breve")</f>
        <v>89.74</v>
      </c>
      <c r="F14" s="2">
        <f>_xlfn.XLOOKUP(B14,'16a'!$A:$A,'16a'!$G:$G,"pipino il breve")</f>
        <v>89.96</v>
      </c>
      <c r="G14" s="2">
        <f>_xlfn.XLOOKUP(B14,'17a'!$A:$A,'17a'!$G:$G,"pipino il breve")</f>
        <v>90.36</v>
      </c>
      <c r="H14" s="2"/>
      <c r="I14" s="2"/>
      <c r="J14" s="2"/>
      <c r="K14" s="2"/>
      <c r="L14" s="2">
        <f>_xlfn.XLOOKUP(B14,'22a'!$A:$A,'22a'!$G:$G,"pipino il breve")</f>
        <v>90.6</v>
      </c>
      <c r="M14" s="2">
        <f>_xlfn.XLOOKUP(B14,'23a'!$A:$A,'23a'!$G:$G,"pipino il breve")</f>
        <v>90.43</v>
      </c>
      <c r="N14" s="2">
        <f>_xlfn.XLOOKUP(B14,'24a'!$A:$A,'24a'!$G:$G,"pipino il breve")</f>
        <v>91.29</v>
      </c>
      <c r="O14" s="3">
        <v>90.84</v>
      </c>
      <c r="P14" s="3"/>
      <c r="Q14" s="3"/>
      <c r="R14">
        <f>_xlfn.XLOOKUP(B14,'28'!$A:$A,'28'!$G:$G,"pipino il breve")</f>
        <v>90.67</v>
      </c>
      <c r="S14">
        <f>_xlfn.XLOOKUP(B14,'29'!$A:$A,'29'!$G:$G,"pipino il breve")</f>
        <v>90.61</v>
      </c>
      <c r="T14" s="11">
        <f>_xlfn.XLOOKUP(B14,'30'!$A:$A,'30'!$G:$G,"pipino il breve")</f>
        <v>90.94</v>
      </c>
      <c r="U14" s="3"/>
      <c r="V14">
        <f>_xlfn.XLOOKUP(B14,'2'!$A:$A,'2'!$G:$G,"pipino il breve")</f>
        <v>90.51</v>
      </c>
      <c r="Y14">
        <f>_xlfn.XLOOKUP(B14,'5'!$A:$A,'5'!$G:$G,"pipino il breve")</f>
        <v>90.65</v>
      </c>
      <c r="Z14">
        <f>_xlfn.XLOOKUP(B14,'6'!$A:$A,'6'!$G:$G,"pipino il breve")</f>
        <v>90.44</v>
      </c>
      <c r="AA14">
        <f>_xlfn.XLOOKUP(B14,'7'!$A:$A,'7'!$G:$G,"pipino il breve")</f>
        <v>91.21</v>
      </c>
      <c r="AB14">
        <f>_xlfn.XLOOKUP(B14,'8'!$A:$A,'8'!$G:$G,"pipino il breve")</f>
        <v>90.95</v>
      </c>
      <c r="AC14">
        <f>_xlfn.XLOOKUP(B14,'9'!$A:$A,'9'!$G:$G,"pipino il breve")</f>
        <v>90.65</v>
      </c>
      <c r="AF14">
        <f>_xlfn.XLOOKUP(B14,'12'!$A:$A,'12'!$G:$G,"pipino il breve")</f>
        <v>90.15</v>
      </c>
      <c r="AG14">
        <f>_xlfn.XLOOKUP(B14,'13'!$A:$A,'13'!$G:$G,"pipino il breve")</f>
        <v>89.82</v>
      </c>
      <c r="AH14">
        <f>_xlfn.XLOOKUP(B14,'14'!$A:$A,'14'!$G:$G,"pipino il breve")</f>
        <v>89.75</v>
      </c>
      <c r="AI14">
        <f>_xlfn.XLOOKUP(B14,'15'!$A:$A,'15'!$G:$G,"pipino il breve")</f>
        <v>90.55</v>
      </c>
    </row>
    <row r="15" spans="1:47" x14ac:dyDescent="0.2">
      <c r="A15">
        <v>14</v>
      </c>
      <c r="B15" s="2" t="s">
        <v>50</v>
      </c>
      <c r="C15" s="3">
        <v>0</v>
      </c>
      <c r="D15" s="2" t="s">
        <v>119</v>
      </c>
      <c r="E15" s="2">
        <f>_xlfn.XLOOKUP(B15,'15a'!$A:$A,'15a'!$G:$G,"pipino il breve")</f>
        <v>98.070999999999998</v>
      </c>
      <c r="F15" s="2">
        <f>_xlfn.XLOOKUP(B15,'16a'!$A:$A,'16a'!$G:$G,"pipino il breve")</f>
        <v>98.138999999999996</v>
      </c>
      <c r="G15" s="2">
        <f>_xlfn.XLOOKUP(B15,'17a'!$A:$A,'17a'!$G:$G,"pipino il breve")</f>
        <v>98.197000000000003</v>
      </c>
      <c r="H15" s="2"/>
      <c r="I15" s="2"/>
      <c r="J15" s="2"/>
      <c r="K15" s="2"/>
      <c r="L15" s="2">
        <f>_xlfn.XLOOKUP(B15,'22a'!$A:$A,'22a'!$G:$G,"pipino il breve")</f>
        <v>98.221000000000004</v>
      </c>
      <c r="M15" s="2">
        <f>_xlfn.XLOOKUP(B15,'23a'!$A:$A,'23a'!$G:$G,"pipino il breve")</f>
        <v>98.209000000000003</v>
      </c>
      <c r="N15" s="2">
        <f>_xlfn.XLOOKUP(B15,'24a'!$A:$A,'24a'!$G:$G,"pipino il breve")</f>
        <v>98.281999999999996</v>
      </c>
      <c r="O15" s="3">
        <v>98.272999999999996</v>
      </c>
      <c r="P15" s="3"/>
      <c r="Q15" s="3"/>
      <c r="R15">
        <f>_xlfn.XLOOKUP(B15,'28'!$A:$A,'28'!$G:$G,"pipino il breve")</f>
        <v>98.284000000000006</v>
      </c>
      <c r="S15">
        <f>_xlfn.XLOOKUP(B15,'29'!$A:$A,'29'!$G:$G,"pipino il breve")</f>
        <v>98.283000000000001</v>
      </c>
      <c r="T15" s="11">
        <f>_xlfn.XLOOKUP(B15,'30'!$A:$A,'30'!$G:$G,"pipino il breve")</f>
        <v>98.283000000000001</v>
      </c>
      <c r="U15" s="3"/>
      <c r="V15">
        <f>_xlfn.XLOOKUP(B15,'2'!$A:$A,'2'!$G:$G,"pipino il breve")</f>
        <v>98.281000000000006</v>
      </c>
      <c r="Y15">
        <f>_xlfn.XLOOKUP(B15,'5'!$A:$A,'5'!$G:$G,"pipino il breve")</f>
        <v>98.305999999999997</v>
      </c>
      <c r="Z15">
        <f>_xlfn.XLOOKUP(B15,'6'!$A:$A,'6'!$G:$G,"pipino il breve")</f>
        <v>98.325999999999993</v>
      </c>
      <c r="AA15">
        <f>_xlfn.XLOOKUP(B15,'7'!$A:$A,'7'!$G:$G,"pipino il breve")</f>
        <v>98.353999999999999</v>
      </c>
      <c r="AB15">
        <f>_xlfn.XLOOKUP(B15,'8'!$A:$A,'8'!$G:$G,"pipino il breve")</f>
        <v>98.367000000000004</v>
      </c>
      <c r="AC15">
        <f>_xlfn.XLOOKUP(B15,'9'!$A:$A,'9'!$G:$G,"pipino il breve")</f>
        <v>98.343999999999994</v>
      </c>
      <c r="AF15">
        <f>_xlfn.XLOOKUP(B15,'12'!$A:$A,'12'!$G:$G,"pipino il breve")</f>
        <v>98.272999999999996</v>
      </c>
      <c r="AG15">
        <f>_xlfn.XLOOKUP(B15,'13'!$A:$A,'13'!$G:$G,"pipino il breve")</f>
        <v>98.284999999999997</v>
      </c>
      <c r="AH15">
        <f>_xlfn.XLOOKUP(B15,'14'!$A:$A,'14'!$G:$G,"pipino il breve")</f>
        <v>98.263000000000005</v>
      </c>
      <c r="AI15">
        <f>_xlfn.XLOOKUP(B15,'15'!$A:$A,'15'!$G:$G,"pipino il breve")</f>
        <v>98.326999999999998</v>
      </c>
    </row>
    <row r="16" spans="1:47" x14ac:dyDescent="0.2">
      <c r="A16">
        <v>15</v>
      </c>
      <c r="B16" s="2" t="s">
        <v>51</v>
      </c>
      <c r="C16" s="3">
        <v>1.075</v>
      </c>
      <c r="D16" s="2" t="s">
        <v>120</v>
      </c>
      <c r="E16" s="2">
        <f>_xlfn.XLOOKUP(B16,'15a'!$A:$A,'15a'!$G:$G,"pipino il breve")</f>
        <v>59.5</v>
      </c>
      <c r="F16" s="2">
        <f>_xlfn.XLOOKUP(B16,'16a'!$A:$A,'16a'!$G:$G,"pipino il breve")</f>
        <v>59.48</v>
      </c>
      <c r="G16" s="2">
        <f>_xlfn.XLOOKUP(B16,'17a'!$A:$A,'17a'!$G:$G,"pipino il breve")</f>
        <v>59.52</v>
      </c>
      <c r="H16" s="2"/>
      <c r="I16" s="2"/>
      <c r="J16" s="2"/>
      <c r="K16" s="2"/>
      <c r="L16" s="2">
        <f>_xlfn.XLOOKUP(B16,'22a'!$A:$A,'22a'!$G:$G,"pipino il breve")</f>
        <v>59.97</v>
      </c>
      <c r="M16" s="2">
        <f>_xlfn.XLOOKUP(B16,'23a'!$A:$A,'23a'!$G:$G,"pipino il breve")</f>
        <v>59.96</v>
      </c>
      <c r="N16" s="2">
        <f>_xlfn.XLOOKUP(B16,'24a'!$A:$A,'24a'!$G:$G,"pipino il breve")</f>
        <v>60.7</v>
      </c>
      <c r="O16" s="3">
        <v>60.45</v>
      </c>
      <c r="P16" s="3"/>
      <c r="Q16" s="3"/>
      <c r="R16">
        <f>_xlfn.XLOOKUP(B16,'28'!$A:$A,'28'!$G:$G,"pipino il breve")</f>
        <v>60.04</v>
      </c>
      <c r="S16">
        <f>_xlfn.XLOOKUP(B16,'29'!$A:$A,'29'!$G:$G,"pipino il breve")</f>
        <v>59.9</v>
      </c>
      <c r="T16" s="11">
        <f>_xlfn.XLOOKUP(B16,'30'!$A:$A,'30'!$G:$G,"pipino il breve")</f>
        <v>60.48</v>
      </c>
      <c r="U16" s="3"/>
      <c r="V16">
        <f>_xlfn.XLOOKUP(B16,'2'!$A:$A,'2'!$G:$G,"pipino il breve")</f>
        <v>59.71</v>
      </c>
      <c r="Y16">
        <f>_xlfn.XLOOKUP(B16,'5'!$A:$A,'5'!$G:$G,"pipino il breve")</f>
        <v>59.44</v>
      </c>
      <c r="Z16">
        <f>_xlfn.XLOOKUP(B16,'6'!$A:$A,'6'!$G:$G,"pipino il breve")</f>
        <v>59.3</v>
      </c>
      <c r="AA16">
        <f>_xlfn.XLOOKUP(B16,'7'!$A:$A,'7'!$G:$G,"pipino il breve")</f>
        <v>60.16</v>
      </c>
      <c r="AB16">
        <f>_xlfn.XLOOKUP(B16,'8'!$A:$A,'8'!$G:$G,"pipino il breve")</f>
        <v>59.87</v>
      </c>
      <c r="AC16">
        <f>_xlfn.XLOOKUP(B16,'9'!$A:$A,'9'!$G:$G,"pipino il breve")</f>
        <v>59.46</v>
      </c>
      <c r="AF16">
        <f>_xlfn.XLOOKUP(B16,'12'!$A:$A,'12'!$G:$G,"pipino il breve")</f>
        <v>59.12</v>
      </c>
      <c r="AG16">
        <f>_xlfn.XLOOKUP(B16,'13'!$A:$A,'13'!$G:$G,"pipino il breve")</f>
        <v>58.77</v>
      </c>
      <c r="AH16">
        <f>_xlfn.XLOOKUP(B16,'14'!$A:$A,'14'!$G:$G,"pipino il breve")</f>
        <v>58.7</v>
      </c>
      <c r="AI16">
        <f>_xlfn.XLOOKUP(B16,'15'!$A:$A,'15'!$G:$G,"pipino il breve")</f>
        <v>59.49</v>
      </c>
    </row>
    <row r="17" spans="1:35" x14ac:dyDescent="0.2">
      <c r="A17">
        <v>16</v>
      </c>
      <c r="B17" s="2" t="s">
        <v>62</v>
      </c>
      <c r="C17" s="3">
        <v>1.625</v>
      </c>
      <c r="D17" s="2" t="s">
        <v>121</v>
      </c>
      <c r="E17" s="2">
        <f>_xlfn.XLOOKUP(B17,'15a'!$A:$A,'15a'!$G:$G,"pipino il breve")</f>
        <v>93.48</v>
      </c>
      <c r="F17" s="2">
        <f>_xlfn.XLOOKUP(B17,'16a'!$A:$A,'16a'!$G:$G,"pipino il breve")</f>
        <v>93.66</v>
      </c>
      <c r="G17" s="2">
        <f>_xlfn.XLOOKUP(B17,'17a'!$A:$A,'17a'!$G:$G,"pipino il breve")</f>
        <v>94.13</v>
      </c>
      <c r="H17" s="2"/>
      <c r="I17" s="2"/>
      <c r="J17" s="2"/>
      <c r="K17" s="2"/>
      <c r="L17" s="2">
        <f>_xlfn.XLOOKUP(B17,'22a'!$A:$A,'22a'!$G:$G,"pipino il breve")</f>
        <v>94.4</v>
      </c>
      <c r="M17" s="2">
        <f>_xlfn.XLOOKUP(B17,'23a'!$A:$A,'23a'!$G:$G,"pipino il breve")</f>
        <v>94.13</v>
      </c>
      <c r="N17" s="2">
        <f>_xlfn.XLOOKUP(B17,'24a'!$A:$A,'24a'!$G:$G,"pipino il breve")</f>
        <v>94.94</v>
      </c>
      <c r="O17" s="3">
        <v>94.4</v>
      </c>
      <c r="P17" s="3"/>
      <c r="Q17" s="3"/>
      <c r="R17">
        <f>_xlfn.XLOOKUP(B17,'28'!$A:$A,'28'!$G:$G,"pipino il breve")</f>
        <v>94.41</v>
      </c>
      <c r="S17">
        <f>_xlfn.XLOOKUP(B17,'29'!$A:$A,'29'!$G:$G,"pipino il breve")</f>
        <v>94.31</v>
      </c>
      <c r="T17" s="11">
        <f>_xlfn.XLOOKUP(B17,'30'!$A:$A,'30'!$G:$G,"pipino il breve")</f>
        <v>94.64</v>
      </c>
      <c r="U17" s="3"/>
      <c r="V17">
        <f>_xlfn.XLOOKUP(B17,'2'!$A:$A,'2'!$G:$G,"pipino il breve")</f>
        <v>94.23</v>
      </c>
      <c r="Y17">
        <f>_xlfn.XLOOKUP(B17,'5'!$A:$A,'5'!$G:$G,"pipino il breve")</f>
        <v>94.32</v>
      </c>
      <c r="Z17">
        <f>_xlfn.XLOOKUP(B17,'6'!$A:$A,'6'!$G:$G,"pipino il breve")</f>
        <v>94.18</v>
      </c>
      <c r="AA17">
        <f>_xlfn.XLOOKUP(B17,'7'!$A:$A,'7'!$G:$G,"pipino il breve")</f>
        <v>94.75</v>
      </c>
      <c r="AB17">
        <f>_xlfn.XLOOKUP(B17,'8'!$A:$A,'8'!$G:$G,"pipino il breve")</f>
        <v>94.64</v>
      </c>
      <c r="AC17">
        <f>_xlfn.XLOOKUP(B17,'9'!$A:$A,'9'!$G:$G,"pipino il breve")</f>
        <v>94.29</v>
      </c>
      <c r="AF17">
        <f>_xlfn.XLOOKUP(B17,'12'!$A:$A,'12'!$G:$G,"pipino il breve")</f>
        <v>93.82</v>
      </c>
      <c r="AG17">
        <f>_xlfn.XLOOKUP(B17,'13'!$A:$A,'13'!$G:$G,"pipino il breve")</f>
        <v>93.5</v>
      </c>
      <c r="AH17">
        <f>_xlfn.XLOOKUP(B17,'14'!$A:$A,'14'!$G:$G,"pipino il breve")</f>
        <v>93.59</v>
      </c>
      <c r="AI17">
        <f>_xlfn.XLOOKUP(B17,'15'!$A:$A,'15'!$G:$G,"pipino il breve")</f>
        <v>94.11</v>
      </c>
    </row>
    <row r="18" spans="1:35" x14ac:dyDescent="0.2">
      <c r="A18">
        <v>17</v>
      </c>
      <c r="B18" s="2" t="s">
        <v>58</v>
      </c>
      <c r="C18" s="3">
        <v>0.55000000000000004</v>
      </c>
      <c r="D18" s="2" t="s">
        <v>122</v>
      </c>
      <c r="E18" s="2">
        <f>_xlfn.XLOOKUP(B18,'15a'!$A:$A,'15a'!$G:$G,"pipino il breve")</f>
        <v>98.27</v>
      </c>
      <c r="F18" s="2">
        <f>_xlfn.XLOOKUP(B18,'16a'!$A:$A,'16a'!$G:$G,"pipino il breve")</f>
        <v>98.4</v>
      </c>
      <c r="G18" s="2">
        <f>_xlfn.XLOOKUP(B18,'17a'!$A:$A,'17a'!$G:$G,"pipino il breve")</f>
        <v>98.44</v>
      </c>
      <c r="H18" s="2"/>
      <c r="I18" s="2"/>
      <c r="J18" s="2"/>
      <c r="K18" s="2"/>
      <c r="L18" s="2">
        <f>_xlfn.XLOOKUP(B18,'22a'!$A:$A,'22a'!$G:$G,"pipino il breve")</f>
        <v>98.49</v>
      </c>
      <c r="M18" s="2">
        <f>_xlfn.XLOOKUP(B18,'23a'!$A:$A,'23a'!$G:$G,"pipino il breve")</f>
        <v>98.48</v>
      </c>
      <c r="N18" s="2">
        <f>_xlfn.XLOOKUP(B18,'24a'!$A:$A,'24a'!$G:$G,"pipino il breve")</f>
        <v>98.54</v>
      </c>
      <c r="O18" s="3">
        <v>98.44</v>
      </c>
      <c r="P18" s="3"/>
      <c r="Q18" s="3"/>
      <c r="R18">
        <f>_xlfn.XLOOKUP(B18,'28'!$A:$A,'28'!$G:$G,"pipino il breve")</f>
        <v>98.48</v>
      </c>
      <c r="S18">
        <f>_xlfn.XLOOKUP(B18,'29'!$A:$A,'29'!$G:$G,"pipino il breve")</f>
        <v>98.45</v>
      </c>
      <c r="T18" s="11">
        <f>_xlfn.XLOOKUP(B18,'30'!$A:$A,'30'!$G:$G,"pipino il breve")</f>
        <v>98.49</v>
      </c>
      <c r="U18" s="3"/>
      <c r="V18">
        <f>_xlfn.XLOOKUP(B18,'2'!$A:$A,'2'!$G:$G,"pipino il breve")</f>
        <v>98.5</v>
      </c>
      <c r="Y18">
        <f>_xlfn.XLOOKUP(B18,'5'!$A:$A,'5'!$G:$G,"pipino il breve")</f>
        <v>98.43</v>
      </c>
      <c r="Z18">
        <f>_xlfn.XLOOKUP(B18,'6'!$A:$A,'6'!$G:$G,"pipino il breve")</f>
        <v>98.44</v>
      </c>
      <c r="AA18">
        <f>_xlfn.XLOOKUP(B18,'7'!$A:$A,'7'!$G:$G,"pipino il breve")</f>
        <v>98.56</v>
      </c>
      <c r="AB18">
        <f>_xlfn.XLOOKUP(B18,'8'!$A:$A,'8'!$G:$G,"pipino il breve")</f>
        <v>98.49</v>
      </c>
      <c r="AC18">
        <f>_xlfn.XLOOKUP(B18,'9'!$A:$A,'9'!$G:$G,"pipino il breve")</f>
        <v>98.45</v>
      </c>
      <c r="AF18">
        <f>_xlfn.XLOOKUP(B18,'12'!$A:$A,'12'!$G:$G,"pipino il breve")</f>
        <v>98.23</v>
      </c>
      <c r="AG18">
        <f>_xlfn.XLOOKUP(B18,'13'!$A:$A,'13'!$G:$G,"pipino il breve")</f>
        <v>98.23</v>
      </c>
      <c r="AH18">
        <f>_xlfn.XLOOKUP(B18,'14'!$A:$A,'14'!$G:$G,"pipino il breve")</f>
        <v>98.25</v>
      </c>
      <c r="AI18">
        <f>_xlfn.XLOOKUP(B18,'15'!$A:$A,'15'!$G:$G,"pipino il breve")</f>
        <v>98.32</v>
      </c>
    </row>
    <row r="19" spans="1:35" x14ac:dyDescent="0.2">
      <c r="A19">
        <v>18</v>
      </c>
      <c r="B19" s="2" t="s">
        <v>86</v>
      </c>
      <c r="C19" s="3">
        <v>1.675</v>
      </c>
      <c r="D19" s="2" t="s">
        <v>123</v>
      </c>
      <c r="E19" s="2">
        <f>_xlfn.XLOOKUP(B19,'15a'!$A:$A,'15a'!$G:$G,"pipino il breve")</f>
        <v>102.91</v>
      </c>
      <c r="F19" s="2">
        <f>_xlfn.XLOOKUP(B19,'16a'!$A:$A,'16a'!$G:$G,"pipino il breve")</f>
        <v>103.06</v>
      </c>
      <c r="G19" s="2">
        <f>_xlfn.XLOOKUP(B19,'17a'!$A:$A,'17a'!$G:$G,"pipino il breve")</f>
        <v>103.31</v>
      </c>
      <c r="H19" s="2"/>
      <c r="I19" s="2"/>
      <c r="J19" s="2"/>
      <c r="K19" s="2"/>
      <c r="L19" s="2">
        <f>_xlfn.XLOOKUP(B19,'22a'!$A:$A,'22a'!$G:$G,"pipino il breve")</f>
        <v>103.42</v>
      </c>
      <c r="M19" s="2">
        <f>_xlfn.XLOOKUP(B19,'23a'!$A:$A,'23a'!$G:$G,"pipino il breve")</f>
        <v>103.27</v>
      </c>
      <c r="N19" s="2">
        <f>_xlfn.XLOOKUP(B19,'24a'!$A:$A,'24a'!$G:$G,"pipino il breve")</f>
        <v>103.61</v>
      </c>
      <c r="O19" s="3">
        <v>103.37</v>
      </c>
      <c r="P19" s="3"/>
      <c r="Q19" s="3"/>
      <c r="R19">
        <f>_xlfn.XLOOKUP(B19,'28'!$A:$A,'28'!$G:$G,"pipino il breve")</f>
        <v>103.43</v>
      </c>
      <c r="S19">
        <f>_xlfn.XLOOKUP(B19,'29'!$A:$A,'29'!$G:$G,"pipino il breve")</f>
        <v>103.35</v>
      </c>
      <c r="T19" s="11">
        <f>_xlfn.XLOOKUP(B19,'30'!$A:$A,'30'!$G:$G,"pipino il breve")</f>
        <v>103.51</v>
      </c>
      <c r="U19" s="3"/>
      <c r="V19">
        <f>_xlfn.XLOOKUP(B19,'2'!$A:$A,'2'!$G:$G,"pipino il breve")</f>
        <v>103.33</v>
      </c>
      <c r="Y19">
        <f>_xlfn.XLOOKUP(B19,'5'!$A:$A,'5'!$G:$G,"pipino il breve")</f>
        <v>103.36</v>
      </c>
      <c r="Z19">
        <f>_xlfn.XLOOKUP(B19,'6'!$A:$A,'6'!$G:$G,"pipino il breve")</f>
        <v>103.36</v>
      </c>
      <c r="AA19">
        <f>_xlfn.XLOOKUP(B19,'7'!$A:$A,'7'!$G:$G,"pipino il breve")</f>
        <v>103.51</v>
      </c>
      <c r="AB19">
        <f>_xlfn.XLOOKUP(B19,'8'!$A:$A,'8'!$G:$G,"pipino il breve")</f>
        <v>103.4</v>
      </c>
      <c r="AC19">
        <f>_xlfn.XLOOKUP(B19,'9'!$A:$A,'9'!$G:$G,"pipino il breve")</f>
        <v>103.27</v>
      </c>
      <c r="AF19">
        <f>_xlfn.XLOOKUP(B19,'12'!$A:$A,'12'!$G:$G,"pipino il breve")</f>
        <v>102.9</v>
      </c>
      <c r="AG19">
        <f>_xlfn.XLOOKUP(B19,'13'!$A:$A,'13'!$G:$G,"pipino il breve")</f>
        <v>102.81</v>
      </c>
      <c r="AH19">
        <f>_xlfn.XLOOKUP(B19,'14'!$A:$A,'14'!$G:$G,"pipino il breve")</f>
        <v>102.77</v>
      </c>
      <c r="AI19">
        <f>_xlfn.XLOOKUP(B19,'15'!$A:$A,'15'!$G:$G,"pipino il breve")</f>
        <v>103.02</v>
      </c>
    </row>
    <row r="20" spans="1:35" x14ac:dyDescent="0.2">
      <c r="A20">
        <v>19</v>
      </c>
      <c r="B20" s="2" t="s">
        <v>87</v>
      </c>
      <c r="C20" s="3">
        <v>1.925</v>
      </c>
      <c r="D20" s="2" t="s">
        <v>124</v>
      </c>
      <c r="E20" s="2">
        <f>_xlfn.XLOOKUP(B20,'15a'!$A:$A,'15a'!$G:$G,"pipino il breve")</f>
        <v>102.31</v>
      </c>
      <c r="F20" s="2">
        <f>_xlfn.XLOOKUP(B20,'16a'!$A:$A,'16a'!$G:$G,"pipino il breve")</f>
        <v>102.53</v>
      </c>
      <c r="G20" s="2">
        <f>_xlfn.XLOOKUP(B20,'17a'!$A:$A,'17a'!$G:$G,"pipino il breve")</f>
        <v>102.98</v>
      </c>
      <c r="H20" s="2"/>
      <c r="I20" s="2"/>
      <c r="J20" s="2"/>
      <c r="K20" s="2"/>
      <c r="L20" s="2">
        <f>_xlfn.XLOOKUP(B20,'22a'!$A:$A,'22a'!$G:$G,"pipino il breve")</f>
        <v>103.26</v>
      </c>
      <c r="M20" s="2">
        <f>_xlfn.XLOOKUP(B20,'23a'!$A:$A,'23a'!$G:$G,"pipino il breve")</f>
        <v>103.11</v>
      </c>
      <c r="N20" s="2">
        <f>_xlfn.XLOOKUP(B20,'24a'!$A:$A,'24a'!$G:$G,"pipino il breve")</f>
        <v>103.75</v>
      </c>
      <c r="O20" s="3">
        <v>103.41</v>
      </c>
      <c r="P20" s="3"/>
      <c r="Q20" s="3"/>
      <c r="R20">
        <f>_xlfn.XLOOKUP(B20,'28'!$A:$A,'28'!$G:$G,"pipino il breve")</f>
        <v>103.34</v>
      </c>
      <c r="S20">
        <f>_xlfn.XLOOKUP(B20,'29'!$A:$A,'29'!$G:$G,"pipino il breve")</f>
        <v>103.29</v>
      </c>
      <c r="T20" s="11">
        <f>_xlfn.XLOOKUP(B20,'30'!$A:$A,'30'!$G:$G,"pipino il breve")</f>
        <v>103.61</v>
      </c>
      <c r="U20" s="3"/>
      <c r="V20">
        <f>_xlfn.XLOOKUP(B20,'2'!$A:$A,'2'!$G:$G,"pipino il breve")</f>
        <v>103.2</v>
      </c>
      <c r="Y20">
        <f>_xlfn.XLOOKUP(B20,'5'!$A:$A,'5'!$G:$G,"pipino il breve")</f>
        <v>103.3</v>
      </c>
      <c r="Z20">
        <f>_xlfn.XLOOKUP(B20,'6'!$A:$A,'6'!$G:$G,"pipino il breve")</f>
        <v>103.21</v>
      </c>
      <c r="AA20">
        <f>_xlfn.XLOOKUP(B20,'7'!$A:$A,'7'!$G:$G,"pipino il breve")</f>
        <v>103.76</v>
      </c>
      <c r="AB20">
        <f>_xlfn.XLOOKUP(B20,'8'!$A:$A,'8'!$G:$G,"pipino il breve")</f>
        <v>103.6</v>
      </c>
      <c r="AC20">
        <f>_xlfn.XLOOKUP(B20,'9'!$A:$A,'9'!$G:$G,"pipino il breve")</f>
        <v>103.33</v>
      </c>
      <c r="AF20">
        <f>_xlfn.XLOOKUP(B20,'12'!$A:$A,'12'!$G:$G,"pipino il breve")</f>
        <v>102.83</v>
      </c>
      <c r="AG20">
        <f>_xlfn.XLOOKUP(B20,'13'!$A:$A,'13'!$G:$G,"pipino il breve")</f>
        <v>102.67</v>
      </c>
      <c r="AH20">
        <f>_xlfn.XLOOKUP(B20,'14'!$A:$A,'14'!$G:$G,"pipino il breve")</f>
        <v>102.5</v>
      </c>
      <c r="AI20">
        <f>_xlfn.XLOOKUP(B20,'15'!$A:$A,'15'!$G:$G,"pipino il breve")</f>
        <v>103.09</v>
      </c>
    </row>
    <row r="21" spans="1:35" x14ac:dyDescent="0.2">
      <c r="A21">
        <v>20</v>
      </c>
      <c r="B21" s="2" t="s">
        <v>41</v>
      </c>
      <c r="C21" s="3">
        <v>0.82499999999999996</v>
      </c>
      <c r="D21" s="2" t="s">
        <v>125</v>
      </c>
      <c r="E21" s="2">
        <f>_xlfn.XLOOKUP(B21,'15a'!$A:$A,'15a'!$G:$G,"pipino il breve")</f>
        <v>93.5</v>
      </c>
      <c r="F21" s="2">
        <f>_xlfn.XLOOKUP(B21,'16a'!$A:$A,'16a'!$G:$G,"pipino il breve")</f>
        <v>93.69</v>
      </c>
      <c r="G21" s="2">
        <f>_xlfn.XLOOKUP(B21,'17a'!$A:$A,'17a'!$G:$G,"pipino il breve")</f>
        <v>94</v>
      </c>
      <c r="H21" s="2"/>
      <c r="I21" s="2"/>
      <c r="J21" s="2"/>
      <c r="K21" s="2"/>
      <c r="L21" s="2">
        <f>_xlfn.XLOOKUP(B21,'22a'!$A:$A,'22a'!$G:$G,"pipino il breve")</f>
        <v>94.15</v>
      </c>
      <c r="M21" s="2">
        <f>_xlfn.XLOOKUP(B21,'23a'!$A:$A,'23a'!$G:$G,"pipino il breve")</f>
        <v>94.05</v>
      </c>
      <c r="N21" s="2">
        <f>_xlfn.XLOOKUP(B21,'24a'!$A:$A,'24a'!$G:$G,"pipino il breve")</f>
        <v>94.48</v>
      </c>
      <c r="O21" s="3">
        <v>94.26</v>
      </c>
      <c r="P21" s="3"/>
      <c r="Q21" s="3"/>
      <c r="R21">
        <f>_xlfn.XLOOKUP(B21,'28'!$A:$A,'28'!$G:$G,"pipino il breve")</f>
        <v>94.24</v>
      </c>
      <c r="S21">
        <f>_xlfn.XLOOKUP(B21,'29'!$A:$A,'29'!$G:$G,"pipino il breve")</f>
        <v>94.25</v>
      </c>
      <c r="T21" s="11">
        <f>_xlfn.XLOOKUP(B21,'30'!$A:$A,'30'!$G:$G,"pipino il breve")</f>
        <v>94.45</v>
      </c>
      <c r="U21" s="3"/>
      <c r="V21">
        <f>_xlfn.XLOOKUP(B21,'2'!$A:$A,'2'!$G:$G,"pipino il breve")</f>
        <v>94.19</v>
      </c>
      <c r="Y21">
        <f>_xlfn.XLOOKUP(B21,'5'!$A:$A,'5'!$G:$G,"pipino il breve")</f>
        <v>94.21</v>
      </c>
      <c r="Z21">
        <f>_xlfn.XLOOKUP(B21,'6'!$A:$A,'6'!$G:$G,"pipino il breve")</f>
        <v>94.23</v>
      </c>
      <c r="AA21">
        <f>_xlfn.XLOOKUP(B21,'7'!$A:$A,'7'!$G:$G,"pipino il breve")</f>
        <v>94.51</v>
      </c>
      <c r="AB21">
        <f>_xlfn.XLOOKUP(B21,'8'!$A:$A,'8'!$G:$G,"pipino il breve")</f>
        <v>94.4</v>
      </c>
      <c r="AC21">
        <f>_xlfn.XLOOKUP(B21,'9'!$A:$A,'9'!$G:$G,"pipino il breve")</f>
        <v>94.26</v>
      </c>
      <c r="AF21">
        <f>_xlfn.XLOOKUP(B21,'12'!$A:$A,'12'!$G:$G,"pipino il breve")</f>
        <v>93.8</v>
      </c>
      <c r="AG21">
        <f>_xlfn.XLOOKUP(B21,'13'!$A:$A,'13'!$G:$G,"pipino il breve")</f>
        <v>93.71</v>
      </c>
      <c r="AH21">
        <f>_xlfn.XLOOKUP(B21,'14'!$A:$A,'14'!$G:$G,"pipino il breve")</f>
        <v>93.63</v>
      </c>
      <c r="AI21">
        <f>_xlfn.XLOOKUP(B21,'15'!$A:$A,'15'!$G:$G,"pipino il breve")</f>
        <v>93.99</v>
      </c>
    </row>
    <row r="22" spans="1:35" x14ac:dyDescent="0.2">
      <c r="A22">
        <v>21</v>
      </c>
      <c r="B22" s="2" t="s">
        <v>53</v>
      </c>
      <c r="C22" s="3">
        <v>0.47499999999999998</v>
      </c>
      <c r="D22" s="2" t="s">
        <v>126</v>
      </c>
      <c r="E22" s="2">
        <f>_xlfn.XLOOKUP(B22,'15a'!$A:$A,'15a'!$G:$G,"pipino il breve")</f>
        <v>87.14</v>
      </c>
      <c r="F22" s="2">
        <f>_xlfn.XLOOKUP(B22,'16a'!$A:$A,'16a'!$G:$G,"pipino il breve")</f>
        <v>87.33</v>
      </c>
      <c r="G22" s="2">
        <f>_xlfn.XLOOKUP(B22,'17a'!$A:$A,'17a'!$G:$G,"pipino il breve")</f>
        <v>87.69</v>
      </c>
      <c r="H22" s="2"/>
      <c r="I22" s="2"/>
      <c r="J22" s="2"/>
      <c r="K22" s="2"/>
      <c r="L22" s="2">
        <f>_xlfn.XLOOKUP(B22,'22a'!$A:$A,'22a'!$G:$G,"pipino il breve")</f>
        <v>87.9</v>
      </c>
      <c r="M22" s="2">
        <f>_xlfn.XLOOKUP(B22,'23a'!$A:$A,'23a'!$G:$G,"pipino il breve")</f>
        <v>87.76</v>
      </c>
      <c r="N22" s="2">
        <f>_xlfn.XLOOKUP(B22,'24a'!$A:$A,'24a'!$G:$G,"pipino il breve")</f>
        <v>88.28</v>
      </c>
      <c r="O22" s="3">
        <v>88.03</v>
      </c>
      <c r="P22" s="3"/>
      <c r="Q22" s="3"/>
      <c r="R22">
        <f>_xlfn.XLOOKUP(B22,'28'!$A:$A,'28'!$G:$G,"pipino il breve")</f>
        <v>88</v>
      </c>
      <c r="S22">
        <f>_xlfn.XLOOKUP(B22,'29'!$A:$A,'29'!$G:$G,"pipino il breve")</f>
        <v>88</v>
      </c>
      <c r="T22" s="11">
        <f>_xlfn.XLOOKUP(B22,'30'!$A:$A,'30'!$G:$G,"pipino il breve")</f>
        <v>88.25</v>
      </c>
      <c r="U22" s="3"/>
      <c r="V22">
        <f>_xlfn.XLOOKUP(B22,'2'!$A:$A,'2'!$G:$G,"pipino il breve")</f>
        <v>87.95</v>
      </c>
      <c r="Y22">
        <f>_xlfn.XLOOKUP(B22,'5'!$A:$A,'5'!$G:$G,"pipino il breve")</f>
        <v>87.97</v>
      </c>
      <c r="Z22">
        <f>_xlfn.XLOOKUP(B22,'6'!$A:$A,'6'!$G:$G,"pipino il breve")</f>
        <v>87.98</v>
      </c>
      <c r="AA22">
        <f>_xlfn.XLOOKUP(B22,'7'!$A:$A,'7'!$G:$G,"pipino il breve")</f>
        <v>88.29</v>
      </c>
      <c r="AB22">
        <f>_xlfn.XLOOKUP(B22,'8'!$A:$A,'8'!$G:$G,"pipino il breve")</f>
        <v>88.22</v>
      </c>
      <c r="AC22">
        <f>_xlfn.XLOOKUP(B22,'9'!$A:$A,'9'!$G:$G,"pipino il breve")</f>
        <v>88.02</v>
      </c>
      <c r="AF22">
        <f>_xlfn.XLOOKUP(B22,'12'!$A:$A,'12'!$G:$G,"pipino il breve")</f>
        <v>87.6</v>
      </c>
      <c r="AG22">
        <f>_xlfn.XLOOKUP(B22,'13'!$A:$A,'13'!$G:$G,"pipino il breve")</f>
        <v>87.48</v>
      </c>
      <c r="AH22">
        <f>_xlfn.XLOOKUP(B22,'14'!$A:$A,'14'!$G:$G,"pipino il breve")</f>
        <v>87.42</v>
      </c>
      <c r="AI22">
        <f>_xlfn.XLOOKUP(B22,'15'!$A:$A,'15'!$G:$G,"pipino il breve")</f>
        <v>87.8</v>
      </c>
    </row>
    <row r="23" spans="1:35" x14ac:dyDescent="0.2">
      <c r="A23">
        <v>22</v>
      </c>
      <c r="B23" s="2" t="s">
        <v>74</v>
      </c>
      <c r="C23" s="3">
        <v>1.9</v>
      </c>
      <c r="D23" s="2" t="s">
        <v>127</v>
      </c>
      <c r="E23" s="2">
        <f>_xlfn.XLOOKUP(B23,'15a'!$A:$A,'15a'!$G:$G,"pipino il breve")</f>
        <v>104.51</v>
      </c>
      <c r="F23" s="2">
        <f>_xlfn.XLOOKUP(B23,'16a'!$A:$A,'16a'!$G:$G,"pipino il breve")</f>
        <v>104.67</v>
      </c>
      <c r="G23" s="2">
        <f>_xlfn.XLOOKUP(B23,'17a'!$A:$A,'17a'!$G:$G,"pipino il breve")</f>
        <v>104.8</v>
      </c>
      <c r="H23" s="2"/>
      <c r="I23" s="2"/>
      <c r="J23" s="2"/>
      <c r="K23" s="2"/>
      <c r="L23" s="2">
        <f>_xlfn.XLOOKUP(B23,'22a'!$A:$A,'22a'!$G:$G,"pipino il breve")</f>
        <v>104.91</v>
      </c>
      <c r="M23" s="2">
        <f>_xlfn.XLOOKUP(B23,'23a'!$A:$A,'23a'!$G:$G,"pipino il breve")</f>
        <v>104.78</v>
      </c>
      <c r="N23" s="2">
        <f>_xlfn.XLOOKUP(B23,'24a'!$A:$A,'24a'!$G:$G,"pipino il breve")</f>
        <v>105.03</v>
      </c>
      <c r="O23" s="3">
        <v>104.87</v>
      </c>
      <c r="P23" s="3"/>
      <c r="Q23" s="3"/>
      <c r="R23">
        <f>_xlfn.XLOOKUP(B23,'28'!$A:$A,'28'!$G:$G,"pipino il breve")</f>
        <v>104.9</v>
      </c>
      <c r="S23">
        <f>_xlfn.XLOOKUP(B23,'29'!$A:$A,'29'!$G:$G,"pipino il breve")</f>
        <v>104.84</v>
      </c>
      <c r="T23" s="11">
        <f>_xlfn.XLOOKUP(B23,'30'!$A:$A,'30'!$G:$G,"pipino il breve")</f>
        <v>104.91</v>
      </c>
      <c r="U23" s="3"/>
      <c r="V23">
        <f>_xlfn.XLOOKUP(B23,'2'!$A:$A,'2'!$G:$G,"pipino il breve")</f>
        <v>104.82</v>
      </c>
      <c r="Y23">
        <f>_xlfn.XLOOKUP(B23,'5'!$A:$A,'5'!$G:$G,"pipino il breve")</f>
        <v>104.8</v>
      </c>
      <c r="Z23">
        <f>_xlfn.XLOOKUP(B23,'6'!$A:$A,'6'!$G:$G,"pipino il breve")</f>
        <v>104.99</v>
      </c>
      <c r="AA23">
        <f>_xlfn.XLOOKUP(B23,'7'!$A:$A,'7'!$G:$G,"pipino il breve")</f>
        <v>104.93</v>
      </c>
      <c r="AB23">
        <f>_xlfn.XLOOKUP(B23,'8'!$A:$A,'8'!$G:$G,"pipino il breve")</f>
        <v>104.82</v>
      </c>
      <c r="AC23">
        <f>_xlfn.XLOOKUP(B23,'9'!$A:$A,'9'!$G:$G,"pipino il breve")</f>
        <v>104.76</v>
      </c>
      <c r="AF23">
        <f>_xlfn.XLOOKUP(B23,'12'!$A:$A,'12'!$G:$G,"pipino il breve")</f>
        <v>104.37</v>
      </c>
      <c r="AG23">
        <f>_xlfn.XLOOKUP(B23,'13'!$A:$A,'13'!$G:$G,"pipino il breve")</f>
        <v>104.34</v>
      </c>
      <c r="AH23">
        <f>_xlfn.XLOOKUP(B23,'14'!$A:$A,'14'!$G:$G,"pipino il breve")</f>
        <v>104.33</v>
      </c>
      <c r="AI23">
        <f>_xlfn.XLOOKUP(B23,'15'!$A:$A,'15'!$G:$G,"pipino il breve")</f>
        <v>104.48</v>
      </c>
    </row>
    <row r="24" spans="1:35" x14ac:dyDescent="0.2">
      <c r="A24">
        <v>23</v>
      </c>
      <c r="B24" s="2" t="s">
        <v>5</v>
      </c>
      <c r="C24" s="3">
        <v>2.5</v>
      </c>
      <c r="D24" s="2" t="s">
        <v>128</v>
      </c>
      <c r="E24" s="2">
        <f>_xlfn.XLOOKUP(B24,'15a'!$A:$A,'15a'!$G:$G,"pipino il breve")</f>
        <v>111.59</v>
      </c>
      <c r="F24" s="2">
        <f>_xlfn.XLOOKUP(B24,'16a'!$A:$A,'16a'!$G:$G,"pipino il breve")</f>
        <v>111.87</v>
      </c>
      <c r="G24" s="2">
        <f>_xlfn.XLOOKUP(B24,'17a'!$A:$A,'17a'!$G:$G,"pipino il breve")</f>
        <v>112.34</v>
      </c>
      <c r="H24" s="2"/>
      <c r="I24" s="2"/>
      <c r="J24" s="2"/>
      <c r="K24" s="2"/>
      <c r="L24" s="2">
        <f>_xlfn.XLOOKUP(B24,'22a'!$A:$A,'22a'!$G:$G,"pipino il breve")</f>
        <v>112.57</v>
      </c>
      <c r="M24" s="2">
        <f>_xlfn.XLOOKUP(B24,'23a'!$A:$A,'23a'!$G:$G,"pipino il breve")</f>
        <v>112.39</v>
      </c>
      <c r="N24" s="2">
        <f>_xlfn.XLOOKUP(B24,'24a'!$A:$A,'24a'!$G:$G,"pipino il breve")</f>
        <v>113.1</v>
      </c>
      <c r="O24" s="3">
        <v>112.74</v>
      </c>
      <c r="P24" s="3"/>
      <c r="Q24" s="3"/>
      <c r="R24">
        <f>_xlfn.XLOOKUP(B24,'28'!$A:$A,'28'!$G:$G,"pipino il breve")</f>
        <v>112.65</v>
      </c>
      <c r="S24">
        <f>_xlfn.XLOOKUP(B24,'29'!$A:$A,'29'!$G:$G,"pipino il breve")</f>
        <v>112.64</v>
      </c>
      <c r="T24" s="11">
        <f>_xlfn.XLOOKUP(B24,'30'!$A:$A,'30'!$G:$G,"pipino il breve")</f>
        <v>113</v>
      </c>
      <c r="U24" s="3"/>
      <c r="V24">
        <f>_xlfn.XLOOKUP(B24,'2'!$A:$A,'2'!$G:$G,"pipino il breve")</f>
        <v>112.53</v>
      </c>
      <c r="Y24">
        <f>_xlfn.XLOOKUP(B24,'5'!$A:$A,'5'!$G:$G,"pipino il breve")</f>
        <v>112.58</v>
      </c>
      <c r="Z24">
        <f>_xlfn.XLOOKUP(B24,'6'!$A:$A,'6'!$G:$G,"pipino il breve")</f>
        <v>112.54</v>
      </c>
      <c r="AA24">
        <f>_xlfn.XLOOKUP(B24,'7'!$A:$A,'7'!$G:$G,"pipino il breve")</f>
        <v>113.04</v>
      </c>
      <c r="AB24">
        <f>_xlfn.XLOOKUP(B24,'8'!$A:$A,'8'!$G:$G,"pipino il breve")</f>
        <v>112.88</v>
      </c>
      <c r="AC24">
        <f>_xlfn.XLOOKUP(B24,'9'!$A:$A,'9'!$G:$G,"pipino il breve")</f>
        <v>112.57</v>
      </c>
      <c r="AF24">
        <f>_xlfn.XLOOKUP(B24,'12'!$A:$A,'12'!$G:$G,"pipino il breve")</f>
        <v>112.04</v>
      </c>
      <c r="AG24">
        <f>_xlfn.XLOOKUP(B24,'13'!$A:$A,'13'!$G:$G,"pipino il breve")</f>
        <v>111.92</v>
      </c>
      <c r="AH24">
        <f>_xlfn.XLOOKUP(B24,'14'!$A:$A,'14'!$G:$G,"pipino il breve")</f>
        <v>111.74</v>
      </c>
      <c r="AI24">
        <f>_xlfn.XLOOKUP(B24,'15'!$A:$A,'15'!$G:$G,"pipino il breve")</f>
        <v>112.21</v>
      </c>
    </row>
    <row r="25" spans="1:35" x14ac:dyDescent="0.2">
      <c r="A25">
        <v>24</v>
      </c>
      <c r="B25" s="2" t="s">
        <v>6</v>
      </c>
      <c r="C25" s="3">
        <v>2</v>
      </c>
      <c r="D25" s="2" t="s">
        <v>129</v>
      </c>
      <c r="E25" s="2">
        <f>_xlfn.XLOOKUP(B25,'15a'!$A:$A,'15a'!$G:$G,"pipino il breve")</f>
        <v>102.32</v>
      </c>
      <c r="F25" s="2">
        <f>_xlfn.XLOOKUP(B25,'16a'!$A:$A,'16a'!$G:$G,"pipino il breve")</f>
        <v>102.6</v>
      </c>
      <c r="G25" s="2">
        <f>_xlfn.XLOOKUP(B25,'17a'!$A:$A,'17a'!$G:$G,"pipino il breve")</f>
        <v>103.01</v>
      </c>
      <c r="H25" s="2"/>
      <c r="I25" s="2"/>
      <c r="J25" s="2"/>
      <c r="K25" s="2"/>
      <c r="L25" s="2">
        <f>_xlfn.XLOOKUP(B25,'22a'!$A:$A,'22a'!$G:$G,"pipino il breve")</f>
        <v>103.29</v>
      </c>
      <c r="M25" s="2">
        <f>_xlfn.XLOOKUP(B25,'23a'!$A:$A,'23a'!$G:$G,"pipino il breve")</f>
        <v>103.13</v>
      </c>
      <c r="N25" s="2">
        <f>_xlfn.XLOOKUP(B25,'24a'!$A:$A,'24a'!$G:$G,"pipino il breve")</f>
        <v>103.85</v>
      </c>
      <c r="O25" s="3">
        <v>103.46</v>
      </c>
      <c r="P25" s="3"/>
      <c r="Q25" s="3"/>
      <c r="R25">
        <f>_xlfn.XLOOKUP(B25,'28'!$A:$A,'28'!$G:$G,"pipino il breve")</f>
        <v>103.31</v>
      </c>
      <c r="S25">
        <f>_xlfn.XLOOKUP(B25,'29'!$A:$A,'29'!$G:$G,"pipino il breve")</f>
        <v>103.35</v>
      </c>
      <c r="T25" s="11">
        <f>_xlfn.XLOOKUP(B25,'30'!$A:$A,'30'!$G:$G,"pipino il breve")</f>
        <v>103.64</v>
      </c>
      <c r="U25" s="3"/>
      <c r="V25">
        <f>_xlfn.XLOOKUP(B25,'2'!$A:$A,'2'!$G:$G,"pipino il breve")</f>
        <v>103.21</v>
      </c>
      <c r="Y25">
        <f>_xlfn.XLOOKUP(B25,'5'!$A:$A,'5'!$G:$G,"pipino il breve")</f>
        <v>103.35</v>
      </c>
      <c r="Z25">
        <f>_xlfn.XLOOKUP(B25,'6'!$A:$A,'6'!$G:$G,"pipino il breve")</f>
        <v>103.14</v>
      </c>
      <c r="AA25">
        <f>_xlfn.XLOOKUP(B25,'7'!$A:$A,'7'!$G:$G,"pipino il breve")</f>
        <v>103.74</v>
      </c>
      <c r="AB25">
        <f>_xlfn.XLOOKUP(B25,'8'!$A:$A,'8'!$G:$G,"pipino il breve")</f>
        <v>103.71</v>
      </c>
      <c r="AC25">
        <f>_xlfn.XLOOKUP(B25,'9'!$A:$A,'9'!$G:$G,"pipino il breve")</f>
        <v>103.41</v>
      </c>
      <c r="AF25">
        <f>_xlfn.XLOOKUP(B25,'12'!$A:$A,'12'!$G:$G,"pipino il breve")</f>
        <v>102.83</v>
      </c>
      <c r="AG25">
        <f>_xlfn.XLOOKUP(B25,'13'!$A:$A,'13'!$G:$G,"pipino il breve")</f>
        <v>102.54</v>
      </c>
      <c r="AH25">
        <f>_xlfn.XLOOKUP(B25,'14'!$A:$A,'14'!$G:$G,"pipino il breve")</f>
        <v>102.43</v>
      </c>
      <c r="AI25">
        <f>_xlfn.XLOOKUP(B25,'15'!$A:$A,'15'!$G:$G,"pipino il breve")</f>
        <v>103.07</v>
      </c>
    </row>
    <row r="26" spans="1:35" x14ac:dyDescent="0.2">
      <c r="A26">
        <v>25</v>
      </c>
      <c r="B26" s="2" t="s">
        <v>7</v>
      </c>
      <c r="C26" s="3">
        <v>2.5</v>
      </c>
      <c r="D26" s="2" t="s">
        <v>130</v>
      </c>
      <c r="E26" s="2">
        <f>_xlfn.XLOOKUP(B26,'15a'!$A:$A,'15a'!$G:$G,"pipino il breve")</f>
        <v>111</v>
      </c>
      <c r="F26" s="2">
        <f>_xlfn.XLOOKUP(B26,'16a'!$A:$A,'16a'!$G:$G,"pipino il breve")</f>
        <v>111.14</v>
      </c>
      <c r="G26" s="2">
        <f>_xlfn.XLOOKUP(B26,'17a'!$A:$A,'17a'!$G:$G,"pipino il breve")</f>
        <v>111.64</v>
      </c>
      <c r="H26" s="2"/>
      <c r="I26" s="2"/>
      <c r="J26" s="2"/>
      <c r="K26" s="2"/>
      <c r="L26" s="2">
        <f>_xlfn.XLOOKUP(B26,'22a'!$A:$A,'22a'!$G:$G,"pipino il breve")</f>
        <v>112</v>
      </c>
      <c r="M26" s="2">
        <f>_xlfn.XLOOKUP(B26,'23a'!$A:$A,'23a'!$G:$G,"pipino il breve")</f>
        <v>111.68</v>
      </c>
      <c r="N26" s="2">
        <f>_xlfn.XLOOKUP(B26,'24a'!$A:$A,'24a'!$G:$G,"pipino il breve")</f>
        <v>112.66</v>
      </c>
      <c r="O26" s="3">
        <v>112.17</v>
      </c>
      <c r="P26" s="3"/>
      <c r="Q26" s="3"/>
      <c r="R26">
        <f>_xlfn.XLOOKUP(B26,'28'!$A:$A,'28'!$G:$G,"pipino il breve")</f>
        <v>111.96</v>
      </c>
      <c r="S26">
        <f>_xlfn.XLOOKUP(B26,'29'!$A:$A,'29'!$G:$G,"pipino il breve")</f>
        <v>111.87</v>
      </c>
      <c r="T26" s="11">
        <f>_xlfn.XLOOKUP(B26,'30'!$A:$A,'30'!$G:$G,"pipino il breve")</f>
        <v>112.36</v>
      </c>
      <c r="U26" s="3"/>
      <c r="V26">
        <f>_xlfn.XLOOKUP(B26,'2'!$A:$A,'2'!$G:$G,"pipino il breve")</f>
        <v>111.84</v>
      </c>
      <c r="Y26">
        <f>_xlfn.XLOOKUP(B26,'5'!$A:$A,'5'!$G:$G,"pipino il breve")</f>
        <v>111.87</v>
      </c>
      <c r="Z26">
        <f>_xlfn.XLOOKUP(B26,'6'!$A:$A,'6'!$G:$G,"pipino il breve")</f>
        <v>111.79</v>
      </c>
      <c r="AA26">
        <f>_xlfn.XLOOKUP(B26,'7'!$A:$A,'7'!$G:$G,"pipino il breve")</f>
        <v>112.63</v>
      </c>
      <c r="AB26">
        <f>_xlfn.XLOOKUP(B26,'8'!$A:$A,'8'!$G:$G,"pipino il breve")</f>
        <v>112.37</v>
      </c>
      <c r="AC26">
        <f>_xlfn.XLOOKUP(B26,'9'!$A:$A,'9'!$G:$G,"pipino il breve")</f>
        <v>112.01</v>
      </c>
      <c r="AF26">
        <f>_xlfn.XLOOKUP(B26,'12'!$A:$A,'12'!$G:$G,"pipino il breve")</f>
        <v>111.45</v>
      </c>
      <c r="AG26">
        <f>_xlfn.XLOOKUP(B26,'13'!$A:$A,'13'!$G:$G,"pipino il breve")</f>
        <v>111.11</v>
      </c>
      <c r="AH26">
        <f>_xlfn.XLOOKUP(B26,'14'!$A:$A,'14'!$G:$G,"pipino il breve")</f>
        <v>111.04</v>
      </c>
      <c r="AI26">
        <f>_xlfn.XLOOKUP(B26,'15'!$A:$A,'15'!$G:$G,"pipino il breve")</f>
        <v>111.79</v>
      </c>
    </row>
    <row r="27" spans="1:35" x14ac:dyDescent="0.2">
      <c r="A27">
        <v>26</v>
      </c>
      <c r="B27" s="2" t="s">
        <v>20</v>
      </c>
      <c r="C27" s="3">
        <v>0.625</v>
      </c>
      <c r="D27" s="2" t="s">
        <v>131</v>
      </c>
      <c r="E27" s="2">
        <f>_xlfn.XLOOKUP(B27,'15a'!$A:$A,'15a'!$G:$G,"pipino il breve")</f>
        <v>98.91</v>
      </c>
      <c r="F27" s="2">
        <f>_xlfn.XLOOKUP(B27,'16a'!$A:$A,'16a'!$G:$G,"pipino il breve")</f>
        <v>98.97</v>
      </c>
      <c r="G27" s="2">
        <f>_xlfn.XLOOKUP(B27,'17a'!$A:$A,'17a'!$G:$G,"pipino il breve")</f>
        <v>99.01</v>
      </c>
      <c r="H27" s="2"/>
      <c r="I27" s="2"/>
      <c r="J27" s="2"/>
      <c r="K27" s="2"/>
      <c r="L27" s="2">
        <f>_xlfn.XLOOKUP(B27,'22a'!$A:$A,'22a'!$G:$G,"pipino il breve")</f>
        <v>99.09</v>
      </c>
      <c r="M27" s="2">
        <f>_xlfn.XLOOKUP(B27,'23a'!$A:$A,'23a'!$G:$G,"pipino il breve")</f>
        <v>99.05</v>
      </c>
      <c r="N27" s="2">
        <f>_xlfn.XLOOKUP(B27,'24a'!$A:$A,'24a'!$G:$G,"pipino il breve")</f>
        <v>99.11</v>
      </c>
      <c r="O27" s="3">
        <v>99.08</v>
      </c>
      <c r="P27" s="3"/>
      <c r="Q27" s="3"/>
      <c r="R27">
        <f>_xlfn.XLOOKUP(B27,'28'!$A:$A,'28'!$G:$G,"pipino il breve")</f>
        <v>99.06</v>
      </c>
      <c r="S27">
        <f>_xlfn.XLOOKUP(B27,'29'!$A:$A,'29'!$G:$G,"pipino il breve")</f>
        <v>99.04</v>
      </c>
      <c r="T27" s="11">
        <f>_xlfn.XLOOKUP(B27,'30'!$A:$A,'30'!$G:$G,"pipino il breve")</f>
        <v>99.09</v>
      </c>
      <c r="U27" s="3"/>
      <c r="V27">
        <f>_xlfn.XLOOKUP(B27,'2'!$A:$A,'2'!$G:$G,"pipino il breve")</f>
        <v>99.01</v>
      </c>
      <c r="Y27">
        <f>_xlfn.XLOOKUP(B27,'5'!$A:$A,'5'!$G:$G,"pipino il breve")</f>
        <v>99.08</v>
      </c>
      <c r="Z27">
        <f>_xlfn.XLOOKUP(B27,'6'!$A:$A,'6'!$G:$G,"pipino il breve")</f>
        <v>99.07</v>
      </c>
      <c r="AA27">
        <f>_xlfn.XLOOKUP(B27,'7'!$A:$A,'7'!$G:$G,"pipino il breve")</f>
        <v>99.15</v>
      </c>
      <c r="AB27">
        <f>_xlfn.XLOOKUP(B27,'8'!$A:$A,'8'!$G:$G,"pipino il breve")</f>
        <v>99.07</v>
      </c>
      <c r="AC27">
        <f>_xlfn.XLOOKUP(B27,'9'!$A:$A,'9'!$G:$G,"pipino il breve")</f>
        <v>99.09</v>
      </c>
      <c r="AF27">
        <f>_xlfn.XLOOKUP(B27,'12'!$A:$A,'12'!$G:$G,"pipino il breve")</f>
        <v>98.9</v>
      </c>
      <c r="AG27">
        <f>_xlfn.XLOOKUP(B27,'13'!$A:$A,'13'!$G:$G,"pipino il breve")</f>
        <v>98.92</v>
      </c>
      <c r="AH27">
        <f>_xlfn.XLOOKUP(B27,'14'!$A:$A,'14'!$G:$G,"pipino il breve")</f>
        <v>98.9</v>
      </c>
      <c r="AI27">
        <f>_xlfn.XLOOKUP(B27,'15'!$A:$A,'15'!$G:$G,"pipino il breve")</f>
        <v>98.94</v>
      </c>
    </row>
    <row r="28" spans="1:35" x14ac:dyDescent="0.2">
      <c r="A28">
        <v>27</v>
      </c>
      <c r="B28" s="2" t="s">
        <v>28</v>
      </c>
      <c r="C28" s="3">
        <v>1.4</v>
      </c>
      <c r="D28" s="2" t="s">
        <v>132</v>
      </c>
      <c r="E28" s="2">
        <f>_xlfn.XLOOKUP(B28,'15a'!$A:$A,'15a'!$G:$G,"pipino il breve")</f>
        <v>101.53</v>
      </c>
      <c r="F28" s="2">
        <f>_xlfn.XLOOKUP(B28,'16a'!$A:$A,'16a'!$G:$G,"pipino il breve")</f>
        <v>101.65</v>
      </c>
      <c r="G28" s="2">
        <f>_xlfn.XLOOKUP(B28,'17a'!$A:$A,'17a'!$G:$G,"pipino il breve")</f>
        <v>101.88</v>
      </c>
      <c r="H28" s="2"/>
      <c r="I28" s="2"/>
      <c r="J28" s="2"/>
      <c r="K28" s="2"/>
      <c r="L28" s="2">
        <f>_xlfn.XLOOKUP(B28,'22a'!$A:$A,'22a'!$G:$G,"pipino il breve")</f>
        <v>101.95</v>
      </c>
      <c r="M28" s="2">
        <f>_xlfn.XLOOKUP(B28,'23a'!$A:$A,'23a'!$G:$G,"pipino il breve")</f>
        <v>101.8</v>
      </c>
      <c r="N28" s="2">
        <f>_xlfn.XLOOKUP(B28,'24a'!$A:$A,'24a'!$G:$G,"pipino il breve")</f>
        <v>102.12</v>
      </c>
      <c r="O28" s="3">
        <v>101.95</v>
      </c>
      <c r="P28" s="3"/>
      <c r="Q28" s="3"/>
      <c r="R28">
        <f>_xlfn.XLOOKUP(B28,'28'!$A:$A,'28'!$G:$G,"pipino il breve")</f>
        <v>102</v>
      </c>
      <c r="S28">
        <f>_xlfn.XLOOKUP(B28,'29'!$A:$A,'29'!$G:$G,"pipino il breve")</f>
        <v>101.9</v>
      </c>
      <c r="T28" s="11">
        <f>_xlfn.XLOOKUP(B28,'30'!$A:$A,'30'!$G:$G,"pipino il breve")</f>
        <v>102.04</v>
      </c>
      <c r="U28" s="3"/>
      <c r="V28">
        <f>_xlfn.XLOOKUP(B28,'2'!$A:$A,'2'!$G:$G,"pipino il breve")</f>
        <v>101.86</v>
      </c>
      <c r="Y28">
        <f>_xlfn.XLOOKUP(B28,'5'!$A:$A,'5'!$G:$G,"pipino il breve")</f>
        <v>101.94</v>
      </c>
      <c r="Z28">
        <f>_xlfn.XLOOKUP(B28,'6'!$A:$A,'6'!$G:$G,"pipino il breve")</f>
        <v>101.91</v>
      </c>
      <c r="AA28">
        <f>_xlfn.XLOOKUP(B28,'7'!$A:$A,'7'!$G:$G,"pipino il breve")</f>
        <v>102.07</v>
      </c>
      <c r="AB28">
        <f>_xlfn.XLOOKUP(B28,'8'!$A:$A,'8'!$G:$G,"pipino il breve")</f>
        <v>101.93</v>
      </c>
      <c r="AC28">
        <f>_xlfn.XLOOKUP(B28,'9'!$A:$A,'9'!$G:$G,"pipino il breve")</f>
        <v>101.82</v>
      </c>
      <c r="AF28">
        <f>_xlfn.XLOOKUP(B28,'12'!$A:$A,'12'!$G:$G,"pipino il breve")</f>
        <v>101.44</v>
      </c>
      <c r="AG28">
        <f>_xlfn.XLOOKUP(B28,'13'!$A:$A,'13'!$G:$G,"pipino il breve")</f>
        <v>101.45</v>
      </c>
      <c r="AH28">
        <f>_xlfn.XLOOKUP(B28,'14'!$A:$A,'14'!$G:$G,"pipino il breve")</f>
        <v>101.39</v>
      </c>
      <c r="AI28">
        <f>_xlfn.XLOOKUP(B28,'15'!$A:$A,'15'!$G:$G,"pipino il breve")</f>
        <v>101.53</v>
      </c>
    </row>
    <row r="29" spans="1:35" x14ac:dyDescent="0.2">
      <c r="A29">
        <v>28</v>
      </c>
      <c r="B29" s="2" t="s">
        <v>43</v>
      </c>
      <c r="C29" s="3">
        <v>0.25</v>
      </c>
      <c r="D29" s="2" t="s">
        <v>133</v>
      </c>
      <c r="E29" s="2">
        <f>_xlfn.XLOOKUP(B29,'15a'!$A:$A,'15a'!$G:$G,"pipino il breve")</f>
        <v>98.781000000000006</v>
      </c>
      <c r="F29" s="2">
        <f>_xlfn.XLOOKUP(B29,'16a'!$A:$A,'16a'!$G:$G,"pipino il breve")</f>
        <v>98.832999999999998</v>
      </c>
      <c r="G29" s="2">
        <f>_xlfn.XLOOKUP(B29,'17a'!$A:$A,'17a'!$G:$G,"pipino il breve")</f>
        <v>98.867000000000004</v>
      </c>
      <c r="H29" s="2"/>
      <c r="I29" s="2"/>
      <c r="J29" s="2"/>
      <c r="K29" s="2"/>
      <c r="L29" s="2">
        <f>_xlfn.XLOOKUP(B29,'22a'!$A:$A,'22a'!$G:$G,"pipino il breve")</f>
        <v>98.915999999999997</v>
      </c>
      <c r="M29" s="2">
        <f>_xlfn.XLOOKUP(B29,'23a'!$A:$A,'23a'!$G:$G,"pipino il breve")</f>
        <v>98.876999999999995</v>
      </c>
      <c r="N29" s="2">
        <f>_xlfn.XLOOKUP(B29,'24a'!$A:$A,'24a'!$G:$G,"pipino il breve")</f>
        <v>98.94</v>
      </c>
      <c r="O29" s="3">
        <v>98.93</v>
      </c>
      <c r="P29" s="3"/>
      <c r="Q29" s="3"/>
      <c r="R29">
        <f>_xlfn.XLOOKUP(B29,'28'!$A:$A,'28'!$G:$G,"pipino il breve")</f>
        <v>98.944999999999993</v>
      </c>
      <c r="S29">
        <f>_xlfn.XLOOKUP(B29,'29'!$A:$A,'29'!$G:$G,"pipino il breve")</f>
        <v>98.932000000000002</v>
      </c>
      <c r="T29" s="11">
        <f>_xlfn.XLOOKUP(B29,'30'!$A:$A,'30'!$G:$G,"pipino il breve")</f>
        <v>98.971000000000004</v>
      </c>
      <c r="U29" s="3"/>
      <c r="V29">
        <f>_xlfn.XLOOKUP(B29,'2'!$A:$A,'2'!$G:$G,"pipino il breve")</f>
        <v>98.938000000000002</v>
      </c>
      <c r="Y29">
        <f>_xlfn.XLOOKUP(B29,'5'!$A:$A,'5'!$G:$G,"pipino il breve")</f>
        <v>98.948999999999998</v>
      </c>
      <c r="Z29">
        <f>_xlfn.XLOOKUP(B29,'6'!$A:$A,'6'!$G:$G,"pipino il breve")</f>
        <v>98.974999999999994</v>
      </c>
      <c r="AA29">
        <f>_xlfn.XLOOKUP(B29,'7'!$A:$A,'7'!$G:$G,"pipino il breve")</f>
        <v>98.995999999999995</v>
      </c>
      <c r="AB29">
        <f>_xlfn.XLOOKUP(B29,'8'!$A:$A,'8'!$G:$G,"pipino il breve")</f>
        <v>98.998999999999995</v>
      </c>
      <c r="AC29">
        <f>_xlfn.XLOOKUP(B29,'9'!$A:$A,'9'!$G:$G,"pipino il breve")</f>
        <v>98.988</v>
      </c>
      <c r="AF29">
        <f>_xlfn.XLOOKUP(B29,'12'!$A:$A,'12'!$G:$G,"pipino il breve")</f>
        <v>98.947999999999993</v>
      </c>
      <c r="AG29">
        <f>_xlfn.XLOOKUP(B29,'13'!$A:$A,'13'!$G:$G,"pipino il breve")</f>
        <v>98.951999999999998</v>
      </c>
      <c r="AH29">
        <f>_xlfn.XLOOKUP(B29,'14'!$A:$A,'14'!$G:$G,"pipino il breve")</f>
        <v>98.968999999999994</v>
      </c>
      <c r="AI29">
        <f>_xlfn.XLOOKUP(B29,'15'!$A:$A,'15'!$G:$G,"pipino il breve")</f>
        <v>98.989000000000004</v>
      </c>
    </row>
    <row r="30" spans="1:35" x14ac:dyDescent="0.2">
      <c r="A30">
        <v>29</v>
      </c>
      <c r="B30" s="2" t="s">
        <v>54</v>
      </c>
      <c r="C30" s="3">
        <v>0</v>
      </c>
      <c r="D30" s="2" t="s">
        <v>134</v>
      </c>
      <c r="E30" s="2">
        <f>_xlfn.XLOOKUP(B30,'15a'!$A:$A,'15a'!$G:$G,"pipino il breve")</f>
        <v>97.56</v>
      </c>
      <c r="F30" s="2">
        <f>_xlfn.XLOOKUP(B30,'16a'!$A:$A,'16a'!$G:$G,"pipino il breve")</f>
        <v>97.61</v>
      </c>
      <c r="G30" s="2">
        <f>_xlfn.XLOOKUP(B30,'17a'!$A:$A,'17a'!$G:$G,"pipino il breve")</f>
        <v>97.7</v>
      </c>
      <c r="H30" s="2"/>
      <c r="I30" s="2"/>
      <c r="J30" s="2"/>
      <c r="K30" s="2"/>
      <c r="L30" s="2">
        <f>_xlfn.XLOOKUP(B30,'22a'!$A:$A,'22a'!$G:$G,"pipino il breve")</f>
        <v>97.71</v>
      </c>
      <c r="M30" s="2">
        <f>_xlfn.XLOOKUP(B30,'23a'!$A:$A,'23a'!$G:$G,"pipino il breve")</f>
        <v>97.7</v>
      </c>
      <c r="N30" s="2">
        <f>_xlfn.XLOOKUP(B30,'24a'!$A:$A,'24a'!$G:$G,"pipino il breve")</f>
        <v>97.77</v>
      </c>
      <c r="O30" s="3">
        <v>97.74</v>
      </c>
      <c r="P30" s="3"/>
      <c r="Q30" s="3"/>
      <c r="R30">
        <f>_xlfn.XLOOKUP(B30,'28'!$A:$A,'28'!$G:$G,"pipino il breve")</f>
        <v>97.77</v>
      </c>
      <c r="S30">
        <f>_xlfn.XLOOKUP(B30,'29'!$A:$A,'29'!$G:$G,"pipino il breve")</f>
        <v>97.76</v>
      </c>
      <c r="T30" s="11">
        <f>_xlfn.XLOOKUP(B30,'30'!$A:$A,'30'!$G:$G,"pipino il breve")</f>
        <v>97.77</v>
      </c>
      <c r="U30" s="3"/>
      <c r="V30">
        <f>_xlfn.XLOOKUP(B30,'2'!$A:$A,'2'!$G:$G,"pipino il breve")</f>
        <v>97.76</v>
      </c>
      <c r="Y30">
        <f>_xlfn.XLOOKUP(B30,'5'!$A:$A,'5'!$G:$G,"pipino il breve")</f>
        <v>97.75</v>
      </c>
      <c r="Z30">
        <f>_xlfn.XLOOKUP(B30,'6'!$A:$A,'6'!$G:$G,"pipino il breve")</f>
        <v>97.79</v>
      </c>
      <c r="AA30">
        <f>_xlfn.XLOOKUP(B30,'7'!$A:$A,'7'!$G:$G,"pipino il breve")</f>
        <v>97.83</v>
      </c>
      <c r="AB30">
        <f>_xlfn.XLOOKUP(B30,'8'!$A:$A,'8'!$G:$G,"pipino il breve")</f>
        <v>97.83</v>
      </c>
      <c r="AC30">
        <f>_xlfn.XLOOKUP(B30,'9'!$A:$A,'9'!$G:$G,"pipino il breve")</f>
        <v>97.85</v>
      </c>
      <c r="AF30">
        <f>_xlfn.XLOOKUP(B30,'12'!$A:$A,'12'!$G:$G,"pipino il breve")</f>
        <v>97.69</v>
      </c>
      <c r="AG30">
        <f>_xlfn.XLOOKUP(B30,'13'!$A:$A,'13'!$G:$G,"pipino il breve")</f>
        <v>97.68</v>
      </c>
      <c r="AH30">
        <f>_xlfn.XLOOKUP(B30,'14'!$A:$A,'14'!$G:$G,"pipino il breve")</f>
        <v>97.7</v>
      </c>
      <c r="AI30">
        <f>_xlfn.XLOOKUP(B30,'15'!$A:$A,'15'!$G:$G,"pipino il breve")</f>
        <v>97.76</v>
      </c>
    </row>
    <row r="31" spans="1:35" x14ac:dyDescent="0.2">
      <c r="A31">
        <v>30</v>
      </c>
      <c r="B31" s="2" t="s">
        <v>92</v>
      </c>
      <c r="C31" s="3">
        <v>1.925</v>
      </c>
      <c r="D31" s="2" t="s">
        <v>135</v>
      </c>
      <c r="E31" s="2">
        <f>_xlfn.XLOOKUP(B31,'15a'!$A:$A,'15a'!$G:$G,"pipino il breve")</f>
        <v>101.82</v>
      </c>
      <c r="F31" s="2">
        <f>_xlfn.XLOOKUP(B31,'16a'!$A:$A,'16a'!$G:$G,"pipino il breve")</f>
        <v>102.03</v>
      </c>
      <c r="G31" s="2">
        <f>_xlfn.XLOOKUP(B31,'17a'!$A:$A,'17a'!$G:$G,"pipino il breve")</f>
        <v>102.49</v>
      </c>
      <c r="H31" s="2"/>
      <c r="I31" s="2"/>
      <c r="J31" s="2"/>
      <c r="K31" s="2"/>
      <c r="L31" s="2">
        <f>_xlfn.XLOOKUP(B31,'22a'!$A:$A,'22a'!$G:$G,"pipino il breve")</f>
        <v>102.72</v>
      </c>
      <c r="M31" s="2">
        <f>_xlfn.XLOOKUP(B31,'23a'!$A:$A,'23a'!$G:$G,"pipino il breve")</f>
        <v>102.6</v>
      </c>
      <c r="N31" s="2">
        <f>_xlfn.XLOOKUP(B31,'24a'!$A:$A,'24a'!$G:$G,"pipino il breve")</f>
        <v>103.29</v>
      </c>
      <c r="O31" s="3">
        <v>102.91</v>
      </c>
      <c r="P31" s="3"/>
      <c r="Q31" s="3"/>
      <c r="R31">
        <f>_xlfn.XLOOKUP(B31,'28'!$A:$A,'28'!$G:$G,"pipino il breve")</f>
        <v>102.81</v>
      </c>
      <c r="S31">
        <f>_xlfn.XLOOKUP(B31,'29'!$A:$A,'29'!$G:$G,"pipino il breve")</f>
        <v>102.77</v>
      </c>
      <c r="T31" s="11">
        <f>_xlfn.XLOOKUP(B31,'30'!$A:$A,'30'!$G:$G,"pipino il breve")</f>
        <v>103.12</v>
      </c>
      <c r="U31" s="3"/>
      <c r="V31">
        <f>_xlfn.XLOOKUP(B31,'2'!$A:$A,'2'!$G:$G,"pipino il breve")</f>
        <v>102.69</v>
      </c>
      <c r="Y31">
        <f>_xlfn.XLOOKUP(B31,'5'!$A:$A,'5'!$G:$G,"pipino il breve")</f>
        <v>102.76</v>
      </c>
      <c r="Z31">
        <f>_xlfn.XLOOKUP(B31,'6'!$A:$A,'6'!$G:$G,"pipino il breve")</f>
        <v>102.69</v>
      </c>
      <c r="AA31">
        <f>_xlfn.XLOOKUP(B31,'7'!$A:$A,'7'!$G:$G,"pipino il breve")</f>
        <v>103.21</v>
      </c>
      <c r="AB31">
        <f>_xlfn.XLOOKUP(B31,'8'!$A:$A,'8'!$G:$G,"pipino il breve")</f>
        <v>103.1</v>
      </c>
      <c r="AC31">
        <f>_xlfn.XLOOKUP(B31,'9'!$A:$A,'9'!$G:$G,"pipino il breve")</f>
        <v>102.82</v>
      </c>
      <c r="AF31">
        <f>_xlfn.XLOOKUP(B31,'12'!$A:$A,'12'!$G:$G,"pipino il breve")</f>
        <v>102.27</v>
      </c>
      <c r="AG31">
        <f>_xlfn.XLOOKUP(B31,'13'!$A:$A,'13'!$G:$G,"pipino il breve")</f>
        <v>102.1</v>
      </c>
      <c r="AH31">
        <f>_xlfn.XLOOKUP(B31,'14'!$A:$A,'14'!$G:$G,"pipino il breve")</f>
        <v>101.97</v>
      </c>
      <c r="AI31">
        <f>_xlfn.XLOOKUP(B31,'15'!$A:$A,'15'!$G:$G,"pipino il breve")</f>
        <v>102.59</v>
      </c>
    </row>
    <row r="32" spans="1:35" x14ac:dyDescent="0.2">
      <c r="A32">
        <v>31</v>
      </c>
      <c r="B32" s="2" t="s">
        <v>8</v>
      </c>
      <c r="C32" s="3">
        <v>2.5</v>
      </c>
      <c r="D32" s="2" t="s">
        <v>136</v>
      </c>
      <c r="E32" s="2">
        <f>_xlfn.XLOOKUP(B32,'15a'!$A:$A,'15a'!$G:$G,"pipino il breve")</f>
        <v>110.62</v>
      </c>
      <c r="F32" s="2">
        <f>_xlfn.XLOOKUP(B32,'16a'!$A:$A,'16a'!$G:$G,"pipino il breve")</f>
        <v>110.89</v>
      </c>
      <c r="G32" s="2">
        <f>_xlfn.XLOOKUP(B32,'17a'!$A:$A,'17a'!$G:$G,"pipino il breve")</f>
        <v>111.29</v>
      </c>
      <c r="H32" s="2"/>
      <c r="I32" s="2"/>
      <c r="J32" s="2"/>
      <c r="K32" s="2"/>
      <c r="L32" s="2">
        <f>_xlfn.XLOOKUP(B32,'22a'!$A:$A,'22a'!$G:$G,"pipino il breve")</f>
        <v>111.62</v>
      </c>
      <c r="M32" s="2">
        <f>_xlfn.XLOOKUP(B32,'23a'!$A:$A,'23a'!$G:$G,"pipino il breve")</f>
        <v>111.39</v>
      </c>
      <c r="N32" s="2">
        <f>_xlfn.XLOOKUP(B32,'24a'!$A:$A,'24a'!$G:$G,"pipino il breve")</f>
        <v>112.28</v>
      </c>
      <c r="O32" s="3">
        <v>111.84</v>
      </c>
      <c r="P32" s="3"/>
      <c r="Q32" s="3"/>
      <c r="R32">
        <f>_xlfn.XLOOKUP(B32,'28'!$A:$A,'28'!$G:$G,"pipino il breve")</f>
        <v>111.68</v>
      </c>
      <c r="S32">
        <f>_xlfn.XLOOKUP(B32,'29'!$A:$A,'29'!$G:$G,"pipino il breve")</f>
        <v>111.65</v>
      </c>
      <c r="T32" s="11">
        <f>_xlfn.XLOOKUP(B32,'30'!$A:$A,'30'!$G:$G,"pipino il breve")</f>
        <v>111.9</v>
      </c>
      <c r="U32" s="3"/>
      <c r="V32">
        <f>_xlfn.XLOOKUP(B32,'2'!$A:$A,'2'!$G:$G,"pipino il breve")</f>
        <v>111.44</v>
      </c>
      <c r="Y32">
        <f>_xlfn.XLOOKUP(B32,'5'!$A:$A,'5'!$G:$G,"pipino il breve")</f>
        <v>111.44</v>
      </c>
      <c r="Z32">
        <f>_xlfn.XLOOKUP(B32,'6'!$A:$A,'6'!$G:$G,"pipino il breve")</f>
        <v>111.32</v>
      </c>
      <c r="AA32">
        <f>_xlfn.XLOOKUP(B32,'7'!$A:$A,'7'!$G:$G,"pipino il breve")</f>
        <v>112.19</v>
      </c>
      <c r="AB32">
        <f>_xlfn.XLOOKUP(B32,'8'!$A:$A,'8'!$G:$G,"pipino il breve")</f>
        <v>111.97</v>
      </c>
      <c r="AC32">
        <f>_xlfn.XLOOKUP(B32,'9'!$A:$A,'9'!$G:$G,"pipino il breve")</f>
        <v>111.52</v>
      </c>
      <c r="AF32">
        <f>_xlfn.XLOOKUP(B32,'12'!$A:$A,'12'!$G:$G,"pipino il breve")</f>
        <v>110.99</v>
      </c>
      <c r="AG32">
        <f>_xlfn.XLOOKUP(B32,'13'!$A:$A,'13'!$G:$G,"pipino il breve")</f>
        <v>110.61</v>
      </c>
      <c r="AH32">
        <f>_xlfn.XLOOKUP(B32,'14'!$A:$A,'14'!$G:$G,"pipino il breve")</f>
        <v>110.54</v>
      </c>
      <c r="AI32">
        <f>_xlfn.XLOOKUP(B32,'15'!$A:$A,'15'!$G:$G,"pipino il breve")</f>
        <v>111.4</v>
      </c>
    </row>
    <row r="33" spans="1:35" x14ac:dyDescent="0.2">
      <c r="A33">
        <v>32</v>
      </c>
      <c r="B33" s="2" t="s">
        <v>9</v>
      </c>
      <c r="C33" s="3">
        <v>2.25</v>
      </c>
      <c r="D33" s="2" t="s">
        <v>137</v>
      </c>
      <c r="E33" s="2">
        <f>_xlfn.XLOOKUP(B33,'15a'!$A:$A,'15a'!$G:$G,"pipino il breve")</f>
        <v>102.07899999999999</v>
      </c>
      <c r="F33" s="2">
        <f>_xlfn.XLOOKUP(B33,'16a'!$A:$A,'16a'!$G:$G,"pipino il breve")</f>
        <v>102.05</v>
      </c>
      <c r="G33" s="2">
        <f>_xlfn.XLOOKUP(B33,'17a'!$A:$A,'17a'!$G:$G,"pipino il breve")</f>
        <v>102.10599999999999</v>
      </c>
      <c r="H33" s="2"/>
      <c r="I33" s="2"/>
      <c r="J33" s="2"/>
      <c r="K33" s="2"/>
      <c r="L33" s="2">
        <f>_xlfn.XLOOKUP(B33,'22a'!$A:$A,'22a'!$G:$G,"pipino il breve")</f>
        <v>102.107</v>
      </c>
      <c r="M33" s="2">
        <f>_xlfn.XLOOKUP(B33,'23a'!$A:$A,'23a'!$G:$G,"pipino il breve")</f>
        <v>102.087</v>
      </c>
      <c r="N33" s="2">
        <f>_xlfn.XLOOKUP(B33,'24a'!$A:$A,'24a'!$G:$G,"pipino il breve")</f>
        <v>102.098</v>
      </c>
      <c r="O33" s="3">
        <v>102.10299999999999</v>
      </c>
      <c r="P33" s="3"/>
      <c r="Q33" s="3"/>
      <c r="R33">
        <f>_xlfn.XLOOKUP(B33,'28'!$A:$A,'28'!$G:$G,"pipino il breve")</f>
        <v>102.071</v>
      </c>
      <c r="S33">
        <f>_xlfn.XLOOKUP(B33,'29'!$A:$A,'29'!$G:$G,"pipino il breve")</f>
        <v>102.078</v>
      </c>
      <c r="T33" s="11">
        <f>_xlfn.XLOOKUP(B33,'30'!$A:$A,'30'!$G:$G,"pipino il breve")</f>
        <v>102.048</v>
      </c>
      <c r="U33" s="3"/>
      <c r="V33">
        <f>_xlfn.XLOOKUP(B33,'2'!$A:$A,'2'!$G:$G,"pipino il breve")</f>
        <v>102.026</v>
      </c>
      <c r="Y33">
        <f>_xlfn.XLOOKUP(B33,'5'!$A:$A,'5'!$G:$G,"pipino il breve")</f>
        <v>102.027</v>
      </c>
      <c r="Z33">
        <f>_xlfn.XLOOKUP(B33,'6'!$A:$A,'6'!$G:$G,"pipino il breve")</f>
        <v>102.062</v>
      </c>
      <c r="AA33">
        <f>_xlfn.XLOOKUP(B33,'7'!$A:$A,'7'!$G:$G,"pipino il breve")</f>
        <v>102.041</v>
      </c>
      <c r="AB33">
        <f>_xlfn.XLOOKUP(B33,'8'!$A:$A,'8'!$G:$G,"pipino il breve")</f>
        <v>102.024</v>
      </c>
      <c r="AC33">
        <f>_xlfn.XLOOKUP(B33,'9'!$A:$A,'9'!$G:$G,"pipino il breve")</f>
        <v>101.979</v>
      </c>
      <c r="AF33">
        <f>_xlfn.XLOOKUP(B33,'12'!$A:$A,'12'!$G:$G,"pipino il breve")</f>
        <v>101.91500000000001</v>
      </c>
      <c r="AG33">
        <f>_xlfn.XLOOKUP(B33,'13'!$A:$A,'13'!$G:$G,"pipino il breve")</f>
        <v>101.93</v>
      </c>
      <c r="AH33">
        <f>_xlfn.XLOOKUP(B33,'14'!$A:$A,'14'!$G:$G,"pipino il breve")</f>
        <v>101.91</v>
      </c>
      <c r="AI33">
        <f>_xlfn.XLOOKUP(B33,'15'!$A:$A,'15'!$G:$G,"pipino il breve")</f>
        <v>101.923</v>
      </c>
    </row>
    <row r="34" spans="1:35" x14ac:dyDescent="0.2">
      <c r="A34">
        <v>33</v>
      </c>
      <c r="B34" s="2" t="s">
        <v>13</v>
      </c>
      <c r="C34" s="3">
        <v>1.625</v>
      </c>
      <c r="D34" s="2" t="s">
        <v>138</v>
      </c>
      <c r="E34" s="2">
        <f>_xlfn.XLOOKUP(B34,'15a'!$A:$A,'15a'!$G:$G,"pipino il breve")</f>
        <v>86.47</v>
      </c>
      <c r="F34" s="2">
        <f>_xlfn.XLOOKUP(B34,'16a'!$A:$A,'16a'!$G:$G,"pipino il breve")</f>
        <v>86.4</v>
      </c>
      <c r="G34" s="2">
        <f>_xlfn.XLOOKUP(B34,'17a'!$A:$A,'17a'!$G:$G,"pipino il breve")</f>
        <v>86.89</v>
      </c>
      <c r="H34" s="2"/>
      <c r="I34" s="2"/>
      <c r="J34" s="2"/>
      <c r="K34" s="2"/>
      <c r="L34" s="2">
        <f>_xlfn.XLOOKUP(B34,'22a'!$A:$A,'22a'!$G:$G,"pipino il breve")</f>
        <v>87.26</v>
      </c>
      <c r="M34" s="2">
        <f>_xlfn.XLOOKUP(B34,'23a'!$A:$A,'23a'!$G:$G,"pipino il breve")</f>
        <v>87.07</v>
      </c>
      <c r="N34" s="2">
        <f>_xlfn.XLOOKUP(B34,'24a'!$A:$A,'24a'!$G:$G,"pipino il breve")</f>
        <v>88</v>
      </c>
      <c r="O34" s="3">
        <v>87.55</v>
      </c>
      <c r="P34" s="3"/>
      <c r="Q34" s="3"/>
      <c r="R34">
        <f>_xlfn.XLOOKUP(B34,'28'!$A:$A,'28'!$G:$G,"pipino il breve")</f>
        <v>87.33</v>
      </c>
      <c r="S34">
        <f>_xlfn.XLOOKUP(B34,'29'!$A:$A,'29'!$G:$G,"pipino il breve")</f>
        <v>87.29</v>
      </c>
      <c r="T34" s="11">
        <f>_xlfn.XLOOKUP(B34,'30'!$A:$A,'30'!$G:$G,"pipino il breve")</f>
        <v>87.56</v>
      </c>
      <c r="U34" s="3"/>
      <c r="V34">
        <f>_xlfn.XLOOKUP(B34,'2'!$A:$A,'2'!$G:$G,"pipino il breve")</f>
        <v>87.01</v>
      </c>
      <c r="Y34">
        <f>_xlfn.XLOOKUP(B34,'5'!$A:$A,'5'!$G:$G,"pipino il breve")</f>
        <v>87</v>
      </c>
      <c r="Z34">
        <f>_xlfn.XLOOKUP(B34,'6'!$A:$A,'6'!$G:$G,"pipino il breve")</f>
        <v>86.71</v>
      </c>
      <c r="AA34">
        <f>_xlfn.XLOOKUP(B34,'7'!$A:$A,'7'!$G:$G,"pipino il breve")</f>
        <v>87.71</v>
      </c>
      <c r="AB34">
        <f>_xlfn.XLOOKUP(B34,'8'!$A:$A,'8'!$G:$G,"pipino il breve")</f>
        <v>87.31</v>
      </c>
      <c r="AC34">
        <f>_xlfn.XLOOKUP(B34,'9'!$A:$A,'9'!$G:$G,"pipino il breve")</f>
        <v>86.93</v>
      </c>
      <c r="AF34">
        <f>_xlfn.XLOOKUP(B34,'12'!$A:$A,'12'!$G:$G,"pipino il breve")</f>
        <v>86.46</v>
      </c>
      <c r="AG34">
        <f>_xlfn.XLOOKUP(B34,'13'!$A:$A,'13'!$G:$G,"pipino il breve")</f>
        <v>86.06</v>
      </c>
      <c r="AH34">
        <f>_xlfn.XLOOKUP(B34,'14'!$A:$A,'14'!$G:$G,"pipino il breve")</f>
        <v>86.02</v>
      </c>
      <c r="AI34">
        <f>_xlfn.XLOOKUP(B34,'15'!$A:$A,'15'!$G:$G,"pipino il breve")</f>
        <v>86.79</v>
      </c>
    </row>
    <row r="35" spans="1:35" x14ac:dyDescent="0.2">
      <c r="A35">
        <v>34</v>
      </c>
      <c r="B35" s="2" t="s">
        <v>16</v>
      </c>
      <c r="C35" s="3">
        <v>1</v>
      </c>
      <c r="D35" s="2" t="s">
        <v>139</v>
      </c>
      <c r="E35" s="2">
        <f>_xlfn.XLOOKUP(B35,'15a'!$A:$A,'15a'!$G:$G,"pipino il breve")</f>
        <v>99.99</v>
      </c>
      <c r="F35" s="2">
        <f>_xlfn.XLOOKUP(B35,'16a'!$A:$A,'16a'!$G:$G,"pipino il breve")</f>
        <v>100.008</v>
      </c>
      <c r="G35" s="2">
        <f>_xlfn.XLOOKUP(B35,'17a'!$A:$A,'17a'!$G:$G,"pipino il breve")</f>
        <v>100.051</v>
      </c>
      <c r="H35" s="2"/>
      <c r="I35" s="2"/>
      <c r="J35" s="2"/>
      <c r="K35" s="2"/>
      <c r="L35" s="2">
        <f>_xlfn.XLOOKUP(B35,'22a'!$A:$A,'22a'!$G:$G,"pipino il breve")</f>
        <v>100.05500000000001</v>
      </c>
      <c r="M35" s="2">
        <f>_xlfn.XLOOKUP(B35,'23a'!$A:$A,'23a'!$G:$G,"pipino il breve")</f>
        <v>100.04600000000001</v>
      </c>
      <c r="N35" s="2">
        <f>_xlfn.XLOOKUP(B35,'24a'!$A:$A,'24a'!$G:$G,"pipino il breve")</f>
        <v>100.06</v>
      </c>
      <c r="O35" s="3">
        <v>100.05</v>
      </c>
      <c r="P35" s="3"/>
      <c r="Q35" s="3"/>
      <c r="R35">
        <f>_xlfn.XLOOKUP(B35,'28'!$A:$A,'28'!$G:$G,"pipino il breve")</f>
        <v>100.057</v>
      </c>
      <c r="S35">
        <f>_xlfn.XLOOKUP(B35,'29'!$A:$A,'29'!$G:$G,"pipino il breve")</f>
        <v>100.07</v>
      </c>
      <c r="T35" s="11">
        <f>_xlfn.XLOOKUP(B35,'30'!$A:$A,'30'!$G:$G,"pipino il breve")</f>
        <v>100.063</v>
      </c>
      <c r="U35" s="3"/>
      <c r="V35">
        <f>_xlfn.XLOOKUP(B35,'2'!$A:$A,'2'!$G:$G,"pipino il breve")</f>
        <v>100.03700000000001</v>
      </c>
      <c r="Y35">
        <f>_xlfn.XLOOKUP(B35,'5'!$A:$A,'5'!$G:$G,"pipino il breve")</f>
        <v>100.057</v>
      </c>
      <c r="Z35">
        <f>_xlfn.XLOOKUP(B35,'6'!$A:$A,'6'!$G:$G,"pipino il breve")</f>
        <v>100.06</v>
      </c>
      <c r="AA35">
        <f>_xlfn.XLOOKUP(B35,'7'!$A:$A,'7'!$G:$G,"pipino il breve")</f>
        <v>100.07</v>
      </c>
      <c r="AB35">
        <f>_xlfn.XLOOKUP(B35,'8'!$A:$A,'8'!$G:$G,"pipino il breve")</f>
        <v>100.051</v>
      </c>
      <c r="AC35">
        <f>_xlfn.XLOOKUP(B35,'9'!$A:$A,'9'!$G:$G,"pipino il breve")</f>
        <v>100.05800000000001</v>
      </c>
      <c r="AF35">
        <f>_xlfn.XLOOKUP(B35,'12'!$A:$A,'12'!$G:$G,"pipino il breve")</f>
        <v>100.021</v>
      </c>
      <c r="AG35">
        <f>_xlfn.XLOOKUP(B35,'13'!$A:$A,'13'!$G:$G,"pipino il breve")</f>
        <v>100.01900000000001</v>
      </c>
      <c r="AH35">
        <f>_xlfn.XLOOKUP(B35,'14'!$A:$A,'14'!$G:$G,"pipino il breve")</f>
        <v>100.01300000000001</v>
      </c>
      <c r="AI35">
        <f>_xlfn.XLOOKUP(B35,'15'!$A:$A,'15'!$G:$G,"pipino il breve")</f>
        <v>100.035</v>
      </c>
    </row>
    <row r="36" spans="1:35" x14ac:dyDescent="0.2">
      <c r="A36">
        <v>35</v>
      </c>
      <c r="B36" s="2" t="s">
        <v>21</v>
      </c>
      <c r="C36" s="3">
        <v>1.4</v>
      </c>
      <c r="D36" s="2" t="s">
        <v>140</v>
      </c>
      <c r="E36" s="2">
        <f>_xlfn.XLOOKUP(B36,'15a'!$A:$A,'15a'!$G:$G,"pipino il breve")</f>
        <v>71.13</v>
      </c>
      <c r="F36" s="2">
        <f>_xlfn.XLOOKUP(B36,'16a'!$A:$A,'16a'!$G:$G,"pipino il breve")</f>
        <v>71.239999999999995</v>
      </c>
      <c r="G36" s="2">
        <f>_xlfn.XLOOKUP(B36,'17a'!$A:$A,'17a'!$G:$G,"pipino il breve")</f>
        <v>71.28</v>
      </c>
      <c r="H36" s="2"/>
      <c r="I36" s="2"/>
      <c r="J36" s="2"/>
      <c r="K36" s="2"/>
      <c r="L36" s="2">
        <f>_xlfn.XLOOKUP(B36,'22a'!$A:$A,'22a'!$G:$G,"pipino il breve")</f>
        <v>71.69</v>
      </c>
      <c r="M36" s="2">
        <f>_xlfn.XLOOKUP(B36,'23a'!$A:$A,'23a'!$G:$G,"pipino il breve")</f>
        <v>71.75</v>
      </c>
      <c r="N36" s="2">
        <f>_xlfn.XLOOKUP(B36,'24a'!$A:$A,'24a'!$G:$G,"pipino il breve")</f>
        <v>72.400000000000006</v>
      </c>
      <c r="O36" s="3">
        <v>71.989999999999995</v>
      </c>
      <c r="P36" s="3"/>
      <c r="Q36" s="3"/>
      <c r="R36">
        <f>_xlfn.XLOOKUP(B36,'28'!$A:$A,'28'!$G:$G,"pipino il breve")</f>
        <v>71.84</v>
      </c>
      <c r="S36">
        <f>_xlfn.XLOOKUP(B36,'29'!$A:$A,'29'!$G:$G,"pipino il breve")</f>
        <v>71.67</v>
      </c>
      <c r="T36" s="11">
        <f>_xlfn.XLOOKUP(B36,'30'!$A:$A,'30'!$G:$G,"pipino il breve")</f>
        <v>71.900000000000006</v>
      </c>
      <c r="U36" s="3"/>
      <c r="V36">
        <f>_xlfn.XLOOKUP(B36,'2'!$A:$A,'2'!$G:$G,"pipino il breve")</f>
        <v>71.319999999999993</v>
      </c>
      <c r="Y36">
        <f>_xlfn.XLOOKUP(B36,'5'!$A:$A,'5'!$G:$G,"pipino il breve")</f>
        <v>71.22</v>
      </c>
      <c r="Z36">
        <f>_xlfn.XLOOKUP(B36,'6'!$A:$A,'6'!$G:$G,"pipino il breve")</f>
        <v>70.98</v>
      </c>
      <c r="AA36">
        <f>_xlfn.XLOOKUP(B36,'7'!$A:$A,'7'!$G:$G,"pipino il breve")</f>
        <v>72.010000000000005</v>
      </c>
      <c r="AB36">
        <f>_xlfn.XLOOKUP(B36,'8'!$A:$A,'8'!$G:$G,"pipino il breve")</f>
        <v>71.5</v>
      </c>
      <c r="AC36">
        <f>_xlfn.XLOOKUP(B36,'9'!$A:$A,'9'!$G:$G,"pipino il breve")</f>
        <v>71.099999999999994</v>
      </c>
      <c r="AF36">
        <f>_xlfn.XLOOKUP(B36,'12'!$A:$A,'12'!$G:$G,"pipino il breve")</f>
        <v>70.599999999999994</v>
      </c>
      <c r="AG36">
        <f>_xlfn.XLOOKUP(B36,'13'!$A:$A,'13'!$G:$G,"pipino il breve")</f>
        <v>70.17</v>
      </c>
      <c r="AH36">
        <f>_xlfn.XLOOKUP(B36,'14'!$A:$A,'14'!$G:$G,"pipino il breve")</f>
        <v>70.040000000000006</v>
      </c>
      <c r="AI36">
        <f>_xlfn.XLOOKUP(B36,'15'!$A:$A,'15'!$G:$G,"pipino il breve")</f>
        <v>70.88</v>
      </c>
    </row>
    <row r="37" spans="1:35" x14ac:dyDescent="0.2">
      <c r="A37">
        <v>36</v>
      </c>
      <c r="B37" s="2" t="s">
        <v>22</v>
      </c>
      <c r="C37" s="3">
        <v>1.2250000000000001</v>
      </c>
      <c r="D37" s="2" t="s">
        <v>141</v>
      </c>
      <c r="E37" s="2">
        <f>_xlfn.XLOOKUP(B37,'15a'!$A:$A,'15a'!$G:$G,"pipino il breve")</f>
        <v>93.23</v>
      </c>
      <c r="F37" s="2">
        <f>_xlfn.XLOOKUP(B37,'16a'!$A:$A,'16a'!$G:$G,"pipino il breve")</f>
        <v>93.43</v>
      </c>
      <c r="G37" s="2">
        <f>_xlfn.XLOOKUP(B37,'17a'!$A:$A,'17a'!$G:$G,"pipino il breve")</f>
        <v>93.89</v>
      </c>
      <c r="H37" s="2"/>
      <c r="I37" s="2"/>
      <c r="J37" s="2"/>
      <c r="K37" s="2"/>
      <c r="L37" s="2">
        <f>_xlfn.XLOOKUP(B37,'22a'!$A:$A,'22a'!$G:$G,"pipino il breve")</f>
        <v>94.07</v>
      </c>
      <c r="M37" s="2">
        <f>_xlfn.XLOOKUP(B37,'23a'!$A:$A,'23a'!$G:$G,"pipino il breve")</f>
        <v>93.95</v>
      </c>
      <c r="N37" s="2">
        <f>_xlfn.XLOOKUP(B37,'24a'!$A:$A,'24a'!$G:$G,"pipino il breve")</f>
        <v>94.58</v>
      </c>
      <c r="O37" s="3">
        <v>94.28</v>
      </c>
      <c r="P37" s="3"/>
      <c r="Q37" s="3"/>
      <c r="R37">
        <f>_xlfn.XLOOKUP(B37,'28'!$A:$A,'28'!$G:$G,"pipino il breve")</f>
        <v>94.13</v>
      </c>
      <c r="S37">
        <f>_xlfn.XLOOKUP(B37,'29'!$A:$A,'29'!$G:$G,"pipino il breve")</f>
        <v>94.18</v>
      </c>
      <c r="T37" s="11">
        <f>_xlfn.XLOOKUP(B37,'30'!$A:$A,'30'!$G:$G,"pipino il breve")</f>
        <v>94.41</v>
      </c>
      <c r="U37" s="3"/>
      <c r="V37">
        <f>_xlfn.XLOOKUP(B37,'2'!$A:$A,'2'!$G:$G,"pipino il breve")</f>
        <v>94.05</v>
      </c>
      <c r="Y37">
        <f>_xlfn.XLOOKUP(B37,'5'!$A:$A,'5'!$G:$G,"pipino il breve")</f>
        <v>94.17</v>
      </c>
      <c r="Z37">
        <f>_xlfn.XLOOKUP(B37,'6'!$A:$A,'6'!$G:$G,"pipino il breve")</f>
        <v>94.09</v>
      </c>
      <c r="AA37">
        <f>_xlfn.XLOOKUP(B37,'7'!$A:$A,'7'!$G:$G,"pipino il breve")</f>
        <v>94.53</v>
      </c>
      <c r="AB37">
        <f>_xlfn.XLOOKUP(B37,'8'!$A:$A,'8'!$G:$G,"pipino il breve")</f>
        <v>94.4</v>
      </c>
      <c r="AC37">
        <f>_xlfn.XLOOKUP(B37,'9'!$A:$A,'9'!$G:$G,"pipino il breve")</f>
        <v>94.18</v>
      </c>
      <c r="AF37">
        <f>_xlfn.XLOOKUP(B37,'12'!$A:$A,'12'!$G:$G,"pipino il breve")</f>
        <v>93.67</v>
      </c>
      <c r="AG37">
        <f>_xlfn.XLOOKUP(B37,'13'!$A:$A,'13'!$G:$G,"pipino il breve")</f>
        <v>93.6</v>
      </c>
      <c r="AH37">
        <f>_xlfn.XLOOKUP(B37,'14'!$A:$A,'14'!$G:$G,"pipino il breve")</f>
        <v>93.44</v>
      </c>
      <c r="AI37">
        <f>_xlfn.XLOOKUP(B37,'15'!$A:$A,'15'!$G:$G,"pipino il breve")</f>
        <v>93.81</v>
      </c>
    </row>
    <row r="38" spans="1:35" x14ac:dyDescent="0.2">
      <c r="A38">
        <v>37</v>
      </c>
      <c r="B38" s="2" t="s">
        <v>26</v>
      </c>
      <c r="C38" s="3">
        <v>1.4750000000000001</v>
      </c>
      <c r="D38" s="2" t="s">
        <v>142</v>
      </c>
      <c r="E38" s="2">
        <f>_xlfn.XLOOKUP(B38,'15a'!$A:$A,'15a'!$G:$G,"pipino il breve")</f>
        <v>90.07</v>
      </c>
      <c r="F38" s="2">
        <f>_xlfn.XLOOKUP(B38,'16a'!$A:$A,'16a'!$G:$G,"pipino il breve")</f>
        <v>90.29</v>
      </c>
      <c r="G38" s="2">
        <f>_xlfn.XLOOKUP(B38,'17a'!$A:$A,'17a'!$G:$G,"pipino il breve")</f>
        <v>90.72</v>
      </c>
      <c r="H38" s="2"/>
      <c r="I38" s="2"/>
      <c r="J38" s="2"/>
      <c r="K38" s="2"/>
      <c r="L38" s="2">
        <f>_xlfn.XLOOKUP(B38,'22a'!$A:$A,'22a'!$G:$G,"pipino il breve")</f>
        <v>90.91</v>
      </c>
      <c r="M38" s="2">
        <f>_xlfn.XLOOKUP(B38,'23a'!$A:$A,'23a'!$G:$G,"pipino il breve")</f>
        <v>90.7</v>
      </c>
      <c r="N38" s="2">
        <f>_xlfn.XLOOKUP(B38,'24a'!$A:$A,'24a'!$G:$G,"pipino il breve")</f>
        <v>91.53</v>
      </c>
      <c r="O38" s="3">
        <v>91.01</v>
      </c>
      <c r="P38" s="3"/>
      <c r="Q38" s="3"/>
      <c r="R38">
        <f>_xlfn.XLOOKUP(B38,'28'!$A:$A,'28'!$G:$G,"pipino il breve")</f>
        <v>90.9</v>
      </c>
      <c r="S38">
        <f>_xlfn.XLOOKUP(B38,'29'!$A:$A,'29'!$G:$G,"pipino il breve")</f>
        <v>90.84</v>
      </c>
      <c r="T38" s="11">
        <f>_xlfn.XLOOKUP(B38,'30'!$A:$A,'30'!$G:$G,"pipino il breve")</f>
        <v>91.13</v>
      </c>
      <c r="U38" s="3"/>
      <c r="V38">
        <f>_xlfn.XLOOKUP(B38,'2'!$A:$A,'2'!$G:$G,"pipino il breve")</f>
        <v>90.85</v>
      </c>
      <c r="Y38">
        <f>_xlfn.XLOOKUP(B38,'5'!$A:$A,'5'!$G:$G,"pipino il breve")</f>
        <v>90.97</v>
      </c>
      <c r="Z38">
        <f>_xlfn.XLOOKUP(B38,'6'!$A:$A,'6'!$G:$G,"pipino il breve")</f>
        <v>90.74</v>
      </c>
      <c r="AA38">
        <f>_xlfn.XLOOKUP(B38,'7'!$A:$A,'7'!$G:$G,"pipino il breve")</f>
        <v>91.46</v>
      </c>
      <c r="AB38">
        <f>_xlfn.XLOOKUP(B38,'8'!$A:$A,'8'!$G:$G,"pipino il breve")</f>
        <v>91.23</v>
      </c>
      <c r="AC38">
        <f>_xlfn.XLOOKUP(B38,'9'!$A:$A,'9'!$G:$G,"pipino il breve")</f>
        <v>90.98</v>
      </c>
      <c r="AF38">
        <f>_xlfn.XLOOKUP(B38,'12'!$A:$A,'12'!$G:$G,"pipino il breve")</f>
        <v>90.43</v>
      </c>
      <c r="AG38">
        <f>_xlfn.XLOOKUP(B38,'13'!$A:$A,'13'!$G:$G,"pipino il breve")</f>
        <v>90.15</v>
      </c>
      <c r="AH38">
        <f>_xlfn.XLOOKUP(B38,'14'!$A:$A,'14'!$G:$G,"pipino il breve")</f>
        <v>90.15</v>
      </c>
      <c r="AI38">
        <f>_xlfn.XLOOKUP(B38,'15'!$A:$A,'15'!$G:$G,"pipino il breve")</f>
        <v>90.84</v>
      </c>
    </row>
    <row r="39" spans="1:35" x14ac:dyDescent="0.2">
      <c r="A39">
        <v>38</v>
      </c>
      <c r="B39" s="2" t="s">
        <v>30</v>
      </c>
      <c r="C39" s="3">
        <v>1.675</v>
      </c>
      <c r="D39" s="2" t="s">
        <v>143</v>
      </c>
      <c r="E39" s="2">
        <f>_xlfn.XLOOKUP(B39,'15a'!$A:$A,'15a'!$G:$G,"pipino il breve")</f>
        <v>98.01</v>
      </c>
      <c r="F39" s="2">
        <f>_xlfn.XLOOKUP(B39,'16a'!$A:$A,'16a'!$G:$G,"pipino il breve")</f>
        <v>98.26</v>
      </c>
      <c r="G39" s="2">
        <f>_xlfn.XLOOKUP(B39,'17a'!$A:$A,'17a'!$G:$G,"pipino il breve")</f>
        <v>98.68</v>
      </c>
      <c r="H39" s="2"/>
      <c r="I39" s="2"/>
      <c r="J39" s="2"/>
      <c r="K39" s="2"/>
      <c r="L39" s="2">
        <f>_xlfn.XLOOKUP(B39,'22a'!$A:$A,'22a'!$G:$G,"pipino il breve")</f>
        <v>98.9</v>
      </c>
      <c r="M39" s="2">
        <f>_xlfn.XLOOKUP(B39,'23a'!$A:$A,'23a'!$G:$G,"pipino il breve")</f>
        <v>98.73</v>
      </c>
      <c r="N39" s="2">
        <f>_xlfn.XLOOKUP(B39,'24a'!$A:$A,'24a'!$G:$G,"pipino il breve")</f>
        <v>99.47</v>
      </c>
      <c r="O39" s="3">
        <v>99.12</v>
      </c>
      <c r="P39" s="3"/>
      <c r="Q39" s="3"/>
      <c r="R39">
        <f>_xlfn.XLOOKUP(B39,'28'!$A:$A,'28'!$G:$G,"pipino il breve")</f>
        <v>98.96</v>
      </c>
      <c r="S39">
        <f>_xlfn.XLOOKUP(B39,'29'!$A:$A,'29'!$G:$G,"pipino il breve")</f>
        <v>99.01</v>
      </c>
      <c r="T39" s="11">
        <f>_xlfn.XLOOKUP(B39,'30'!$A:$A,'30'!$G:$G,"pipino il breve")</f>
        <v>99.24</v>
      </c>
      <c r="U39" s="3"/>
      <c r="V39">
        <f>_xlfn.XLOOKUP(B39,'2'!$A:$A,'2'!$G:$G,"pipino il breve")</f>
        <v>98.85</v>
      </c>
      <c r="Y39">
        <f>_xlfn.XLOOKUP(B39,'5'!$A:$A,'5'!$G:$G,"pipino il breve")</f>
        <v>99.01</v>
      </c>
      <c r="Z39">
        <f>_xlfn.XLOOKUP(B39,'6'!$A:$A,'6'!$G:$G,"pipino il breve")</f>
        <v>98.88</v>
      </c>
      <c r="AA39">
        <f>_xlfn.XLOOKUP(B39,'7'!$A:$A,'7'!$G:$G,"pipino il breve")</f>
        <v>99.41</v>
      </c>
      <c r="AB39">
        <f>_xlfn.XLOOKUP(B39,'8'!$A:$A,'8'!$G:$G,"pipino il breve")</f>
        <v>99.27</v>
      </c>
      <c r="AC39">
        <f>_xlfn.XLOOKUP(B39,'9'!$A:$A,'9'!$G:$G,"pipino il breve")</f>
        <v>99.02</v>
      </c>
      <c r="AF39">
        <f>_xlfn.XLOOKUP(B39,'12'!$A:$A,'12'!$G:$G,"pipino il breve")</f>
        <v>98.45</v>
      </c>
      <c r="AG39">
        <f>_xlfn.XLOOKUP(B39,'13'!$A:$A,'13'!$G:$G,"pipino il breve")</f>
        <v>98.27</v>
      </c>
      <c r="AH39">
        <f>_xlfn.XLOOKUP(B39,'14'!$A:$A,'14'!$G:$G,"pipino il breve")</f>
        <v>98.15</v>
      </c>
      <c r="AI39">
        <f>_xlfn.XLOOKUP(B39,'15'!$A:$A,'15'!$G:$G,"pipino il breve")</f>
        <v>98.71</v>
      </c>
    </row>
    <row r="40" spans="1:35" x14ac:dyDescent="0.2">
      <c r="A40">
        <v>39</v>
      </c>
      <c r="B40" s="2" t="s">
        <v>31</v>
      </c>
      <c r="C40" s="3">
        <v>1.925</v>
      </c>
      <c r="D40" s="2" t="s">
        <v>144</v>
      </c>
      <c r="E40" s="2">
        <f>_xlfn.XLOOKUP(B40,'15a'!$A:$A,'15a'!$G:$G,"pipino il breve")</f>
        <v>93.54</v>
      </c>
      <c r="F40" s="2">
        <f>_xlfn.XLOOKUP(B40,'16a'!$A:$A,'16a'!$G:$G,"pipino il breve")</f>
        <v>93.63</v>
      </c>
      <c r="G40" s="2">
        <f>_xlfn.XLOOKUP(B40,'17a'!$A:$A,'17a'!$G:$G,"pipino il breve")</f>
        <v>94.04</v>
      </c>
      <c r="H40" s="2"/>
      <c r="I40" s="2"/>
      <c r="J40" s="2"/>
      <c r="K40" s="2"/>
      <c r="L40" s="2">
        <f>_xlfn.XLOOKUP(B40,'22a'!$A:$A,'22a'!$G:$G,"pipino il breve")</f>
        <v>94.46</v>
      </c>
      <c r="M40" s="2">
        <f>_xlfn.XLOOKUP(B40,'23a'!$A:$A,'23a'!$G:$G,"pipino il breve")</f>
        <v>94.19</v>
      </c>
      <c r="N40" s="2">
        <f>_xlfn.XLOOKUP(B40,'24a'!$A:$A,'24a'!$G:$G,"pipino il breve")</f>
        <v>95.15</v>
      </c>
      <c r="O40" s="3">
        <v>94.68</v>
      </c>
      <c r="P40" s="3"/>
      <c r="Q40" s="3"/>
      <c r="R40">
        <f>_xlfn.XLOOKUP(B40,'28'!$A:$A,'28'!$G:$G,"pipino il breve")</f>
        <v>94.49</v>
      </c>
      <c r="S40">
        <f>_xlfn.XLOOKUP(B40,'29'!$A:$A,'29'!$G:$G,"pipino il breve")</f>
        <v>94.38</v>
      </c>
      <c r="T40" s="11">
        <f>_xlfn.XLOOKUP(B40,'30'!$A:$A,'30'!$G:$G,"pipino il breve")</f>
        <v>94.74</v>
      </c>
      <c r="U40" s="3"/>
      <c r="V40">
        <f>_xlfn.XLOOKUP(B40,'2'!$A:$A,'2'!$G:$G,"pipino il breve")</f>
        <v>94.05</v>
      </c>
      <c r="Y40">
        <f>_xlfn.XLOOKUP(B40,'5'!$A:$A,'5'!$G:$G,"pipino il breve")</f>
        <v>94.18</v>
      </c>
      <c r="Z40">
        <f>_xlfn.XLOOKUP(B40,'6'!$A:$A,'6'!$G:$G,"pipino il breve")</f>
        <v>93.71</v>
      </c>
      <c r="AA40">
        <f>_xlfn.XLOOKUP(B40,'7'!$A:$A,'7'!$G:$G,"pipino il breve")</f>
        <v>94.79</v>
      </c>
      <c r="AB40">
        <f>_xlfn.XLOOKUP(B40,'8'!$A:$A,'8'!$G:$G,"pipino il breve")</f>
        <v>94.41</v>
      </c>
      <c r="AC40">
        <f>_xlfn.XLOOKUP(B40,'9'!$A:$A,'9'!$G:$G,"pipino il breve")</f>
        <v>94</v>
      </c>
      <c r="AF40">
        <f>_xlfn.XLOOKUP(B40,'12'!$A:$A,'12'!$G:$G,"pipino il breve")</f>
        <v>93.49</v>
      </c>
      <c r="AG40">
        <f>_xlfn.XLOOKUP(B40,'13'!$A:$A,'13'!$G:$G,"pipino il breve")</f>
        <v>93.02</v>
      </c>
      <c r="AH40">
        <f>_xlfn.XLOOKUP(B40,'14'!$A:$A,'14'!$G:$G,"pipino il breve")</f>
        <v>92.9</v>
      </c>
      <c r="AI40">
        <f>_xlfn.XLOOKUP(B40,'15'!$A:$A,'15'!$G:$G,"pipino il breve")</f>
        <v>93.91</v>
      </c>
    </row>
    <row r="41" spans="1:35" x14ac:dyDescent="0.2">
      <c r="A41">
        <v>40</v>
      </c>
      <c r="B41" s="2" t="s">
        <v>35</v>
      </c>
      <c r="C41" s="3">
        <v>0.67500000000000004</v>
      </c>
      <c r="D41" s="2" t="s">
        <v>145</v>
      </c>
      <c r="E41" s="2">
        <f>_xlfn.XLOOKUP(B41,'15a'!$A:$A,'15a'!$G:$G,"pipino il breve")</f>
        <v>93.66</v>
      </c>
      <c r="F41" s="2">
        <f>_xlfn.XLOOKUP(B41,'16a'!$A:$A,'16a'!$G:$G,"pipino il breve")</f>
        <v>93.85</v>
      </c>
      <c r="G41" s="2">
        <f>_xlfn.XLOOKUP(B41,'17a'!$A:$A,'17a'!$G:$G,"pipino il breve")</f>
        <v>94.13</v>
      </c>
      <c r="H41" s="2"/>
      <c r="I41" s="2"/>
      <c r="J41" s="2"/>
      <c r="K41" s="2"/>
      <c r="L41" s="2">
        <f>_xlfn.XLOOKUP(B41,'22a'!$A:$A,'22a'!$G:$G,"pipino il breve")</f>
        <v>94.24</v>
      </c>
      <c r="M41" s="2">
        <f>_xlfn.XLOOKUP(B41,'23a'!$A:$A,'23a'!$G:$G,"pipino il breve")</f>
        <v>94.13</v>
      </c>
      <c r="N41" s="2">
        <f>_xlfn.XLOOKUP(B41,'24a'!$A:$A,'24a'!$G:$G,"pipino il breve")</f>
        <v>94.54</v>
      </c>
      <c r="O41" s="3">
        <v>94.33</v>
      </c>
      <c r="P41" s="3"/>
      <c r="Q41" s="3"/>
      <c r="R41">
        <f>_xlfn.XLOOKUP(B41,'28'!$A:$A,'28'!$G:$G,"pipino il breve")</f>
        <v>94.33</v>
      </c>
      <c r="S41">
        <f>_xlfn.XLOOKUP(B41,'29'!$A:$A,'29'!$G:$G,"pipino il breve")</f>
        <v>94.32</v>
      </c>
      <c r="T41" s="11">
        <f>_xlfn.XLOOKUP(B41,'30'!$A:$A,'30'!$G:$G,"pipino il breve")</f>
        <v>94.5</v>
      </c>
      <c r="U41" s="3"/>
      <c r="V41">
        <f>_xlfn.XLOOKUP(B41,'2'!$A:$A,'2'!$G:$G,"pipino il breve")</f>
        <v>94.29</v>
      </c>
      <c r="Y41">
        <f>_xlfn.XLOOKUP(B41,'5'!$A:$A,'5'!$G:$G,"pipino il breve")</f>
        <v>94.3</v>
      </c>
      <c r="Z41">
        <f>_xlfn.XLOOKUP(B41,'6'!$A:$A,'6'!$G:$G,"pipino il breve")</f>
        <v>94.34</v>
      </c>
      <c r="AA41">
        <f>_xlfn.XLOOKUP(B41,'7'!$A:$A,'7'!$G:$G,"pipino il breve")</f>
        <v>94.58</v>
      </c>
      <c r="AB41">
        <f>_xlfn.XLOOKUP(B41,'8'!$A:$A,'8'!$G:$G,"pipino il breve")</f>
        <v>94.45</v>
      </c>
      <c r="AC41">
        <f>_xlfn.XLOOKUP(B41,'9'!$A:$A,'9'!$G:$G,"pipino il breve")</f>
        <v>94.32</v>
      </c>
      <c r="AF41">
        <f>_xlfn.XLOOKUP(B41,'12'!$A:$A,'12'!$G:$G,"pipino il breve")</f>
        <v>93.9</v>
      </c>
      <c r="AG41">
        <f>_xlfn.XLOOKUP(B41,'13'!$A:$A,'13'!$G:$G,"pipino il breve")</f>
        <v>93.82</v>
      </c>
      <c r="AH41">
        <f>_xlfn.XLOOKUP(B41,'14'!$A:$A,'14'!$G:$G,"pipino il breve")</f>
        <v>93.77</v>
      </c>
      <c r="AI41">
        <f>_xlfn.XLOOKUP(B41,'15'!$A:$A,'15'!$G:$G,"pipino il breve")</f>
        <v>94.06</v>
      </c>
    </row>
    <row r="42" spans="1:35" x14ac:dyDescent="0.2">
      <c r="A42">
        <v>41</v>
      </c>
      <c r="B42" s="2" t="s">
        <v>37</v>
      </c>
      <c r="C42" s="3">
        <v>1.2250000000000001</v>
      </c>
      <c r="D42" s="2" t="s">
        <v>146</v>
      </c>
      <c r="E42" s="2">
        <f>_xlfn.XLOOKUP(B42,'15a'!$A:$A,'15a'!$G:$G,"pipino il breve")</f>
        <v>71.97</v>
      </c>
      <c r="F42" s="2">
        <f>_xlfn.XLOOKUP(B42,'16a'!$A:$A,'16a'!$G:$G,"pipino il breve")</f>
        <v>72.040000000000006</v>
      </c>
      <c r="G42" s="2">
        <f>_xlfn.XLOOKUP(B42,'17a'!$A:$A,'17a'!$G:$G,"pipino il breve")</f>
        <v>72.34</v>
      </c>
      <c r="H42" s="2"/>
      <c r="I42" s="2"/>
      <c r="J42" s="2"/>
      <c r="K42" s="2"/>
      <c r="L42" s="2">
        <f>_xlfn.XLOOKUP(B42,'22a'!$A:$A,'22a'!$G:$G,"pipino il breve")</f>
        <v>72.760000000000005</v>
      </c>
      <c r="M42" s="2">
        <f>_xlfn.XLOOKUP(B42,'23a'!$A:$A,'23a'!$G:$G,"pipino il breve")</f>
        <v>72.510000000000005</v>
      </c>
      <c r="N42" s="2">
        <f>_xlfn.XLOOKUP(B42,'24a'!$A:$A,'24a'!$G:$G,"pipino il breve")</f>
        <v>73.42</v>
      </c>
      <c r="O42" s="3">
        <v>73</v>
      </c>
      <c r="P42" s="3"/>
      <c r="Q42" s="3"/>
      <c r="R42">
        <f>_xlfn.XLOOKUP(B42,'28'!$A:$A,'28'!$G:$G,"pipino il breve")</f>
        <v>72.8</v>
      </c>
      <c r="S42">
        <f>_xlfn.XLOOKUP(B42,'29'!$A:$A,'29'!$G:$G,"pipino il breve")</f>
        <v>72.64</v>
      </c>
      <c r="T42" s="11">
        <f>_xlfn.XLOOKUP(B42,'30'!$A:$A,'30'!$G:$G,"pipino il breve")</f>
        <v>72.97</v>
      </c>
      <c r="U42" s="3"/>
      <c r="V42">
        <f>_xlfn.XLOOKUP(B42,'2'!$A:$A,'2'!$G:$G,"pipino il breve")</f>
        <v>72.349999999999994</v>
      </c>
      <c r="Y42">
        <f>_xlfn.XLOOKUP(B42,'5'!$A:$A,'5'!$G:$G,"pipino il breve")</f>
        <v>72.45</v>
      </c>
      <c r="Z42">
        <f>_xlfn.XLOOKUP(B42,'6'!$A:$A,'6'!$G:$G,"pipino il breve")</f>
        <v>72.19</v>
      </c>
      <c r="AA42">
        <f>_xlfn.XLOOKUP(B42,'7'!$A:$A,'7'!$G:$G,"pipino il breve")</f>
        <v>73.05</v>
      </c>
      <c r="AB42">
        <f>_xlfn.XLOOKUP(B42,'8'!$A:$A,'8'!$G:$G,"pipino il breve")</f>
        <v>72.75</v>
      </c>
      <c r="AC42">
        <f>_xlfn.XLOOKUP(B42,'9'!$A:$A,'9'!$G:$G,"pipino il breve")</f>
        <v>72.3</v>
      </c>
      <c r="AF42">
        <f>_xlfn.XLOOKUP(B42,'12'!$A:$A,'12'!$G:$G,"pipino il breve")</f>
        <v>71.819999999999993</v>
      </c>
      <c r="AG42">
        <f>_xlfn.XLOOKUP(B42,'13'!$A:$A,'13'!$G:$G,"pipino il breve")</f>
        <v>71.569999999999993</v>
      </c>
      <c r="AH42">
        <f>_xlfn.XLOOKUP(B42,'14'!$A:$A,'14'!$G:$G,"pipino il breve")</f>
        <v>71.38</v>
      </c>
      <c r="AI42">
        <f>_xlfn.XLOOKUP(B42,'15'!$A:$A,'15'!$G:$G,"pipino il breve")</f>
        <v>72.25</v>
      </c>
    </row>
    <row r="43" spans="1:35" x14ac:dyDescent="0.2">
      <c r="A43">
        <v>42</v>
      </c>
      <c r="B43" s="2" t="s">
        <v>46</v>
      </c>
      <c r="C43" s="3">
        <v>0.85</v>
      </c>
      <c r="D43" s="2" t="s">
        <v>147</v>
      </c>
      <c r="E43" s="2">
        <f>_xlfn.XLOOKUP(B43,'15a'!$A:$A,'15a'!$G:$G,"pipino il breve")</f>
        <v>60.54</v>
      </c>
      <c r="F43" s="2">
        <f>_xlfn.XLOOKUP(B43,'16a'!$A:$A,'16a'!$G:$G,"pipino il breve")</f>
        <v>60.46</v>
      </c>
      <c r="G43" s="2">
        <f>_xlfn.XLOOKUP(B43,'17a'!$A:$A,'17a'!$G:$G,"pipino il breve")</f>
        <v>60.71</v>
      </c>
      <c r="H43" s="2"/>
      <c r="I43" s="2"/>
      <c r="J43" s="2"/>
      <c r="K43" s="2"/>
      <c r="L43" s="2">
        <f>_xlfn.XLOOKUP(B43,'22a'!$A:$A,'22a'!$G:$G,"pipino il breve")</f>
        <v>61.1</v>
      </c>
      <c r="M43" s="2">
        <f>_xlfn.XLOOKUP(B43,'23a'!$A:$A,'23a'!$G:$G,"pipino il breve")</f>
        <v>60.95</v>
      </c>
      <c r="N43" s="2">
        <f>_xlfn.XLOOKUP(B43,'24a'!$A:$A,'24a'!$G:$G,"pipino il breve")</f>
        <v>61.77</v>
      </c>
      <c r="O43" s="3">
        <v>61.43</v>
      </c>
      <c r="P43" s="3"/>
      <c r="Q43" s="3"/>
      <c r="R43">
        <f>_xlfn.XLOOKUP(B43,'28'!$A:$A,'28'!$G:$G,"pipino il breve")</f>
        <v>61.17</v>
      </c>
      <c r="S43">
        <f>_xlfn.XLOOKUP(B43,'29'!$A:$A,'29'!$G:$G,"pipino il breve")</f>
        <v>61.07</v>
      </c>
      <c r="T43" s="11">
        <f>_xlfn.XLOOKUP(B43,'30'!$A:$A,'30'!$G:$G,"pipino il breve")</f>
        <v>61.5</v>
      </c>
      <c r="U43" s="3"/>
      <c r="V43">
        <f>_xlfn.XLOOKUP(B43,'2'!$A:$A,'2'!$G:$G,"pipino il breve")</f>
        <v>60.860999999999997</v>
      </c>
      <c r="Y43">
        <f>_xlfn.XLOOKUP(B43,'5'!$A:$A,'5'!$G:$G,"pipino il breve")</f>
        <v>60.92</v>
      </c>
      <c r="Z43">
        <f>_xlfn.XLOOKUP(B43,'6'!$A:$A,'6'!$G:$G,"pipino il breve")</f>
        <v>60.55</v>
      </c>
      <c r="AA43">
        <f>_xlfn.XLOOKUP(B43,'7'!$A:$A,'7'!$G:$G,"pipino il breve")</f>
        <v>61.42</v>
      </c>
      <c r="AB43">
        <f>_xlfn.XLOOKUP(B43,'8'!$A:$A,'8'!$G:$G,"pipino il breve")</f>
        <v>61.09</v>
      </c>
      <c r="AC43">
        <f>_xlfn.XLOOKUP(B43,'9'!$A:$A,'9'!$G:$G,"pipino il breve")</f>
        <v>60.71</v>
      </c>
      <c r="AF43">
        <f>_xlfn.XLOOKUP(B43,'12'!$A:$A,'12'!$G:$G,"pipino il breve")</f>
        <v>60.3</v>
      </c>
      <c r="AG43">
        <f>_xlfn.XLOOKUP(B43,'13'!$A:$A,'13'!$G:$G,"pipino il breve")</f>
        <v>59.93</v>
      </c>
      <c r="AH43">
        <f>_xlfn.XLOOKUP(B43,'14'!$A:$A,'14'!$G:$G,"pipino il breve")</f>
        <v>59.85</v>
      </c>
      <c r="AI43">
        <f>_xlfn.XLOOKUP(B43,'15'!$A:$A,'15'!$G:$G,"pipino il breve")</f>
        <v>60.69</v>
      </c>
    </row>
    <row r="44" spans="1:35" x14ac:dyDescent="0.2">
      <c r="A44">
        <v>43</v>
      </c>
      <c r="B44" s="2" t="s">
        <v>68</v>
      </c>
      <c r="C44" s="3">
        <v>2.2250000000000001</v>
      </c>
      <c r="D44" s="2" t="s">
        <v>148</v>
      </c>
      <c r="E44" s="2">
        <f>_xlfn.XLOOKUP(B44,'15a'!$A:$A,'15a'!$G:$G,"pipino il breve")</f>
        <v>103.29</v>
      </c>
      <c r="F44" s="2">
        <f>_xlfn.XLOOKUP(B44,'16a'!$A:$A,'16a'!$G:$G,"pipino il breve")</f>
        <v>103.4</v>
      </c>
      <c r="G44" s="2">
        <f>_xlfn.XLOOKUP(B44,'17a'!$A:$A,'17a'!$G:$G,"pipino il breve")</f>
        <v>103.85</v>
      </c>
      <c r="H44" s="2"/>
      <c r="I44" s="2"/>
      <c r="J44" s="2"/>
      <c r="K44" s="2"/>
      <c r="L44" s="2">
        <f>_xlfn.XLOOKUP(B44,'22a'!$A:$A,'22a'!$G:$G,"pipino il breve")</f>
        <v>104.15</v>
      </c>
      <c r="M44" s="2">
        <f>_xlfn.XLOOKUP(B44,'23a'!$A:$A,'23a'!$G:$G,"pipino il breve")</f>
        <v>103.94</v>
      </c>
      <c r="N44" s="2">
        <f>_xlfn.XLOOKUP(B44,'24a'!$A:$A,'24a'!$G:$G,"pipino il breve")</f>
        <v>104.99</v>
      </c>
      <c r="O44" s="3">
        <v>104.43</v>
      </c>
      <c r="P44" s="3"/>
      <c r="Q44" s="3"/>
      <c r="R44">
        <f>_xlfn.XLOOKUP(B44,'28'!$A:$A,'28'!$G:$G,"pipino il breve")</f>
        <v>104.23</v>
      </c>
      <c r="S44">
        <f>_xlfn.XLOOKUP(B44,'29'!$A:$A,'29'!$G:$G,"pipino il breve")</f>
        <v>104.11</v>
      </c>
      <c r="T44" s="11">
        <f>_xlfn.XLOOKUP(B44,'30'!$A:$A,'30'!$G:$G,"pipino il breve")</f>
        <v>104.5</v>
      </c>
      <c r="U44" s="3"/>
      <c r="V44">
        <f>_xlfn.XLOOKUP(B44,'2'!$A:$A,'2'!$G:$G,"pipino il breve")</f>
        <v>103.92</v>
      </c>
      <c r="Y44">
        <f>_xlfn.XLOOKUP(B44,'5'!$A:$A,'5'!$G:$G,"pipino il breve")</f>
        <v>104.05</v>
      </c>
      <c r="Z44">
        <f>_xlfn.XLOOKUP(B44,'6'!$A:$A,'6'!$G:$G,"pipino il breve")</f>
        <v>103.67</v>
      </c>
      <c r="AA44">
        <f>_xlfn.XLOOKUP(B44,'7'!$A:$A,'7'!$G:$G,"pipino il breve")</f>
        <v>104.59</v>
      </c>
      <c r="AB44">
        <f>_xlfn.XLOOKUP(B44,'8'!$A:$A,'8'!$G:$G,"pipino il breve")</f>
        <v>104.26</v>
      </c>
      <c r="AC44">
        <f>_xlfn.XLOOKUP(B44,'9'!$A:$A,'9'!$G:$G,"pipino il breve")</f>
        <v>103.81</v>
      </c>
      <c r="AF44">
        <f>_xlfn.XLOOKUP(B44,'12'!$A:$A,'12'!$G:$G,"pipino il breve")</f>
        <v>103.26</v>
      </c>
      <c r="AG44">
        <f>_xlfn.XLOOKUP(B44,'13'!$A:$A,'13'!$G:$G,"pipino il breve")</f>
        <v>102.84</v>
      </c>
      <c r="AH44">
        <f>_xlfn.XLOOKUP(B44,'14'!$A:$A,'14'!$G:$G,"pipino il breve")</f>
        <v>102.8</v>
      </c>
      <c r="AI44">
        <f>_xlfn.XLOOKUP(B44,'15'!$A:$A,'15'!$G:$G,"pipino il breve")</f>
        <v>103.74</v>
      </c>
    </row>
    <row r="45" spans="1:35" x14ac:dyDescent="0.2">
      <c r="A45">
        <v>44</v>
      </c>
      <c r="B45" s="2" t="s">
        <v>77</v>
      </c>
      <c r="C45" s="3">
        <v>2.1</v>
      </c>
      <c r="D45" s="2" t="s">
        <v>149</v>
      </c>
      <c r="E45" s="2">
        <f>_xlfn.XLOOKUP(B45,'15a'!$A:$A,'15a'!$G:$G,"pipino il breve")</f>
        <v>105.35</v>
      </c>
      <c r="F45" s="2">
        <f>_xlfn.XLOOKUP(B45,'16a'!$A:$A,'16a'!$G:$G,"pipino il breve")</f>
        <v>105.58</v>
      </c>
      <c r="G45" s="2">
        <f>_xlfn.XLOOKUP(B45,'17a'!$A:$A,'17a'!$G:$G,"pipino il breve")</f>
        <v>105.99</v>
      </c>
      <c r="H45" s="2"/>
      <c r="I45" s="2"/>
      <c r="J45" s="2"/>
      <c r="K45" s="2"/>
      <c r="L45" s="2">
        <f>_xlfn.XLOOKUP(B45,'22a'!$A:$A,'22a'!$G:$G,"pipino il breve")</f>
        <v>106.22</v>
      </c>
      <c r="M45" s="2">
        <f>_xlfn.XLOOKUP(B45,'23a'!$A:$A,'23a'!$G:$G,"pipino il breve")</f>
        <v>106.09</v>
      </c>
      <c r="N45" s="2">
        <f>_xlfn.XLOOKUP(B45,'24a'!$A:$A,'24a'!$G:$G,"pipino il breve")</f>
        <v>106.85</v>
      </c>
      <c r="O45" s="3">
        <v>106.4</v>
      </c>
      <c r="P45" s="3"/>
      <c r="Q45" s="3"/>
      <c r="R45">
        <f>_xlfn.XLOOKUP(B45,'28'!$A:$A,'28'!$G:$G,"pipino il breve")</f>
        <v>106.33</v>
      </c>
      <c r="S45">
        <f>_xlfn.XLOOKUP(B45,'29'!$A:$A,'29'!$G:$G,"pipino il breve")</f>
        <v>106.33</v>
      </c>
      <c r="T45" s="11">
        <f>_xlfn.XLOOKUP(B45,'30'!$A:$A,'30'!$G:$G,"pipino il breve")</f>
        <v>106.68</v>
      </c>
      <c r="U45" s="3"/>
      <c r="V45">
        <f>_xlfn.XLOOKUP(B45,'2'!$A:$A,'2'!$G:$G,"pipino il breve")</f>
        <v>106.2</v>
      </c>
      <c r="Y45">
        <f>_xlfn.XLOOKUP(B45,'5'!$A:$A,'5'!$G:$G,"pipino il breve")</f>
        <v>106.38</v>
      </c>
      <c r="Z45">
        <f>_xlfn.XLOOKUP(B45,'6'!$A:$A,'6'!$G:$G,"pipino il breve")</f>
        <v>106.24</v>
      </c>
      <c r="AA45">
        <f>_xlfn.XLOOKUP(B45,'7'!$A:$A,'7'!$G:$G,"pipino il breve")</f>
        <v>106.81</v>
      </c>
      <c r="AB45">
        <f>_xlfn.XLOOKUP(B45,'8'!$A:$A,'8'!$G:$G,"pipino il breve")</f>
        <v>106.58</v>
      </c>
      <c r="AC45">
        <f>_xlfn.XLOOKUP(B45,'9'!$A:$A,'9'!$G:$G,"pipino il breve")</f>
        <v>106.27</v>
      </c>
      <c r="AF45">
        <f>_xlfn.XLOOKUP(B45,'12'!$A:$A,'12'!$G:$G,"pipino il breve")</f>
        <v>105.8</v>
      </c>
      <c r="AG45">
        <f>_xlfn.XLOOKUP(B45,'13'!$A:$A,'13'!$G:$G,"pipino il breve")</f>
        <v>105.64</v>
      </c>
      <c r="AH45">
        <f>_xlfn.XLOOKUP(B45,'14'!$A:$A,'14'!$G:$G,"pipino il breve")</f>
        <v>105.49</v>
      </c>
      <c r="AI45">
        <f>_xlfn.XLOOKUP(B45,'15'!$A:$A,'15'!$G:$G,"pipino il breve")</f>
        <v>106.05</v>
      </c>
    </row>
    <row r="46" spans="1:35" x14ac:dyDescent="0.2">
      <c r="A46">
        <v>45</v>
      </c>
      <c r="B46" s="2" t="s">
        <v>45</v>
      </c>
      <c r="C46" s="3">
        <v>0.45</v>
      </c>
      <c r="D46" s="2" t="s">
        <v>150</v>
      </c>
      <c r="E46" s="2">
        <f>_xlfn.XLOOKUP(B46,'15a'!$A:$A,'15a'!$G:$G,"pipino il breve")</f>
        <v>88.72</v>
      </c>
      <c r="F46" s="2">
        <f>_xlfn.XLOOKUP(B46,'16a'!$A:$A,'16a'!$G:$G,"pipino il breve")</f>
        <v>88.96</v>
      </c>
      <c r="G46" s="2">
        <f>_xlfn.XLOOKUP(B46,'17a'!$A:$A,'17a'!$G:$G,"pipino il breve")</f>
        <v>89.27</v>
      </c>
      <c r="H46" s="2"/>
      <c r="I46" s="2"/>
      <c r="J46" s="2"/>
      <c r="K46" s="2"/>
      <c r="L46" s="2">
        <f>_xlfn.XLOOKUP(B46,'22a'!$A:$A,'22a'!$G:$G,"pipino il breve")</f>
        <v>89.41</v>
      </c>
      <c r="M46" s="2">
        <f>_xlfn.XLOOKUP(B46,'23a'!$A:$A,'23a'!$G:$G,"pipino il breve")</f>
        <v>89.24</v>
      </c>
      <c r="N46" s="2">
        <f>_xlfn.XLOOKUP(B46,'24a'!$A:$A,'24a'!$G:$G,"pipino il breve")</f>
        <v>89.75</v>
      </c>
      <c r="O46" s="3">
        <v>89.47</v>
      </c>
      <c r="P46" s="3"/>
      <c r="Q46" s="3"/>
      <c r="R46">
        <f>_xlfn.XLOOKUP(B46,'28'!$A:$A,'28'!$G:$G,"pipino il breve")</f>
        <v>89.49</v>
      </c>
      <c r="S46">
        <f>_xlfn.XLOOKUP(B46,'29'!$A:$A,'29'!$G:$G,"pipino il breve")</f>
        <v>89.44</v>
      </c>
      <c r="T46" s="11">
        <f>_xlfn.XLOOKUP(B46,'30'!$A:$A,'30'!$G:$G,"pipino il breve")</f>
        <v>89.63</v>
      </c>
      <c r="U46" s="3"/>
      <c r="V46">
        <f>_xlfn.XLOOKUP(B46,'2'!$A:$A,'2'!$G:$G,"pipino il breve")</f>
        <v>89.43</v>
      </c>
      <c r="Y46">
        <f>_xlfn.XLOOKUP(B46,'5'!$A:$A,'5'!$G:$G,"pipino il breve")</f>
        <v>89.5</v>
      </c>
      <c r="Z46">
        <f>_xlfn.XLOOKUP(B46,'6'!$A:$A,'6'!$G:$G,"pipino il breve")</f>
        <v>89.49</v>
      </c>
      <c r="AA46">
        <f>_xlfn.XLOOKUP(B46,'7'!$A:$A,'7'!$G:$G,"pipino il breve")</f>
        <v>89.76</v>
      </c>
      <c r="AB46">
        <f>_xlfn.XLOOKUP(B46,'8'!$A:$A,'8'!$G:$G,"pipino il breve")</f>
        <v>89.66</v>
      </c>
      <c r="AC46">
        <f>_xlfn.XLOOKUP(B46,'9'!$A:$A,'9'!$G:$G,"pipino il breve")</f>
        <v>89.5</v>
      </c>
      <c r="AF46">
        <f>_xlfn.XLOOKUP(B46,'12'!$A:$A,'12'!$G:$G,"pipino il breve")</f>
        <v>89.07</v>
      </c>
      <c r="AG46">
        <f>_xlfn.XLOOKUP(B46,'13'!$A:$A,'13'!$G:$G,"pipino il breve")</f>
        <v>88.98</v>
      </c>
      <c r="AH46">
        <f>_xlfn.XLOOKUP(B46,'14'!$A:$A,'14'!$G:$G,"pipino il breve")</f>
        <v>88.91</v>
      </c>
      <c r="AI46">
        <f>_xlfn.XLOOKUP(B46,'15'!$A:$A,'15'!$G:$G,"pipino il breve")</f>
        <v>89.23</v>
      </c>
    </row>
    <row r="47" spans="1:35" x14ac:dyDescent="0.2">
      <c r="A47">
        <v>46</v>
      </c>
      <c r="B47" s="2" t="s">
        <v>55</v>
      </c>
      <c r="C47" s="3">
        <v>0.47499999999999998</v>
      </c>
      <c r="D47" s="2" t="s">
        <v>151</v>
      </c>
      <c r="E47" s="2">
        <f>_xlfn.XLOOKUP(B47,'15a'!$A:$A,'15a'!$G:$G,"pipino il breve")</f>
        <v>85.77</v>
      </c>
      <c r="F47" s="2">
        <f>_xlfn.XLOOKUP(B47,'16a'!$A:$A,'16a'!$G:$G,"pipino il breve")</f>
        <v>86.03</v>
      </c>
      <c r="G47" s="2">
        <f>_xlfn.XLOOKUP(B47,'17a'!$A:$A,'17a'!$G:$G,"pipino il breve")</f>
        <v>86.39</v>
      </c>
      <c r="H47" s="2"/>
      <c r="I47" s="2"/>
      <c r="J47" s="2"/>
      <c r="K47" s="2"/>
      <c r="L47" s="2">
        <f>_xlfn.XLOOKUP(B47,'22a'!$A:$A,'22a'!$G:$G,"pipino il breve")</f>
        <v>86.52</v>
      </c>
      <c r="M47" s="2">
        <f>_xlfn.XLOOKUP(B47,'23a'!$A:$A,'23a'!$G:$G,"pipino il breve")</f>
        <v>86.41</v>
      </c>
      <c r="N47" s="2">
        <f>_xlfn.XLOOKUP(B47,'24a'!$A:$A,'24a'!$G:$G,"pipino il breve")</f>
        <v>86.96</v>
      </c>
      <c r="O47" s="3">
        <v>86.7</v>
      </c>
      <c r="P47" s="3"/>
      <c r="Q47" s="3"/>
      <c r="R47">
        <f>_xlfn.XLOOKUP(B47,'28'!$A:$A,'28'!$G:$G,"pipino il breve")</f>
        <v>86.6</v>
      </c>
      <c r="S47">
        <f>_xlfn.XLOOKUP(B47,'29'!$A:$A,'29'!$G:$G,"pipino il breve")</f>
        <v>86.67</v>
      </c>
      <c r="T47" s="11">
        <f>_xlfn.XLOOKUP(B47,'30'!$A:$A,'30'!$G:$G,"pipino il breve")</f>
        <v>86.86</v>
      </c>
      <c r="U47" s="3"/>
      <c r="V47">
        <f>_xlfn.XLOOKUP(B47,'2'!$A:$A,'2'!$G:$G,"pipino il breve")</f>
        <v>86.61</v>
      </c>
      <c r="Y47">
        <f>_xlfn.XLOOKUP(B47,'5'!$A:$A,'5'!$G:$G,"pipino il breve")</f>
        <v>86.68</v>
      </c>
      <c r="Z47">
        <f>_xlfn.XLOOKUP(B47,'6'!$A:$A,'6'!$G:$G,"pipino il breve")</f>
        <v>86.63</v>
      </c>
      <c r="AA47">
        <f>_xlfn.XLOOKUP(B47,'7'!$A:$A,'7'!$G:$G,"pipino il breve")</f>
        <v>87.01</v>
      </c>
      <c r="AB47">
        <f>_xlfn.XLOOKUP(B47,'8'!$A:$A,'8'!$G:$G,"pipino il breve")</f>
        <v>86.88</v>
      </c>
      <c r="AC47">
        <f>_xlfn.XLOOKUP(B47,'9'!$A:$A,'9'!$G:$G,"pipino il breve")</f>
        <v>86.72</v>
      </c>
      <c r="AF47">
        <f>_xlfn.XLOOKUP(B47,'12'!$A:$A,'12'!$G:$G,"pipino il breve")</f>
        <v>86.27</v>
      </c>
      <c r="AG47">
        <f>_xlfn.XLOOKUP(B47,'13'!$A:$A,'13'!$G:$G,"pipino il breve")</f>
        <v>86.15</v>
      </c>
      <c r="AH47">
        <f>_xlfn.XLOOKUP(B47,'14'!$A:$A,'14'!$G:$G,"pipino il breve")</f>
        <v>86.08</v>
      </c>
      <c r="AI47">
        <f>_xlfn.XLOOKUP(B47,'15'!$A:$A,'15'!$G:$G,"pipino il breve")</f>
        <v>86.45</v>
      </c>
    </row>
    <row r="48" spans="1:35" x14ac:dyDescent="0.2">
      <c r="A48">
        <v>47</v>
      </c>
      <c r="B48" s="2" t="s">
        <v>65</v>
      </c>
      <c r="C48" s="3">
        <v>2.2000000000000002</v>
      </c>
      <c r="D48" s="2" t="s">
        <v>152</v>
      </c>
      <c r="E48" s="2">
        <f>_xlfn.XLOOKUP(B48,'15a'!$A:$A,'15a'!$G:$G,"pipino il breve")</f>
        <v>107.31</v>
      </c>
      <c r="F48" s="2">
        <f>_xlfn.XLOOKUP(B48,'16a'!$A:$A,'16a'!$G:$G,"pipino il breve")</f>
        <v>107.54</v>
      </c>
      <c r="G48" s="2">
        <f>_xlfn.XLOOKUP(B48,'17a'!$A:$A,'17a'!$G:$G,"pipino il breve")</f>
        <v>107.99</v>
      </c>
      <c r="H48" s="2"/>
      <c r="I48" s="2"/>
      <c r="J48" s="2"/>
      <c r="K48" s="2"/>
      <c r="L48" s="2">
        <f>_xlfn.XLOOKUP(B48,'22a'!$A:$A,'22a'!$G:$G,"pipino il breve")</f>
        <v>108.11</v>
      </c>
      <c r="M48" s="2">
        <f>_xlfn.XLOOKUP(B48,'23a'!$A:$A,'23a'!$G:$G,"pipino il breve")</f>
        <v>108.02</v>
      </c>
      <c r="N48" s="2">
        <f>_xlfn.XLOOKUP(B48,'24a'!$A:$A,'24a'!$G:$G,"pipino il breve")</f>
        <v>108.67</v>
      </c>
      <c r="O48" s="3">
        <v>108.3</v>
      </c>
      <c r="P48" s="3"/>
      <c r="Q48" s="3"/>
      <c r="R48">
        <f>_xlfn.XLOOKUP(B48,'28'!$A:$A,'28'!$G:$G,"pipino il breve")</f>
        <v>108.25</v>
      </c>
      <c r="S48">
        <f>_xlfn.XLOOKUP(B48,'29'!$A:$A,'29'!$G:$G,"pipino il breve")</f>
        <v>108.19</v>
      </c>
      <c r="T48" s="11">
        <f>_xlfn.XLOOKUP(B48,'30'!$A:$A,'30'!$G:$G,"pipino il breve")</f>
        <v>108.5</v>
      </c>
      <c r="U48" s="3"/>
      <c r="V48">
        <f>_xlfn.XLOOKUP(B48,'2'!$A:$A,'2'!$G:$G,"pipino il breve")</f>
        <v>108.17</v>
      </c>
      <c r="Y48">
        <f>_xlfn.XLOOKUP(B48,'5'!$A:$A,'5'!$G:$G,"pipino il breve")</f>
        <v>108.27</v>
      </c>
      <c r="Z48">
        <f>_xlfn.XLOOKUP(B48,'6'!$A:$A,'6'!$G:$G,"pipino il breve")</f>
        <v>108.15</v>
      </c>
      <c r="AA48">
        <f>_xlfn.XLOOKUP(B48,'7'!$A:$A,'7'!$G:$G,"pipino il breve")</f>
        <v>108.61</v>
      </c>
      <c r="AB48">
        <f>_xlfn.XLOOKUP(B48,'8'!$A:$A,'8'!$G:$G,"pipino il breve")</f>
        <v>108.46</v>
      </c>
      <c r="AC48">
        <f>_xlfn.XLOOKUP(B48,'9'!$A:$A,'9'!$G:$G,"pipino il breve")</f>
        <v>108.17</v>
      </c>
      <c r="AF48">
        <f>_xlfn.XLOOKUP(B48,'12'!$A:$A,'12'!$G:$G,"pipino il breve")</f>
        <v>107.66</v>
      </c>
      <c r="AG48">
        <f>_xlfn.XLOOKUP(B48,'13'!$A:$A,'13'!$G:$G,"pipino il breve")</f>
        <v>107.58</v>
      </c>
      <c r="AH48">
        <f>_xlfn.XLOOKUP(B48,'14'!$A:$A,'14'!$G:$G,"pipino il breve")</f>
        <v>107.43</v>
      </c>
      <c r="AI48">
        <f>_xlfn.XLOOKUP(B48,'15'!$A:$A,'15'!$G:$G,"pipino il breve")</f>
        <v>107.84</v>
      </c>
    </row>
    <row r="49" spans="1:35" x14ac:dyDescent="0.2">
      <c r="A49">
        <v>48</v>
      </c>
      <c r="B49" s="2" t="s">
        <v>0</v>
      </c>
      <c r="C49" s="3">
        <v>3.625</v>
      </c>
      <c r="D49" s="2" t="s">
        <v>153</v>
      </c>
      <c r="E49" s="2">
        <f>_xlfn.XLOOKUP(B49,'15a'!$A:$A,'15a'!$G:$G,"pipino il breve")</f>
        <v>107.99</v>
      </c>
      <c r="F49" s="2">
        <f>_xlfn.XLOOKUP(B49,'16a'!$A:$A,'16a'!$G:$G,"pipino il breve")</f>
        <v>108.01</v>
      </c>
      <c r="G49" s="2">
        <f>_xlfn.XLOOKUP(B49,'17a'!$A:$A,'17a'!$G:$G,"pipino il breve")</f>
        <v>108.04</v>
      </c>
      <c r="H49" s="2"/>
      <c r="I49" s="2"/>
      <c r="J49" s="2"/>
      <c r="K49" s="2"/>
      <c r="L49" s="2">
        <f>_xlfn.XLOOKUP(B49,'22a'!$A:$A,'22a'!$G:$G,"pipino il breve")</f>
        <v>108.07</v>
      </c>
      <c r="M49" s="2">
        <f>_xlfn.XLOOKUP(B49,'23a'!$A:$A,'23a'!$G:$G,"pipino il breve")</f>
        <v>108.01</v>
      </c>
      <c r="N49" s="2">
        <f>_xlfn.XLOOKUP(B49,'24a'!$A:$A,'24a'!$G:$G,"pipino il breve")</f>
        <v>108.05</v>
      </c>
      <c r="O49" s="3">
        <v>107.99</v>
      </c>
      <c r="P49" s="3"/>
      <c r="Q49" s="3"/>
      <c r="R49">
        <f>_xlfn.XLOOKUP(B49,'28'!$A:$A,'28'!$G:$G,"pipino il breve")</f>
        <v>108.02</v>
      </c>
      <c r="S49">
        <f>_xlfn.XLOOKUP(B49,'29'!$A:$A,'29'!$G:$G,"pipino il breve")</f>
        <v>107.96</v>
      </c>
      <c r="T49" s="11">
        <f>_xlfn.XLOOKUP(B49,'30'!$A:$A,'30'!$G:$G,"pipino il breve")</f>
        <v>107.91</v>
      </c>
      <c r="U49" s="3"/>
      <c r="V49">
        <f>_xlfn.XLOOKUP(B49,'2'!$A:$A,'2'!$G:$G,"pipino il breve")</f>
        <v>107.83</v>
      </c>
      <c r="Y49">
        <f>_xlfn.XLOOKUP(B49,'5'!$A:$A,'5'!$G:$G,"pipino il breve")</f>
        <v>107.85</v>
      </c>
      <c r="Z49">
        <f>_xlfn.XLOOKUP(B49,'6'!$A:$A,'6'!$G:$G,"pipino il breve")</f>
        <v>107.86</v>
      </c>
      <c r="AA49">
        <f>_xlfn.XLOOKUP(B49,'7'!$A:$A,'7'!$G:$G,"pipino il breve")</f>
        <v>107.87</v>
      </c>
      <c r="AB49">
        <f>_xlfn.XLOOKUP(B49,'8'!$A:$A,'8'!$G:$G,"pipino il breve")</f>
        <v>107.82</v>
      </c>
      <c r="AC49">
        <f>_xlfn.XLOOKUP(B49,'9'!$A:$A,'9'!$G:$G,"pipino il breve")</f>
        <v>107.76</v>
      </c>
      <c r="AF49">
        <f>_xlfn.XLOOKUP(B49,'12'!$A:$A,'12'!$G:$G,"pipino il breve")</f>
        <v>107.57</v>
      </c>
      <c r="AG49">
        <f>_xlfn.XLOOKUP(B49,'13'!$A:$A,'13'!$G:$G,"pipino il breve")</f>
        <v>107.62</v>
      </c>
      <c r="AH49">
        <f>_xlfn.XLOOKUP(B49,'14'!$A:$A,'14'!$G:$G,"pipino il breve")</f>
        <v>107.58</v>
      </c>
      <c r="AI49">
        <f>_xlfn.XLOOKUP(B49,'15'!$A:$A,'15'!$G:$G,"pipino il breve")</f>
        <v>107.55</v>
      </c>
    </row>
    <row r="50" spans="1:35" x14ac:dyDescent="0.2">
      <c r="A50">
        <v>49</v>
      </c>
      <c r="B50" s="2" t="s">
        <v>1</v>
      </c>
      <c r="C50" s="3">
        <v>3.25</v>
      </c>
      <c r="D50" s="2" t="s">
        <v>154</v>
      </c>
      <c r="E50" s="2">
        <f>_xlfn.XLOOKUP(B50,'15a'!$A:$A,'15a'!$G:$G,"pipino il breve")</f>
        <v>110.74</v>
      </c>
      <c r="F50" s="2">
        <f>_xlfn.XLOOKUP(B50,'16a'!$A:$A,'16a'!$G:$G,"pipino il breve")</f>
        <v>110.77</v>
      </c>
      <c r="G50" s="2">
        <f>_xlfn.XLOOKUP(B50,'17a'!$A:$A,'17a'!$G:$G,"pipino il breve")</f>
        <v>110.92</v>
      </c>
      <c r="H50" s="2"/>
      <c r="I50" s="2"/>
      <c r="J50" s="2"/>
      <c r="K50" s="2"/>
      <c r="L50" s="2">
        <f>_xlfn.XLOOKUP(B50,'22a'!$A:$A,'22a'!$G:$G,"pipino il breve")</f>
        <v>110.99</v>
      </c>
      <c r="M50" s="2">
        <f>_xlfn.XLOOKUP(B50,'23a'!$A:$A,'23a'!$G:$G,"pipino il breve")</f>
        <v>110.89</v>
      </c>
      <c r="N50" s="2">
        <f>_xlfn.XLOOKUP(B50,'24a'!$A:$A,'24a'!$G:$G,"pipino il breve")</f>
        <v>111.06</v>
      </c>
      <c r="O50" s="3">
        <v>110.92</v>
      </c>
      <c r="P50" s="3"/>
      <c r="Q50" s="3"/>
      <c r="R50">
        <f>_xlfn.XLOOKUP(B50,'28'!$A:$A,'28'!$G:$G,"pipino il breve")</f>
        <v>110.91</v>
      </c>
      <c r="S50">
        <f>_xlfn.XLOOKUP(B50,'29'!$A:$A,'29'!$G:$G,"pipino il breve")</f>
        <v>110.87</v>
      </c>
      <c r="T50" s="11">
        <f>_xlfn.XLOOKUP(B50,'30'!$A:$A,'30'!$G:$G,"pipino il breve")</f>
        <v>110.91</v>
      </c>
      <c r="U50" s="3"/>
      <c r="V50">
        <f>_xlfn.XLOOKUP(B50,'2'!$A:$A,'2'!$G:$G,"pipino il breve")</f>
        <v>110.75</v>
      </c>
      <c r="Y50">
        <f>_xlfn.XLOOKUP(B50,'5'!$A:$A,'5'!$G:$G,"pipino il breve")</f>
        <v>110.79</v>
      </c>
      <c r="Z50">
        <f>_xlfn.XLOOKUP(B50,'6'!$A:$A,'6'!$G:$G,"pipino il breve")</f>
        <v>110.77</v>
      </c>
      <c r="AA50">
        <f>_xlfn.XLOOKUP(B50,'7'!$A:$A,'7'!$G:$G,"pipino il breve")</f>
        <v>110.82</v>
      </c>
      <c r="AB50">
        <f>_xlfn.XLOOKUP(B50,'8'!$A:$A,'8'!$G:$G,"pipino il breve")</f>
        <v>110.72</v>
      </c>
      <c r="AC50">
        <f>_xlfn.XLOOKUP(B50,'9'!$A:$A,'9'!$G:$G,"pipino il breve")</f>
        <v>110.66</v>
      </c>
      <c r="AF50">
        <f>_xlfn.XLOOKUP(B50,'12'!$A:$A,'12'!$G:$G,"pipino il breve")</f>
        <v>110.31</v>
      </c>
      <c r="AG50">
        <f>_xlfn.XLOOKUP(B50,'13'!$A:$A,'13'!$G:$G,"pipino il breve")</f>
        <v>110.32</v>
      </c>
      <c r="AH50">
        <f>_xlfn.XLOOKUP(B50,'14'!$A:$A,'14'!$G:$G,"pipino il breve")</f>
        <v>110.27</v>
      </c>
      <c r="AI50">
        <f>_xlfn.XLOOKUP(B50,'15'!$A:$A,'15'!$G:$G,"pipino il breve")</f>
        <v>110.37</v>
      </c>
    </row>
    <row r="51" spans="1:35" x14ac:dyDescent="0.2">
      <c r="A51">
        <v>50</v>
      </c>
      <c r="B51" s="2" t="s">
        <v>2</v>
      </c>
      <c r="C51" s="3">
        <v>2.625</v>
      </c>
      <c r="D51" s="2" t="s">
        <v>155</v>
      </c>
      <c r="E51" s="2">
        <f>_xlfn.XLOOKUP(B51,'15a'!$A:$A,'15a'!$G:$G,"pipino il breve")</f>
        <v>111.36</v>
      </c>
      <c r="F51" s="2">
        <f>_xlfn.XLOOKUP(B51,'16a'!$A:$A,'16a'!$G:$G,"pipino il breve")</f>
        <v>111.52</v>
      </c>
      <c r="G51" s="2">
        <f>_xlfn.XLOOKUP(B51,'17a'!$A:$A,'17a'!$G:$G,"pipino il breve")</f>
        <v>111.76</v>
      </c>
      <c r="H51" s="2"/>
      <c r="I51" s="2"/>
      <c r="J51" s="2"/>
      <c r="K51" s="2"/>
      <c r="L51" s="2">
        <f>_xlfn.XLOOKUP(B51,'22a'!$A:$A,'22a'!$G:$G,"pipino il breve")</f>
        <v>111.91</v>
      </c>
      <c r="M51" s="2">
        <f>_xlfn.XLOOKUP(B51,'23a'!$A:$A,'23a'!$G:$G,"pipino il breve")</f>
        <v>111.74</v>
      </c>
      <c r="N51" s="2">
        <f>_xlfn.XLOOKUP(B51,'24a'!$A:$A,'24a'!$G:$G,"pipino il breve")</f>
        <v>112.13</v>
      </c>
      <c r="O51" s="3">
        <v>111.82</v>
      </c>
      <c r="P51" s="3"/>
      <c r="Q51" s="3"/>
      <c r="R51">
        <f>_xlfn.XLOOKUP(B51,'28'!$A:$A,'28'!$G:$G,"pipino il breve")</f>
        <v>111.93</v>
      </c>
      <c r="S51">
        <f>_xlfn.XLOOKUP(B51,'29'!$A:$A,'29'!$G:$G,"pipino il breve")</f>
        <v>111.83</v>
      </c>
      <c r="T51" s="11">
        <f>_xlfn.XLOOKUP(B51,'30'!$A:$A,'30'!$G:$G,"pipino il breve")</f>
        <v>112</v>
      </c>
      <c r="U51" s="3"/>
      <c r="V51">
        <f>_xlfn.XLOOKUP(B51,'2'!$A:$A,'2'!$G:$G,"pipino il breve")</f>
        <v>111.77</v>
      </c>
      <c r="Y51">
        <f>_xlfn.XLOOKUP(B51,'5'!$A:$A,'5'!$G:$G,"pipino il breve")</f>
        <v>111.78</v>
      </c>
      <c r="Z51">
        <f>_xlfn.XLOOKUP(B51,'6'!$A:$A,'6'!$G:$G,"pipino il breve")</f>
        <v>111.81</v>
      </c>
      <c r="AA51">
        <f>_xlfn.XLOOKUP(B51,'7'!$A:$A,'7'!$G:$G,"pipino il breve")</f>
        <v>112.13</v>
      </c>
      <c r="AB51">
        <f>_xlfn.XLOOKUP(B51,'8'!$A:$A,'8'!$G:$G,"pipino il breve")</f>
        <v>111.87</v>
      </c>
      <c r="AC51">
        <f>_xlfn.XLOOKUP(B51,'9'!$A:$A,'9'!$G:$G,"pipino il breve")</f>
        <v>111.69</v>
      </c>
      <c r="AF51">
        <f>_xlfn.XLOOKUP(B51,'12'!$A:$A,'12'!$G:$G,"pipino il breve")</f>
        <v>111.3</v>
      </c>
      <c r="AG51">
        <f>_xlfn.XLOOKUP(B51,'13'!$A:$A,'13'!$G:$G,"pipino il breve")</f>
        <v>111.22</v>
      </c>
      <c r="AH51">
        <f>_xlfn.XLOOKUP(B51,'14'!$A:$A,'14'!$G:$G,"pipino il breve")</f>
        <v>111.19</v>
      </c>
      <c r="AI51">
        <f>_xlfn.XLOOKUP(B51,'15'!$A:$A,'15'!$G:$G,"pipino il breve")</f>
        <v>111.34</v>
      </c>
    </row>
    <row r="52" spans="1:35" x14ac:dyDescent="0.2">
      <c r="A52">
        <v>51</v>
      </c>
      <c r="B52" s="2" t="s">
        <v>3</v>
      </c>
      <c r="C52" s="3">
        <v>3</v>
      </c>
      <c r="D52" s="2" t="s">
        <v>156</v>
      </c>
      <c r="E52" s="2">
        <f>_xlfn.XLOOKUP(B52,'15a'!$A:$A,'15a'!$G:$G,"pipino il breve")</f>
        <v>116.79</v>
      </c>
      <c r="F52" s="2">
        <f>_xlfn.XLOOKUP(B52,'16a'!$A:$A,'16a'!$G:$G,"pipino il breve")</f>
        <v>116.94</v>
      </c>
      <c r="G52" s="2">
        <f>_xlfn.XLOOKUP(B52,'17a'!$A:$A,'17a'!$G:$G,"pipino il breve")</f>
        <v>117.23</v>
      </c>
      <c r="H52" s="2"/>
      <c r="I52" s="2"/>
      <c r="J52" s="2"/>
      <c r="K52" s="2"/>
      <c r="L52" s="2">
        <f>_xlfn.XLOOKUP(B52,'22a'!$A:$A,'22a'!$G:$G,"pipino il breve")</f>
        <v>117.43</v>
      </c>
      <c r="M52" s="2">
        <f>_xlfn.XLOOKUP(B52,'23a'!$A:$A,'23a'!$G:$G,"pipino il breve")</f>
        <v>117.28</v>
      </c>
      <c r="N52" s="2">
        <f>_xlfn.XLOOKUP(B52,'24a'!$A:$A,'24a'!$G:$G,"pipino il breve")</f>
        <v>117.93</v>
      </c>
      <c r="O52" s="3">
        <v>117.52</v>
      </c>
      <c r="P52" s="3"/>
      <c r="Q52" s="3"/>
      <c r="R52">
        <f>_xlfn.XLOOKUP(B52,'28'!$A:$A,'28'!$G:$G,"pipino il breve")</f>
        <v>117.51</v>
      </c>
      <c r="S52">
        <f>_xlfn.XLOOKUP(B52,'29'!$A:$A,'29'!$G:$G,"pipino il breve")</f>
        <v>117.53</v>
      </c>
      <c r="T52" s="11">
        <f>_xlfn.XLOOKUP(B52,'30'!$A:$A,'30'!$G:$G,"pipino il breve")</f>
        <v>117.65</v>
      </c>
      <c r="U52" s="3"/>
      <c r="V52">
        <f>_xlfn.XLOOKUP(B52,'2'!$A:$A,'2'!$G:$G,"pipino il breve")</f>
        <v>117.37</v>
      </c>
      <c r="Y52">
        <f>_xlfn.XLOOKUP(B52,'5'!$A:$A,'5'!$G:$G,"pipino il breve")</f>
        <v>117.38</v>
      </c>
      <c r="Z52">
        <f>_xlfn.XLOOKUP(B52,'6'!$A:$A,'6'!$G:$G,"pipino il breve")</f>
        <v>117.38</v>
      </c>
      <c r="AA52">
        <f>_xlfn.XLOOKUP(B52,'7'!$A:$A,'7'!$G:$G,"pipino il breve")</f>
        <v>117.68</v>
      </c>
      <c r="AB52">
        <f>_xlfn.XLOOKUP(B52,'8'!$A:$A,'8'!$G:$G,"pipino il breve")</f>
        <v>117.55</v>
      </c>
      <c r="AC52">
        <f>_xlfn.XLOOKUP(B52,'9'!$A:$A,'9'!$G:$G,"pipino il breve")</f>
        <v>117.38</v>
      </c>
      <c r="AF52">
        <f>_xlfn.XLOOKUP(B52,'12'!$A:$A,'12'!$G:$G,"pipino il breve")</f>
        <v>116.86</v>
      </c>
      <c r="AG52">
        <f>_xlfn.XLOOKUP(B52,'13'!$A:$A,'13'!$G:$G,"pipino il breve")</f>
        <v>116.72</v>
      </c>
      <c r="AH52">
        <f>_xlfn.XLOOKUP(B52,'14'!$A:$A,'14'!$G:$G,"pipino il breve")</f>
        <v>116.68</v>
      </c>
      <c r="AI52">
        <f>_xlfn.XLOOKUP(B52,'15'!$A:$A,'15'!$G:$G,"pipino il breve")</f>
        <v>117</v>
      </c>
    </row>
    <row r="53" spans="1:35" x14ac:dyDescent="0.2">
      <c r="A53">
        <v>52</v>
      </c>
      <c r="B53" s="2" t="s">
        <v>14</v>
      </c>
      <c r="C53" s="3">
        <v>0.75</v>
      </c>
      <c r="D53" s="2" t="s">
        <v>157</v>
      </c>
      <c r="E53" s="2">
        <v>99.9</v>
      </c>
      <c r="F53" s="2">
        <v>99.91</v>
      </c>
      <c r="G53" s="2">
        <v>99.93</v>
      </c>
      <c r="H53" s="2"/>
      <c r="I53" s="2"/>
      <c r="J53" s="2"/>
      <c r="K53" s="2"/>
      <c r="L53" s="2">
        <v>99.92</v>
      </c>
      <c r="M53" s="2">
        <v>99.93</v>
      </c>
      <c r="N53" s="2">
        <v>99.93</v>
      </c>
      <c r="O53" s="3">
        <v>99.933999999999997</v>
      </c>
      <c r="P53" s="3"/>
      <c r="Q53" s="3"/>
      <c r="R53">
        <f>_xlfn.XLOOKUP(B53,'28'!$A:$A,'28'!$G:$G,"pipino il breve")</f>
        <v>99.938999999999993</v>
      </c>
      <c r="S53">
        <f>_xlfn.XLOOKUP(B53,'29'!$A:$A,'29'!$G:$G,"pipino il breve")</f>
        <v>99.936000000000007</v>
      </c>
      <c r="T53" s="11">
        <f>_xlfn.XLOOKUP(B53,'30'!$A:$A,'30'!$G:$G,"pipino il breve")</f>
        <v>99.930999999999997</v>
      </c>
      <c r="U53" s="3"/>
      <c r="V53">
        <f>_xlfn.XLOOKUP(B53,'2'!$A:$A,'2'!$G:$G,"pipino il breve")</f>
        <v>99.941000000000003</v>
      </c>
      <c r="Y53">
        <f>_xlfn.XLOOKUP(B53,'5'!$A:$A,'5'!$G:$G,"pipino il breve")</f>
        <v>99.941000000000003</v>
      </c>
      <c r="Z53">
        <f>_xlfn.XLOOKUP(B53,'6'!$A:$A,'6'!$G:$G,"pipino il breve")</f>
        <v>99.951999999999998</v>
      </c>
      <c r="AA53">
        <f>_xlfn.XLOOKUP(B53,'7'!$A:$A,'7'!$G:$G,"pipino il breve")</f>
        <v>99.959000000000003</v>
      </c>
      <c r="AB53">
        <f>_xlfn.XLOOKUP(B53,'8'!$A:$A,'8'!$G:$G,"pipino il breve")</f>
        <v>99.957999999999998</v>
      </c>
      <c r="AC53">
        <f>_xlfn.XLOOKUP(B53,'9'!$A:$A,'9'!$G:$G,"pipino il breve")</f>
        <v>99.959000000000003</v>
      </c>
      <c r="AF53">
        <f>_xlfn.XLOOKUP(B53,'12'!$A:$A,'12'!$G:$G,"pipino il breve")</f>
        <v>99.968999999999994</v>
      </c>
      <c r="AG53">
        <f>_xlfn.XLOOKUP(B53,'13'!$A:$A,'13'!$G:$G,"pipino il breve")</f>
        <v>99.971000000000004</v>
      </c>
      <c r="AH53">
        <f>_xlfn.XLOOKUP(B53,'14'!$A:$A,'14'!$G:$G,"pipino il breve")</f>
        <v>99.965000000000003</v>
      </c>
      <c r="AI53">
        <f>_xlfn.XLOOKUP(B53,'15'!$A:$A,'15'!$G:$G,"pipino il breve")</f>
        <v>99.97</v>
      </c>
    </row>
    <row r="54" spans="1:35" x14ac:dyDescent="0.2">
      <c r="A54">
        <v>53</v>
      </c>
      <c r="B54" s="2" t="s">
        <v>39</v>
      </c>
      <c r="C54" s="3">
        <v>0.47499999999999998</v>
      </c>
      <c r="D54" s="2" t="s">
        <v>158</v>
      </c>
      <c r="E54" s="2">
        <f>_xlfn.XLOOKUP(B54,'15a'!$A:$A,'15a'!$G:$G,"pipino il breve")</f>
        <v>90.81</v>
      </c>
      <c r="F54" s="2">
        <f>_xlfn.XLOOKUP(B54,'16a'!$A:$A,'16a'!$G:$G,"pipino il breve")</f>
        <v>91.02</v>
      </c>
      <c r="G54" s="2">
        <f>_xlfn.XLOOKUP(B54,'17a'!$A:$A,'17a'!$G:$G,"pipino il breve")</f>
        <v>91.3</v>
      </c>
      <c r="H54" s="2"/>
      <c r="I54" s="2"/>
      <c r="J54" s="2"/>
      <c r="K54" s="2"/>
      <c r="L54" s="2">
        <f>_xlfn.XLOOKUP(B54,'22a'!$A:$A,'22a'!$G:$G,"pipino il breve")</f>
        <v>91.45</v>
      </c>
      <c r="M54" s="2">
        <f>_xlfn.XLOOKUP(B54,'23a'!$A:$A,'23a'!$G:$G,"pipino il breve")</f>
        <v>91.31</v>
      </c>
      <c r="N54" s="2">
        <f>_xlfn.XLOOKUP(B54,'24a'!$A:$A,'24a'!$G:$G,"pipino il breve")</f>
        <v>91.8</v>
      </c>
      <c r="O54" s="3">
        <v>91.55</v>
      </c>
      <c r="P54" s="3"/>
      <c r="Q54" s="3"/>
      <c r="R54">
        <f>_xlfn.XLOOKUP(B54,'28'!$A:$A,'28'!$G:$G,"pipino il breve")</f>
        <v>91.54</v>
      </c>
      <c r="S54">
        <f>_xlfn.XLOOKUP(B54,'29'!$A:$A,'29'!$G:$G,"pipino il breve")</f>
        <v>91.57</v>
      </c>
      <c r="T54" s="11">
        <f>_xlfn.XLOOKUP(B54,'30'!$A:$A,'30'!$G:$G,"pipino il breve")</f>
        <v>91.71</v>
      </c>
      <c r="U54" s="3"/>
      <c r="V54">
        <f>_xlfn.XLOOKUP(B54,'2'!$A:$A,'2'!$G:$G,"pipino il breve")</f>
        <v>91.48</v>
      </c>
      <c r="Y54">
        <f>_xlfn.XLOOKUP(B54,'5'!$A:$A,'5'!$G:$G,"pipino il breve")</f>
        <v>91.51</v>
      </c>
      <c r="Z54">
        <f>_xlfn.XLOOKUP(B54,'6'!$A:$A,'6'!$G:$G,"pipino il breve")</f>
        <v>91.53</v>
      </c>
      <c r="AA54">
        <f>_xlfn.XLOOKUP(B54,'7'!$A:$A,'7'!$G:$G,"pipino il breve")</f>
        <v>91.76</v>
      </c>
      <c r="AB54">
        <f>_xlfn.XLOOKUP(B54,'8'!$A:$A,'8'!$G:$G,"pipino il breve")</f>
        <v>91.68</v>
      </c>
      <c r="AC54">
        <f>_xlfn.XLOOKUP(B54,'9'!$A:$A,'9'!$G:$G,"pipino il breve")</f>
        <v>91.55</v>
      </c>
      <c r="AF54">
        <f>_xlfn.XLOOKUP(B54,'12'!$A:$A,'12'!$G:$G,"pipino il breve")</f>
        <v>91.09</v>
      </c>
      <c r="AG54">
        <f>_xlfn.XLOOKUP(B54,'13'!$A:$A,'13'!$G:$G,"pipino il breve")</f>
        <v>91.07</v>
      </c>
      <c r="AH54">
        <f>_xlfn.XLOOKUP(B54,'14'!$A:$A,'14'!$G:$G,"pipino il breve")</f>
        <v>90.96</v>
      </c>
      <c r="AI54">
        <f>_xlfn.XLOOKUP(B54,'15'!$A:$A,'15'!$G:$G,"pipino il breve")</f>
        <v>91.25</v>
      </c>
    </row>
    <row r="55" spans="1:35" x14ac:dyDescent="0.2">
      <c r="A55">
        <v>54</v>
      </c>
      <c r="B55" s="2" t="s">
        <v>72</v>
      </c>
      <c r="C55" s="3">
        <v>2.1749999999999998</v>
      </c>
      <c r="D55" s="2" t="s">
        <v>159</v>
      </c>
      <c r="E55" s="2">
        <f>_xlfn.XLOOKUP(B55,'15a'!$A:$A,'15a'!$G:$G,"pipino il breve")</f>
        <v>106.63</v>
      </c>
      <c r="F55" s="2">
        <f>_xlfn.XLOOKUP(B55,'16a'!$A:$A,'16a'!$G:$G,"pipino il breve")</f>
        <v>106.83</v>
      </c>
      <c r="G55" s="2">
        <f>_xlfn.XLOOKUP(B55,'17a'!$A:$A,'17a'!$G:$G,"pipino il breve")</f>
        <v>107.33</v>
      </c>
      <c r="H55" s="2"/>
      <c r="I55" s="2"/>
      <c r="J55" s="2"/>
      <c r="K55" s="2"/>
      <c r="L55" s="2">
        <f>_xlfn.XLOOKUP(B55,'22a'!$A:$A,'22a'!$G:$G,"pipino il breve")</f>
        <v>107.57</v>
      </c>
      <c r="M55" s="2">
        <f>_xlfn.XLOOKUP(B55,'23a'!$A:$A,'23a'!$G:$G,"pipino il breve")</f>
        <v>107.4</v>
      </c>
      <c r="N55" s="2">
        <f>_xlfn.XLOOKUP(B55,'24a'!$A:$A,'24a'!$G:$G,"pipino il breve")</f>
        <v>108.06</v>
      </c>
      <c r="O55" s="3">
        <v>107.71</v>
      </c>
      <c r="P55" s="3"/>
      <c r="Q55" s="3"/>
      <c r="R55">
        <f>_xlfn.XLOOKUP(B55,'28'!$A:$A,'28'!$G:$G,"pipino il breve")</f>
        <v>107.61</v>
      </c>
      <c r="S55">
        <f>_xlfn.XLOOKUP(B55,'29'!$A:$A,'29'!$G:$G,"pipino il breve")</f>
        <v>107.6</v>
      </c>
      <c r="T55" s="11">
        <f>_xlfn.XLOOKUP(B55,'30'!$A:$A,'30'!$G:$G,"pipino il breve")</f>
        <v>107.92</v>
      </c>
      <c r="U55" s="3"/>
      <c r="V55">
        <f>_xlfn.XLOOKUP(B55,'2'!$A:$A,'2'!$G:$G,"pipino il breve")</f>
        <v>107.48</v>
      </c>
      <c r="Y55">
        <f>_xlfn.XLOOKUP(B55,'5'!$A:$A,'5'!$G:$G,"pipino il breve")</f>
        <v>107.58</v>
      </c>
      <c r="Z55">
        <f>_xlfn.XLOOKUP(B55,'6'!$A:$A,'6'!$G:$G,"pipino il breve")</f>
        <v>107.53</v>
      </c>
      <c r="AA55">
        <f>_xlfn.XLOOKUP(B55,'7'!$A:$A,'7'!$G:$G,"pipino il breve")</f>
        <v>108</v>
      </c>
      <c r="AB55">
        <f>_xlfn.XLOOKUP(B55,'8'!$A:$A,'8'!$G:$G,"pipino il breve")</f>
        <v>107.88</v>
      </c>
      <c r="AC55">
        <f>_xlfn.XLOOKUP(B55,'9'!$A:$A,'9'!$G:$G,"pipino il breve")</f>
        <v>107.59</v>
      </c>
      <c r="AF55">
        <f>_xlfn.XLOOKUP(B55,'12'!$A:$A,'12'!$G:$G,"pipino il breve")</f>
        <v>107.07</v>
      </c>
      <c r="AG55">
        <f>_xlfn.XLOOKUP(B55,'13'!$A:$A,'13'!$G:$G,"pipino il breve")</f>
        <v>107</v>
      </c>
      <c r="AH55">
        <f>_xlfn.XLOOKUP(B55,'14'!$A:$A,'14'!$G:$G,"pipino il breve")</f>
        <v>106.91</v>
      </c>
      <c r="AI55">
        <f>_xlfn.XLOOKUP(B55,'15'!$A:$A,'15'!$G:$G,"pipino il breve")</f>
        <v>107.26</v>
      </c>
    </row>
    <row r="56" spans="1:35" x14ac:dyDescent="0.2">
      <c r="A56">
        <v>55</v>
      </c>
      <c r="B56" s="2" t="s">
        <v>160</v>
      </c>
      <c r="C56" s="3">
        <v>1.4951000000000001</v>
      </c>
      <c r="D56" s="2" t="s">
        <v>161</v>
      </c>
      <c r="E56" s="2">
        <f>_xlfn.XLOOKUP(B56,'15a'!$A:$A,'15a'!$G:$G,"pipino il breve")</f>
        <v>100.24</v>
      </c>
      <c r="F56" s="2">
        <f>_xlfn.XLOOKUP(B56,'16a'!$A:$A,'16a'!$G:$G,"pipino il breve")</f>
        <v>100.24</v>
      </c>
      <c r="G56" s="2">
        <f>_xlfn.XLOOKUP(B56,'17a'!$A:$A,'17a'!$G:$G,"pipino il breve")</f>
        <v>100.24</v>
      </c>
      <c r="H56" s="2"/>
      <c r="I56" s="2"/>
      <c r="J56" s="2"/>
      <c r="K56" s="2"/>
      <c r="L56" s="2">
        <f>_xlfn.XLOOKUP(B56,'22a'!$A:$A,'22a'!$G:$G,"pipino il breve")</f>
        <v>100.24</v>
      </c>
      <c r="M56" s="2">
        <f>_xlfn.XLOOKUP(B56,'23a'!$A:$A,'23a'!$G:$G,"pipino il breve")</f>
        <v>100.24</v>
      </c>
      <c r="N56" s="2">
        <f>_xlfn.XLOOKUP(B56,'24a'!$A:$A,'24a'!$G:$G,"pipino il breve")</f>
        <v>100.24</v>
      </c>
      <c r="O56" s="3">
        <v>100.24</v>
      </c>
      <c r="P56" s="3"/>
      <c r="Q56" s="3"/>
      <c r="R56">
        <f>_xlfn.XLOOKUP(B56,'28'!$A:$A,'28'!$G:$G,"pipino il breve")</f>
        <v>100.24</v>
      </c>
      <c r="S56">
        <f>_xlfn.XLOOKUP(B56,'29'!$A:$A,'29'!$G:$G,"pipino il breve")</f>
        <v>100.24</v>
      </c>
      <c r="T56" s="11">
        <f>_xlfn.XLOOKUP(B56,'30'!$A:$A,'30'!$G:$G,"pipino il breve")</f>
        <v>100.24</v>
      </c>
      <c r="U56" s="3"/>
      <c r="V56">
        <f>_xlfn.XLOOKUP(B56,'2'!$A:$A,'2'!$G:$G,"pipino il breve")</f>
        <v>99.82</v>
      </c>
      <c r="Y56">
        <f>_xlfn.XLOOKUP(B56,'5'!$A:$A,'5'!$G:$G,"pipino il breve")</f>
        <v>100.04</v>
      </c>
      <c r="Z56">
        <f>_xlfn.XLOOKUP(B56,'6'!$A:$A,'6'!$G:$G,"pipino il breve")</f>
        <v>99.87</v>
      </c>
      <c r="AA56">
        <f>_xlfn.XLOOKUP(B56,'7'!$A:$A,'7'!$G:$G,"pipino il breve")</f>
        <v>100.4</v>
      </c>
      <c r="AB56">
        <f>_xlfn.XLOOKUP(B56,'8'!$A:$A,'8'!$G:$G,"pipino il breve")</f>
        <v>100.31</v>
      </c>
      <c r="AC56">
        <f>_xlfn.XLOOKUP(B56,'9'!$A:$A,'9'!$G:$G,"pipino il breve")</f>
        <v>99.99</v>
      </c>
      <c r="AF56">
        <f>_xlfn.XLOOKUP(B56,'12'!$A:$A,'12'!$G:$G,"pipino il breve")</f>
        <v>99.45</v>
      </c>
      <c r="AG56">
        <f>_xlfn.XLOOKUP(B56,'13'!$A:$A,'13'!$G:$G,"pipino il breve")</f>
        <v>99.26</v>
      </c>
      <c r="AH56">
        <f>_xlfn.XLOOKUP(B56,'14'!$A:$A,'14'!$G:$G,"pipino il breve")</f>
        <v>99.17</v>
      </c>
      <c r="AI56">
        <f>_xlfn.XLOOKUP(B56,'15'!$A:$A,'15'!$G:$G,"pipino il breve")</f>
        <v>99.73</v>
      </c>
    </row>
    <row r="57" spans="1:35" x14ac:dyDescent="0.2">
      <c r="A57">
        <v>56</v>
      </c>
      <c r="B57" s="2" t="s">
        <v>93</v>
      </c>
      <c r="C57" s="3">
        <v>1.5</v>
      </c>
      <c r="D57" s="2" t="s">
        <v>162</v>
      </c>
      <c r="E57" s="2">
        <f>_xlfn.XLOOKUP(B57,'15a'!$A:$A,'15a'!$G:$G,"pipino il breve")</f>
        <v>101.33</v>
      </c>
      <c r="F57" s="2">
        <f>_xlfn.XLOOKUP(B57,'16a'!$A:$A,'16a'!$G:$G,"pipino il breve")</f>
        <v>101.51</v>
      </c>
      <c r="G57" s="2">
        <f>_xlfn.XLOOKUP(B57,'17a'!$A:$A,'17a'!$G:$G,"pipino il breve")</f>
        <v>101.79</v>
      </c>
      <c r="H57" s="2"/>
      <c r="I57" s="2"/>
      <c r="J57" s="2"/>
      <c r="K57" s="2"/>
      <c r="L57" s="2">
        <f>_xlfn.XLOOKUP(B57,'22a'!$A:$A,'22a'!$G:$G,"pipino il breve")</f>
        <v>101.89</v>
      </c>
      <c r="M57" s="2">
        <f>_xlfn.XLOOKUP(B57,'23a'!$A:$A,'23a'!$G:$G,"pipino il breve")</f>
        <v>101.74</v>
      </c>
      <c r="N57" s="2">
        <f>_xlfn.XLOOKUP(B57,'24a'!$A:$A,'24a'!$G:$G,"pipino il breve")</f>
        <v>102.14</v>
      </c>
      <c r="O57" s="3">
        <v>101.88</v>
      </c>
      <c r="P57" s="3"/>
      <c r="Q57" s="3"/>
      <c r="R57">
        <f>_xlfn.XLOOKUP(B57,'28'!$A:$A,'28'!$G:$G,"pipino il breve")</f>
        <v>101.87</v>
      </c>
      <c r="S57">
        <f>_xlfn.XLOOKUP(B57,'29'!$A:$A,'29'!$G:$G,"pipino il breve")</f>
        <v>101.85</v>
      </c>
      <c r="T57" s="11">
        <f>_xlfn.XLOOKUP(B57,'30'!$A:$A,'30'!$G:$G,"pipino il breve")</f>
        <v>102.04</v>
      </c>
      <c r="U57" s="3"/>
      <c r="V57">
        <f>_xlfn.XLOOKUP(B57,'2'!$A:$A,'2'!$G:$G,"pipino il breve")</f>
        <v>101.81</v>
      </c>
      <c r="Y57">
        <f>_xlfn.XLOOKUP(B57,'5'!$A:$A,'5'!$G:$G,"pipino il breve")</f>
        <v>101.87</v>
      </c>
      <c r="Z57">
        <f>_xlfn.XLOOKUP(B57,'6'!$A:$A,'6'!$G:$G,"pipino il breve")</f>
        <v>101.82</v>
      </c>
      <c r="AA57">
        <f>_xlfn.XLOOKUP(B57,'7'!$A:$A,'7'!$G:$G,"pipino il breve")</f>
        <v>101.96</v>
      </c>
      <c r="AB57">
        <f>_xlfn.XLOOKUP(B57,'8'!$A:$A,'8'!$G:$G,"pipino il breve")</f>
        <v>101.94</v>
      </c>
      <c r="AC57">
        <f>_xlfn.XLOOKUP(B57,'9'!$A:$A,'9'!$G:$G,"pipino il breve")</f>
        <v>101.81</v>
      </c>
      <c r="AF57">
        <f>_xlfn.XLOOKUP(B57,'12'!$A:$A,'12'!$G:$G,"pipino il breve")</f>
        <v>101.38</v>
      </c>
      <c r="AG57">
        <f>_xlfn.XLOOKUP(B57,'13'!$A:$A,'13'!$G:$G,"pipino il breve")</f>
        <v>101.32</v>
      </c>
      <c r="AH57">
        <f>_xlfn.XLOOKUP(B57,'14'!$A:$A,'14'!$G:$G,"pipino il breve")</f>
        <v>101.27</v>
      </c>
      <c r="AI57">
        <f>_xlfn.XLOOKUP(B57,'15'!$A:$A,'15'!$G:$G,"pipino il breve")</f>
        <v>101.52</v>
      </c>
    </row>
    <row r="58" spans="1:35" x14ac:dyDescent="0.2">
      <c r="A58">
        <v>57</v>
      </c>
      <c r="B58" s="2" t="s">
        <v>80</v>
      </c>
      <c r="C58" s="3">
        <v>2.0499999999999998</v>
      </c>
      <c r="D58" s="2" t="s">
        <v>163</v>
      </c>
      <c r="E58" s="2">
        <f>_xlfn.XLOOKUP(B58,'15a'!$A:$A,'15a'!$G:$G,"pipino il breve")</f>
        <v>105.73</v>
      </c>
      <c r="F58" s="2">
        <f>_xlfn.XLOOKUP(B58,'16a'!$A:$A,'16a'!$G:$G,"pipino il breve")</f>
        <v>105.87</v>
      </c>
      <c r="G58" s="2">
        <f>_xlfn.XLOOKUP(B58,'17a'!$A:$A,'17a'!$G:$G,"pipino il breve")</f>
        <v>106.1</v>
      </c>
      <c r="H58" s="2"/>
      <c r="I58" s="2"/>
      <c r="J58" s="2"/>
      <c r="K58" s="2"/>
      <c r="L58" s="2">
        <f>_xlfn.XLOOKUP(B58,'22a'!$A:$A,'22a'!$G:$G,"pipino il breve")</f>
        <v>106.16</v>
      </c>
      <c r="M58" s="2">
        <f>_xlfn.XLOOKUP(B58,'23a'!$A:$A,'23a'!$G:$G,"pipino il breve")</f>
        <v>106.03</v>
      </c>
      <c r="N58" s="2">
        <f>_xlfn.XLOOKUP(B58,'24a'!$A:$A,'24a'!$G:$G,"pipino il breve")</f>
        <v>106.36</v>
      </c>
      <c r="O58" s="3">
        <v>106.15</v>
      </c>
      <c r="P58" s="3"/>
      <c r="Q58" s="3"/>
      <c r="R58">
        <f>_xlfn.XLOOKUP(B58,'28'!$A:$A,'28'!$G:$G,"pipino il breve")</f>
        <v>106.21</v>
      </c>
      <c r="S58">
        <f>_xlfn.XLOOKUP(B58,'29'!$A:$A,'29'!$G:$G,"pipino il breve")</f>
        <v>106.13</v>
      </c>
      <c r="T58" s="11">
        <f>_xlfn.XLOOKUP(B58,'30'!$A:$A,'30'!$G:$G,"pipino il breve")</f>
        <v>106.2</v>
      </c>
      <c r="U58" s="3"/>
      <c r="V58">
        <f>_xlfn.XLOOKUP(B58,'2'!$A:$A,'2'!$G:$G,"pipino il breve")</f>
        <v>106.06</v>
      </c>
      <c r="Y58">
        <f>_xlfn.XLOOKUP(B58,'5'!$A:$A,'5'!$G:$G,"pipino il breve")</f>
        <v>106.08</v>
      </c>
      <c r="Z58">
        <f>_xlfn.XLOOKUP(B58,'6'!$A:$A,'6'!$G:$G,"pipino il breve")</f>
        <v>106.08</v>
      </c>
      <c r="AA58">
        <f>_xlfn.XLOOKUP(B58,'7'!$A:$A,'7'!$G:$G,"pipino il breve")</f>
        <v>106.26</v>
      </c>
      <c r="AB58">
        <f>_xlfn.XLOOKUP(B58,'8'!$A:$A,'8'!$G:$G,"pipino il breve")</f>
        <v>106.09</v>
      </c>
      <c r="AC58">
        <f>_xlfn.XLOOKUP(B58,'9'!$A:$A,'9'!$G:$G,"pipino il breve")</f>
        <v>105.96</v>
      </c>
      <c r="AF58">
        <f>_xlfn.XLOOKUP(B58,'12'!$A:$A,'12'!$G:$G,"pipino il breve")</f>
        <v>105.62</v>
      </c>
      <c r="AG58">
        <f>_xlfn.XLOOKUP(B58,'13'!$A:$A,'13'!$G:$G,"pipino il breve")</f>
        <v>105.58</v>
      </c>
      <c r="AH58">
        <f>_xlfn.XLOOKUP(B58,'14'!$A:$A,'14'!$G:$G,"pipino il breve")</f>
        <v>105.52</v>
      </c>
      <c r="AI58">
        <f>_xlfn.XLOOKUP(B58,'15'!$A:$A,'15'!$G:$G,"pipino il breve")</f>
        <v>105.72</v>
      </c>
    </row>
    <row r="59" spans="1:35" x14ac:dyDescent="0.2">
      <c r="A59">
        <v>58</v>
      </c>
      <c r="B59" s="2" t="s">
        <v>100</v>
      </c>
      <c r="C59" s="3">
        <v>0.97789999999999999</v>
      </c>
      <c r="D59" s="2" t="s">
        <v>164</v>
      </c>
      <c r="E59" s="2">
        <f>_xlfn.XLOOKUP(B59,'15a'!$A:$A,'15a'!$G:$G,"pipino il breve")</f>
        <v>100.38</v>
      </c>
      <c r="F59" s="2">
        <f>_xlfn.XLOOKUP(B59,'16a'!$A:$A,'16a'!$G:$G,"pipino il breve")</f>
        <v>100.58</v>
      </c>
      <c r="G59" s="2">
        <f>_xlfn.XLOOKUP(B59,'17a'!$A:$A,'17a'!$G:$G,"pipino il breve")</f>
        <v>100.9</v>
      </c>
      <c r="H59" s="2"/>
      <c r="I59" s="2"/>
      <c r="J59" s="2"/>
      <c r="K59" s="2"/>
      <c r="L59" s="2">
        <f>_xlfn.XLOOKUP(B59,'22a'!$A:$A,'22a'!$G:$G,"pipino il breve")</f>
        <v>100.97</v>
      </c>
      <c r="M59" s="2">
        <f>_xlfn.XLOOKUP(B59,'23a'!$A:$A,'23a'!$G:$G,"pipino il breve")</f>
        <v>100.8</v>
      </c>
      <c r="N59" s="2">
        <f>_xlfn.XLOOKUP(B59,'24a'!$A:$A,'24a'!$G:$G,"pipino il breve")</f>
        <v>101.3</v>
      </c>
      <c r="O59" s="3">
        <v>101.06</v>
      </c>
      <c r="P59" s="3"/>
      <c r="Q59" s="3"/>
      <c r="R59">
        <f>_xlfn.XLOOKUP(B59,'28'!$A:$A,'28'!$G:$G,"pipino il breve")</f>
        <v>101.02</v>
      </c>
      <c r="S59">
        <f>_xlfn.XLOOKUP(B59,'29'!$A:$A,'29'!$G:$G,"pipino il breve")</f>
        <v>101.02</v>
      </c>
      <c r="T59" s="11">
        <f>_xlfn.XLOOKUP(B59,'30'!$A:$A,'30'!$G:$G,"pipino il breve")</f>
        <v>101.24</v>
      </c>
      <c r="U59" s="3"/>
      <c r="V59">
        <f>_xlfn.XLOOKUP(B59,'2'!$A:$A,'2'!$G:$G,"pipino il breve")</f>
        <v>100.97</v>
      </c>
      <c r="Y59">
        <f>_xlfn.XLOOKUP(B59,'5'!$A:$A,'5'!$G:$G,"pipino il breve")</f>
        <v>101.02</v>
      </c>
      <c r="Z59">
        <f>_xlfn.XLOOKUP(B59,'6'!$A:$A,'6'!$G:$G,"pipino il breve")</f>
        <v>100.99</v>
      </c>
      <c r="AA59">
        <f>_xlfn.XLOOKUP(B59,'7'!$A:$A,'7'!$G:$G,"pipino il breve")</f>
        <v>101.26</v>
      </c>
      <c r="AB59">
        <f>_xlfn.XLOOKUP(B59,'8'!$A:$A,'8'!$G:$G,"pipino il breve")</f>
        <v>101.17</v>
      </c>
      <c r="AC59">
        <f>_xlfn.XLOOKUP(B59,'9'!$A:$A,'9'!$G:$G,"pipino il breve")</f>
        <v>100.97</v>
      </c>
      <c r="AF59">
        <f>_xlfn.XLOOKUP(B59,'12'!$A:$A,'12'!$G:$G,"pipino il breve")</f>
        <v>100.57</v>
      </c>
      <c r="AG59">
        <f>_xlfn.XLOOKUP(B59,'13'!$A:$A,'13'!$G:$G,"pipino il breve")</f>
        <v>100.48</v>
      </c>
      <c r="AH59">
        <f>_xlfn.XLOOKUP(B59,'14'!$A:$A,'14'!$G:$G,"pipino il breve")</f>
        <v>100.43</v>
      </c>
      <c r="AI59">
        <f>_xlfn.XLOOKUP(B59,'15'!$A:$A,'15'!$G:$G,"pipino il breve")</f>
        <v>100.74</v>
      </c>
    </row>
    <row r="60" spans="1:35" x14ac:dyDescent="0.2">
      <c r="A60">
        <v>59</v>
      </c>
      <c r="B60" s="2" t="s">
        <v>60</v>
      </c>
      <c r="C60" s="3">
        <v>1.25</v>
      </c>
      <c r="D60" s="2" t="s">
        <v>165</v>
      </c>
      <c r="E60" s="2">
        <f>_xlfn.XLOOKUP(B60,'15a'!$A:$A,'15a'!$G:$G,"pipino il breve")</f>
        <v>94.76</v>
      </c>
      <c r="F60" s="2">
        <f>_xlfn.XLOOKUP(B60,'16a'!$A:$A,'16a'!$G:$G,"pipino il breve")</f>
        <v>95.05</v>
      </c>
      <c r="G60" s="2">
        <f>_xlfn.XLOOKUP(B60,'17a'!$A:$A,'17a'!$G:$G,"pipino il breve")</f>
        <v>95.4</v>
      </c>
      <c r="H60" s="2"/>
      <c r="I60" s="2"/>
      <c r="J60" s="2"/>
      <c r="K60" s="2"/>
      <c r="L60" s="2">
        <f>_xlfn.XLOOKUP(B60,'22a'!$A:$A,'22a'!$G:$G,"pipino il breve")</f>
        <v>95.56</v>
      </c>
      <c r="M60" s="2">
        <f>_xlfn.XLOOKUP(B60,'23a'!$A:$A,'23a'!$G:$G,"pipino il breve")</f>
        <v>95.44</v>
      </c>
      <c r="N60" s="2">
        <f>_xlfn.XLOOKUP(B60,'24a'!$A:$A,'24a'!$G:$G,"pipino il breve")</f>
        <v>96.05</v>
      </c>
      <c r="O60" s="3">
        <v>95.77</v>
      </c>
      <c r="P60" s="3"/>
      <c r="Q60" s="3"/>
      <c r="R60">
        <f>_xlfn.XLOOKUP(B60,'28'!$A:$A,'28'!$G:$G,"pipino il breve")</f>
        <v>95.65</v>
      </c>
      <c r="S60">
        <f>_xlfn.XLOOKUP(B60,'29'!$A:$A,'29'!$G:$G,"pipino il breve")</f>
        <v>95.73</v>
      </c>
      <c r="T60" s="11">
        <f>_xlfn.XLOOKUP(B60,'30'!$A:$A,'30'!$G:$G,"pipino il breve")</f>
        <v>95.91</v>
      </c>
      <c r="U60" s="3"/>
      <c r="V60">
        <f>_xlfn.XLOOKUP(B60,'2'!$A:$A,'2'!$G:$G,"pipino il breve")</f>
        <v>95.61</v>
      </c>
      <c r="Y60">
        <f>_xlfn.XLOOKUP(B60,'5'!$A:$A,'5'!$G:$G,"pipino il breve")</f>
        <v>95.7</v>
      </c>
      <c r="Z60">
        <f>_xlfn.XLOOKUP(B60,'6'!$A:$A,'6'!$G:$G,"pipino il breve")</f>
        <v>95.63</v>
      </c>
      <c r="AA60">
        <f>_xlfn.XLOOKUP(B60,'7'!$A:$A,'7'!$G:$G,"pipino il breve")</f>
        <v>96.04</v>
      </c>
      <c r="AB60">
        <f>_xlfn.XLOOKUP(B60,'8'!$A:$A,'8'!$G:$G,"pipino il breve")</f>
        <v>95.91</v>
      </c>
      <c r="AC60">
        <f>_xlfn.XLOOKUP(B60,'9'!$A:$A,'9'!$G:$G,"pipino il breve")</f>
        <v>95.69</v>
      </c>
      <c r="AF60">
        <f>_xlfn.XLOOKUP(B60,'12'!$A:$A,'12'!$G:$G,"pipino il breve")</f>
        <v>95.2</v>
      </c>
      <c r="AG60">
        <f>_xlfn.XLOOKUP(B60,'13'!$A:$A,'13'!$G:$G,"pipino il breve")</f>
        <v>95.05</v>
      </c>
      <c r="AH60">
        <f>_xlfn.XLOOKUP(B60,'14'!$A:$A,'14'!$G:$G,"pipino il breve")</f>
        <v>94.96</v>
      </c>
      <c r="AI60">
        <f>_xlfn.XLOOKUP(B60,'15'!$A:$A,'15'!$G:$G,"pipino il breve")</f>
        <v>95.4</v>
      </c>
    </row>
    <row r="61" spans="1:35" x14ac:dyDescent="0.2">
      <c r="A61">
        <v>60</v>
      </c>
      <c r="B61" s="2" t="s">
        <v>25</v>
      </c>
      <c r="C61" s="3">
        <v>1.0249999999999999</v>
      </c>
      <c r="D61" s="2" t="s">
        <v>166</v>
      </c>
      <c r="E61" s="2">
        <f>_xlfn.XLOOKUP(B61,'15a'!$A:$A,'15a'!$G:$G,"pipino il breve")</f>
        <v>99.96</v>
      </c>
      <c r="F61" s="2">
        <f>_xlfn.XLOOKUP(B61,'16a'!$A:$A,'16a'!$G:$G,"pipino il breve")</f>
        <v>100.08</v>
      </c>
      <c r="G61" s="2">
        <f>_xlfn.XLOOKUP(B61,'17a'!$A:$A,'17a'!$G:$G,"pipino il breve")</f>
        <v>100.18</v>
      </c>
      <c r="H61" s="2"/>
      <c r="I61" s="2"/>
      <c r="J61" s="2"/>
      <c r="K61" s="2"/>
      <c r="L61" s="2">
        <f>_xlfn.XLOOKUP(B61,'22a'!$A:$A,'22a'!$G:$G,"pipino il breve")</f>
        <v>100.25</v>
      </c>
      <c r="M61" s="2">
        <f>_xlfn.XLOOKUP(B61,'23a'!$A:$A,'23a'!$G:$G,"pipino il breve")</f>
        <v>100.15</v>
      </c>
      <c r="N61" s="2">
        <f>_xlfn.XLOOKUP(B61,'24a'!$A:$A,'24a'!$G:$G,"pipino il breve")</f>
        <v>100.3</v>
      </c>
      <c r="O61" s="3">
        <v>100.2</v>
      </c>
      <c r="P61" s="3"/>
      <c r="Q61" s="3"/>
      <c r="R61">
        <f>_xlfn.XLOOKUP(B61,'28'!$A:$A,'28'!$G:$G,"pipino il breve")</f>
        <v>100.25</v>
      </c>
      <c r="S61">
        <f>_xlfn.XLOOKUP(B61,'29'!$A:$A,'29'!$G:$G,"pipino il breve")</f>
        <v>100.2</v>
      </c>
      <c r="T61" s="11">
        <f>_xlfn.XLOOKUP(B61,'30'!$A:$A,'30'!$G:$G,"pipino il breve")</f>
        <v>100.26</v>
      </c>
      <c r="U61" s="3"/>
      <c r="V61">
        <f>_xlfn.XLOOKUP(B61,'2'!$A:$A,'2'!$G:$G,"pipino il breve")</f>
        <v>100.2</v>
      </c>
      <c r="Y61">
        <f>_xlfn.XLOOKUP(B61,'5'!$A:$A,'5'!$G:$G,"pipino il breve")</f>
        <v>100.2</v>
      </c>
      <c r="Z61">
        <f>_xlfn.XLOOKUP(B61,'6'!$A:$A,'6'!$G:$G,"pipino il breve")</f>
        <v>100.2</v>
      </c>
      <c r="AA61">
        <f>_xlfn.XLOOKUP(B61,'7'!$A:$A,'7'!$G:$G,"pipino il breve")</f>
        <v>100.3</v>
      </c>
      <c r="AB61">
        <f>_xlfn.XLOOKUP(B61,'8'!$A:$A,'8'!$G:$G,"pipino il breve")</f>
        <v>100.19</v>
      </c>
      <c r="AC61">
        <f>_xlfn.XLOOKUP(B61,'9'!$A:$A,'9'!$G:$G,"pipino il breve")</f>
        <v>100.16</v>
      </c>
      <c r="AF61">
        <f>_xlfn.XLOOKUP(B61,'12'!$A:$A,'12'!$G:$G,"pipino il breve")</f>
        <v>99.9</v>
      </c>
      <c r="AG61">
        <f>_xlfn.XLOOKUP(B61,'13'!$A:$A,'13'!$G:$G,"pipino il breve")</f>
        <v>99.89</v>
      </c>
      <c r="AH61">
        <f>_xlfn.XLOOKUP(B61,'14'!$A:$A,'14'!$G:$G,"pipino il breve")</f>
        <v>99.86</v>
      </c>
      <c r="AI61">
        <f>_xlfn.XLOOKUP(B61,'15'!$A:$A,'15'!$G:$G,"pipino il breve")</f>
        <v>99.98</v>
      </c>
    </row>
    <row r="62" spans="1:35" x14ac:dyDescent="0.2">
      <c r="A62">
        <v>61</v>
      </c>
      <c r="B62" s="2" t="s">
        <v>63</v>
      </c>
      <c r="C62" s="3">
        <v>1.325</v>
      </c>
      <c r="D62" s="2" t="s">
        <v>167</v>
      </c>
      <c r="E62" s="2">
        <f>_xlfn.XLOOKUP(B62,'15a'!$A:$A,'15a'!$G:$G,"pipino il breve")</f>
        <v>101.2</v>
      </c>
      <c r="F62" s="2">
        <f>_xlfn.XLOOKUP(B62,'16a'!$A:$A,'16a'!$G:$G,"pipino il breve")</f>
        <v>101.32</v>
      </c>
      <c r="G62" s="2">
        <f>_xlfn.XLOOKUP(B62,'17a'!$A:$A,'17a'!$G:$G,"pipino il breve")</f>
        <v>101.41</v>
      </c>
      <c r="H62" s="2"/>
      <c r="I62" s="2"/>
      <c r="J62" s="2"/>
      <c r="K62" s="2"/>
      <c r="L62" s="2">
        <f>_xlfn.XLOOKUP(B62,'22a'!$A:$A,'22a'!$G:$G,"pipino il breve")</f>
        <v>101.55</v>
      </c>
      <c r="M62" s="2">
        <f>_xlfn.XLOOKUP(B62,'23a'!$A:$A,'23a'!$G:$G,"pipino il breve")</f>
        <v>101.4</v>
      </c>
      <c r="N62" s="2">
        <f>_xlfn.XLOOKUP(B62,'24a'!$A:$A,'24a'!$G:$G,"pipino il breve")</f>
        <v>101.61</v>
      </c>
      <c r="O62" s="3">
        <v>101.47</v>
      </c>
      <c r="P62" s="3"/>
      <c r="Q62" s="3"/>
      <c r="R62">
        <f>_xlfn.XLOOKUP(B62,'28'!$A:$A,'28'!$G:$G,"pipino il breve")</f>
        <v>101.52</v>
      </c>
      <c r="S62">
        <f>_xlfn.XLOOKUP(B62,'29'!$A:$A,'29'!$G:$G,"pipino il breve")</f>
        <v>101.43</v>
      </c>
      <c r="T62" s="11">
        <f>_xlfn.XLOOKUP(B62,'30'!$A:$A,'30'!$G:$G,"pipino il breve")</f>
        <v>101.5</v>
      </c>
      <c r="U62" s="3"/>
      <c r="V62">
        <f>_xlfn.XLOOKUP(B62,'2'!$A:$A,'2'!$G:$G,"pipino il breve")</f>
        <v>101.41</v>
      </c>
      <c r="Y62">
        <f>_xlfn.XLOOKUP(B62,'5'!$A:$A,'5'!$G:$G,"pipino il breve")</f>
        <v>101.41</v>
      </c>
      <c r="Z62">
        <f>_xlfn.XLOOKUP(B62,'6'!$A:$A,'6'!$G:$G,"pipino il breve")</f>
        <v>101.45</v>
      </c>
      <c r="AA62">
        <f>_xlfn.XLOOKUP(B62,'7'!$A:$A,'7'!$G:$G,"pipino il breve")</f>
        <v>101.52</v>
      </c>
      <c r="AB62">
        <f>_xlfn.XLOOKUP(B62,'8'!$A:$A,'8'!$G:$G,"pipino il breve")</f>
        <v>101.43</v>
      </c>
      <c r="AC62">
        <f>_xlfn.XLOOKUP(B62,'9'!$A:$A,'9'!$G:$G,"pipino il breve")</f>
        <v>101.38</v>
      </c>
      <c r="AF62">
        <f>_xlfn.XLOOKUP(B62,'12'!$A:$A,'12'!$G:$G,"pipino il breve")</f>
        <v>101.06</v>
      </c>
      <c r="AG62">
        <f>_xlfn.XLOOKUP(B62,'13'!$A:$A,'13'!$G:$G,"pipino il breve")</f>
        <v>101.06</v>
      </c>
      <c r="AH62">
        <f>_xlfn.XLOOKUP(B62,'14'!$A:$A,'14'!$G:$G,"pipino il breve")</f>
        <v>101.05</v>
      </c>
      <c r="AI62">
        <f>_xlfn.XLOOKUP(B62,'15'!$A:$A,'15'!$G:$G,"pipino il breve")</f>
        <v>101.14</v>
      </c>
    </row>
    <row r="63" spans="1:35" x14ac:dyDescent="0.2">
      <c r="A63">
        <v>62</v>
      </c>
      <c r="B63" s="2" t="s">
        <v>17</v>
      </c>
      <c r="C63" s="3">
        <v>1.35</v>
      </c>
      <c r="D63" s="2" t="s">
        <v>168</v>
      </c>
      <c r="E63" s="2">
        <f>_xlfn.XLOOKUP(B63,'15a'!$A:$A,'15a'!$G:$G,"pipino il breve")</f>
        <v>78.849999999999994</v>
      </c>
      <c r="F63" s="2">
        <f>_xlfn.XLOOKUP(B63,'16a'!$A:$A,'16a'!$G:$G,"pipino il breve")</f>
        <v>78.760000000000005</v>
      </c>
      <c r="G63" s="2">
        <f>_xlfn.XLOOKUP(B63,'17a'!$A:$A,'17a'!$G:$G,"pipino il breve")</f>
        <v>79.010000000000005</v>
      </c>
      <c r="H63" s="2"/>
      <c r="I63" s="2"/>
      <c r="J63" s="2"/>
      <c r="K63" s="2"/>
      <c r="L63" s="2">
        <f>_xlfn.XLOOKUP(B63,'22a'!$A:$A,'22a'!$G:$G,"pipino il breve")</f>
        <v>79.430000000000007</v>
      </c>
      <c r="M63" s="2">
        <f>_xlfn.XLOOKUP(B63,'23a'!$A:$A,'23a'!$G:$G,"pipino il breve")</f>
        <v>79.16</v>
      </c>
      <c r="N63" s="2">
        <f>_xlfn.XLOOKUP(B63,'24a'!$A:$A,'24a'!$G:$G,"pipino il breve")</f>
        <v>80.06</v>
      </c>
      <c r="O63" s="3">
        <v>79.62</v>
      </c>
      <c r="P63" s="3"/>
      <c r="Q63" s="3"/>
      <c r="R63">
        <f>_xlfn.XLOOKUP(B63,'28'!$A:$A,'28'!$G:$G,"pipino il breve")</f>
        <v>79.42</v>
      </c>
      <c r="S63">
        <f>_xlfn.XLOOKUP(B63,'29'!$A:$A,'29'!$G:$G,"pipino il breve")</f>
        <v>79.38</v>
      </c>
      <c r="T63" s="11">
        <f>_xlfn.XLOOKUP(B63,'30'!$A:$A,'30'!$G:$G,"pipino il breve")</f>
        <v>79.72</v>
      </c>
      <c r="U63" s="3"/>
      <c r="V63">
        <f>_xlfn.XLOOKUP(B63,'2'!$A:$A,'2'!$G:$G,"pipino il breve")</f>
        <v>79.14</v>
      </c>
      <c r="Y63">
        <f>_xlfn.XLOOKUP(B63,'5'!$A:$A,'5'!$G:$G,"pipino il breve")</f>
        <v>79.239999999999995</v>
      </c>
      <c r="Z63">
        <f>_xlfn.XLOOKUP(B63,'6'!$A:$A,'6'!$G:$G,"pipino il breve")</f>
        <v>78.86</v>
      </c>
      <c r="AA63">
        <f>_xlfn.XLOOKUP(B63,'7'!$A:$A,'7'!$G:$G,"pipino il breve")</f>
        <v>79.78</v>
      </c>
      <c r="AB63">
        <f>_xlfn.XLOOKUP(B63,'8'!$A:$A,'8'!$G:$G,"pipino il breve")</f>
        <v>79.48</v>
      </c>
      <c r="AC63">
        <f>_xlfn.XLOOKUP(B63,'9'!$A:$A,'9'!$G:$G,"pipino il breve")</f>
        <v>79.08</v>
      </c>
      <c r="AF63">
        <f>_xlfn.XLOOKUP(B63,'12'!$A:$A,'12'!$G:$G,"pipino il breve")</f>
        <v>78.59</v>
      </c>
      <c r="AG63">
        <f>_xlfn.XLOOKUP(B63,'13'!$A:$A,'13'!$G:$G,"pipino il breve")</f>
        <v>78.239999999999995</v>
      </c>
      <c r="AH63">
        <f>_xlfn.XLOOKUP(B63,'14'!$A:$A,'14'!$G:$G,"pipino il breve")</f>
        <v>78.2</v>
      </c>
      <c r="AI63">
        <f>_xlfn.XLOOKUP(B63,'15'!$A:$A,'15'!$G:$G,"pipino il breve")</f>
        <v>78.989999999999995</v>
      </c>
    </row>
    <row r="64" spans="1:35" x14ac:dyDescent="0.2">
      <c r="A64">
        <v>63</v>
      </c>
      <c r="B64" s="2" t="s">
        <v>47</v>
      </c>
      <c r="C64" s="3">
        <v>0.47499999999999998</v>
      </c>
      <c r="D64" s="2" t="s">
        <v>169</v>
      </c>
      <c r="E64" s="2">
        <f>_xlfn.XLOOKUP(B64,'15a'!$A:$A,'15a'!$G:$G,"pipino il breve")</f>
        <v>73.010000000000005</v>
      </c>
      <c r="F64" s="2">
        <f>_xlfn.XLOOKUP(B64,'16a'!$A:$A,'16a'!$G:$G,"pipino il breve")</f>
        <v>73.239999999999995</v>
      </c>
      <c r="G64" s="2">
        <f>_xlfn.XLOOKUP(B64,'17a'!$A:$A,'17a'!$G:$G,"pipino il breve")</f>
        <v>73.58</v>
      </c>
      <c r="H64" s="2"/>
      <c r="I64" s="2"/>
      <c r="J64" s="2"/>
      <c r="K64" s="2"/>
      <c r="L64" s="2">
        <f>_xlfn.XLOOKUP(B64,'22a'!$A:$A,'22a'!$G:$G,"pipino il breve")</f>
        <v>73.81</v>
      </c>
      <c r="M64" s="2">
        <f>_xlfn.XLOOKUP(B64,'23a'!$A:$A,'23a'!$G:$G,"pipino il breve")</f>
        <v>73.680000000000007</v>
      </c>
      <c r="N64" s="2">
        <f>_xlfn.XLOOKUP(B64,'24a'!$A:$A,'24a'!$G:$G,"pipino il breve")</f>
        <v>74.37</v>
      </c>
      <c r="O64" s="3">
        <v>73.98</v>
      </c>
      <c r="P64" s="3"/>
      <c r="Q64" s="3"/>
      <c r="R64">
        <f>_xlfn.XLOOKUP(B64,'28'!$A:$A,'28'!$G:$G,"pipino il breve")</f>
        <v>73.81</v>
      </c>
      <c r="S64">
        <f>_xlfn.XLOOKUP(B64,'29'!$A:$A,'29'!$G:$G,"pipino il breve")</f>
        <v>73.849999999999994</v>
      </c>
      <c r="T64" s="11">
        <f>_xlfn.XLOOKUP(B64,'30'!$A:$A,'30'!$G:$G,"pipino il breve")</f>
        <v>74.12</v>
      </c>
      <c r="U64" s="3"/>
      <c r="V64">
        <f>_xlfn.XLOOKUP(B64,'2'!$A:$A,'2'!$G:$G,"pipino il breve")</f>
        <v>73.760000000000005</v>
      </c>
      <c r="Y64">
        <f>_xlfn.XLOOKUP(B64,'5'!$A:$A,'5'!$G:$G,"pipino il breve")</f>
        <v>73.81</v>
      </c>
      <c r="Z64">
        <f>_xlfn.XLOOKUP(B64,'6'!$A:$A,'6'!$G:$G,"pipino il breve")</f>
        <v>73.8</v>
      </c>
      <c r="AA64">
        <f>_xlfn.XLOOKUP(B64,'7'!$A:$A,'7'!$G:$G,"pipino il breve")</f>
        <v>74.3</v>
      </c>
      <c r="AB64">
        <f>_xlfn.XLOOKUP(B64,'8'!$A:$A,'8'!$G:$G,"pipino il breve")</f>
        <v>74.13</v>
      </c>
      <c r="AC64">
        <f>_xlfn.XLOOKUP(B64,'9'!$A:$A,'9'!$G:$G,"pipino il breve")</f>
        <v>73.930000000000007</v>
      </c>
      <c r="AF64">
        <f>_xlfn.XLOOKUP(B64,'12'!$A:$A,'12'!$G:$G,"pipino il breve")</f>
        <v>73.489999999999995</v>
      </c>
      <c r="AG64">
        <f>_xlfn.XLOOKUP(B64,'13'!$A:$A,'13'!$G:$G,"pipino il breve")</f>
        <v>73.25</v>
      </c>
      <c r="AH64">
        <f>_xlfn.XLOOKUP(B64,'14'!$A:$A,'14'!$G:$G,"pipino il breve")</f>
        <v>73.12</v>
      </c>
      <c r="AI64">
        <f>_xlfn.XLOOKUP(B64,'15'!$A:$A,'15'!$G:$G,"pipino il breve")</f>
        <v>73.790000000000006</v>
      </c>
    </row>
    <row r="65" spans="1:35" x14ac:dyDescent="0.2">
      <c r="A65">
        <v>64</v>
      </c>
      <c r="B65" s="2" t="s">
        <v>57</v>
      </c>
      <c r="C65" s="3">
        <v>1.075</v>
      </c>
      <c r="D65" s="2" t="s">
        <v>170</v>
      </c>
      <c r="E65" s="2">
        <f>_xlfn.XLOOKUP(B65,'15a'!$A:$A,'15a'!$G:$G,"pipino il breve")</f>
        <v>66.12</v>
      </c>
      <c r="F65" s="2">
        <f>_xlfn.XLOOKUP(B65,'16a'!$A:$A,'16a'!$G:$G,"pipino il breve")</f>
        <v>65.930000000000007</v>
      </c>
      <c r="G65" s="2">
        <f>_xlfn.XLOOKUP(B65,'17a'!$A:$A,'17a'!$G:$G,"pipino il breve")</f>
        <v>66.25</v>
      </c>
      <c r="H65" s="2"/>
      <c r="I65" s="2"/>
      <c r="J65" s="2"/>
      <c r="K65" s="2"/>
      <c r="L65" s="2">
        <f>_xlfn.XLOOKUP(B65,'22a'!$A:$A,'22a'!$G:$G,"pipino il breve")</f>
        <v>66.62</v>
      </c>
      <c r="M65" s="2">
        <f>_xlfn.XLOOKUP(B65,'23a'!$A:$A,'23a'!$G:$G,"pipino il breve")</f>
        <v>66.37</v>
      </c>
      <c r="N65" s="2">
        <f>_xlfn.XLOOKUP(B65,'24a'!$A:$A,'24a'!$G:$G,"pipino il breve")</f>
        <v>67.2</v>
      </c>
      <c r="O65" s="3">
        <v>66.8</v>
      </c>
      <c r="P65" s="3"/>
      <c r="Q65" s="3"/>
      <c r="R65">
        <f>_xlfn.XLOOKUP(B65,'28'!$A:$A,'28'!$G:$G,"pipino il breve")</f>
        <v>66.61</v>
      </c>
      <c r="S65">
        <f>_xlfn.XLOOKUP(B65,'29'!$A:$A,'29'!$G:$G,"pipino il breve")</f>
        <v>66.47</v>
      </c>
      <c r="T65" s="11">
        <f>_xlfn.XLOOKUP(B65,'30'!$A:$A,'30'!$G:$G,"pipino il breve")</f>
        <v>67</v>
      </c>
      <c r="U65" s="3"/>
      <c r="V65">
        <f>_xlfn.XLOOKUP(B65,'2'!$A:$A,'2'!$G:$G,"pipino il breve")</f>
        <v>66.349999999999994</v>
      </c>
      <c r="Y65">
        <f>_xlfn.XLOOKUP(B65,'5'!$A:$A,'5'!$G:$G,"pipino il breve")</f>
        <v>66.34</v>
      </c>
      <c r="Z65">
        <f>_xlfn.XLOOKUP(B65,'6'!$A:$A,'6'!$G:$G,"pipino il breve")</f>
        <v>66.08</v>
      </c>
      <c r="AA65">
        <f>_xlfn.XLOOKUP(B65,'7'!$A:$A,'7'!$G:$G,"pipino il breve")</f>
        <v>67.03</v>
      </c>
      <c r="AB65">
        <f>_xlfn.XLOOKUP(B65,'8'!$A:$A,'8'!$G:$G,"pipino il breve")</f>
        <v>66.69</v>
      </c>
      <c r="AC65">
        <f>_xlfn.XLOOKUP(B65,'9'!$A:$A,'9'!$G:$G,"pipino il breve")</f>
        <v>66.290000000000006</v>
      </c>
      <c r="AF65">
        <f>_xlfn.XLOOKUP(B65,'12'!$A:$A,'12'!$G:$G,"pipino il breve")</f>
        <v>65.92</v>
      </c>
      <c r="AG65">
        <f>_xlfn.XLOOKUP(B65,'13'!$A:$A,'13'!$G:$G,"pipino il breve")</f>
        <v>65.400000000000006</v>
      </c>
      <c r="AH65">
        <f>_xlfn.XLOOKUP(B65,'14'!$A:$A,'14'!$G:$G,"pipino il breve")</f>
        <v>65.44</v>
      </c>
      <c r="AI65">
        <f>_xlfn.XLOOKUP(B65,'15'!$A:$A,'15'!$G:$G,"pipino il breve")</f>
        <v>66.209999999999994</v>
      </c>
    </row>
    <row r="66" spans="1:35" x14ac:dyDescent="0.2">
      <c r="A66">
        <v>65</v>
      </c>
      <c r="B66" s="2" t="s">
        <v>81</v>
      </c>
      <c r="C66" s="3">
        <v>1.4750000000000001</v>
      </c>
      <c r="D66" s="2" t="s">
        <v>171</v>
      </c>
      <c r="E66" s="2">
        <f>_xlfn.XLOOKUP(B66,'15a'!$A:$A,'15a'!$G:$G,"pipino il breve")</f>
        <v>101.57</v>
      </c>
      <c r="F66" s="2">
        <f>_xlfn.XLOOKUP(B66,'16a'!$A:$A,'16a'!$G:$G,"pipino il breve")</f>
        <v>101.61</v>
      </c>
      <c r="G66" s="2">
        <f>_xlfn.XLOOKUP(B66,'17a'!$A:$A,'17a'!$G:$G,"pipino il breve")</f>
        <v>101.7</v>
      </c>
      <c r="H66" s="2"/>
      <c r="I66" s="2"/>
      <c r="J66" s="2"/>
      <c r="K66" s="2"/>
      <c r="L66" s="2">
        <f>_xlfn.XLOOKUP(B66,'22a'!$A:$A,'22a'!$G:$G,"pipino il breve")</f>
        <v>101.75</v>
      </c>
      <c r="M66" s="2">
        <f>_xlfn.XLOOKUP(B66,'23a'!$A:$A,'23a'!$G:$G,"pipino il breve")</f>
        <v>101.7</v>
      </c>
      <c r="N66" s="2">
        <f>_xlfn.XLOOKUP(B66,'24a'!$A:$A,'24a'!$G:$G,"pipino il breve")</f>
        <v>101.79</v>
      </c>
      <c r="O66" s="3">
        <v>101.71</v>
      </c>
      <c r="P66" s="3"/>
      <c r="Q66" s="3"/>
      <c r="R66">
        <f>_xlfn.XLOOKUP(B66,'28'!$A:$A,'28'!$G:$G,"pipino il breve")</f>
        <v>101.74</v>
      </c>
      <c r="S66">
        <f>_xlfn.XLOOKUP(B66,'29'!$A:$A,'29'!$G:$G,"pipino il breve")</f>
        <v>101.7</v>
      </c>
      <c r="T66" s="11">
        <f>_xlfn.XLOOKUP(B66,'30'!$A:$A,'30'!$G:$G,"pipino il breve")</f>
        <v>101.75</v>
      </c>
      <c r="U66" s="3"/>
      <c r="V66">
        <f>_xlfn.XLOOKUP(B66,'2'!$A:$A,'2'!$G:$G,"pipino il breve")</f>
        <v>101.67</v>
      </c>
      <c r="Y66">
        <f>_xlfn.XLOOKUP(B66,'5'!$A:$A,'5'!$G:$G,"pipino il breve")</f>
        <v>101.65</v>
      </c>
      <c r="Z66">
        <f>_xlfn.XLOOKUP(B66,'6'!$A:$A,'6'!$G:$G,"pipino il breve")</f>
        <v>101.68</v>
      </c>
      <c r="AA66">
        <f>_xlfn.XLOOKUP(B66,'7'!$A:$A,'7'!$G:$G,"pipino il breve")</f>
        <v>101.73</v>
      </c>
      <c r="AB66">
        <f>_xlfn.XLOOKUP(B66,'8'!$A:$A,'8'!$G:$G,"pipino il breve")</f>
        <v>101.66</v>
      </c>
      <c r="AC66">
        <f>_xlfn.XLOOKUP(B66,'9'!$A:$A,'9'!$G:$G,"pipino il breve")</f>
        <v>101.64</v>
      </c>
      <c r="AF66">
        <f>_xlfn.XLOOKUP(B66,'12'!$A:$A,'12'!$G:$G,"pipino il breve")</f>
        <v>101.45</v>
      </c>
      <c r="AG66">
        <f>_xlfn.XLOOKUP(B66,'13'!$A:$A,'13'!$G:$G,"pipino il breve")</f>
        <v>101.41</v>
      </c>
      <c r="AH66">
        <f>_xlfn.XLOOKUP(B66,'14'!$A:$A,'14'!$G:$G,"pipino il breve")</f>
        <v>101.39</v>
      </c>
      <c r="AI66">
        <f>_xlfn.XLOOKUP(B66,'15'!$A:$A,'15'!$G:$G,"pipino il breve")</f>
        <v>101.49</v>
      </c>
    </row>
    <row r="67" spans="1:35" x14ac:dyDescent="0.2">
      <c r="A67">
        <v>66</v>
      </c>
      <c r="B67" s="2" t="s">
        <v>97</v>
      </c>
      <c r="C67" s="3">
        <v>1.825</v>
      </c>
      <c r="D67" s="2" t="s">
        <v>172</v>
      </c>
      <c r="E67" s="2">
        <f>_xlfn.XLOOKUP(B67,'15a'!$A:$A,'15a'!$G:$G,"pipino il breve")</f>
        <v>99.66</v>
      </c>
      <c r="F67" s="2">
        <f>_xlfn.XLOOKUP(B67,'16a'!$A:$A,'16a'!$G:$G,"pipino il breve")</f>
        <v>100</v>
      </c>
      <c r="G67" s="2">
        <f>_xlfn.XLOOKUP(B67,'17a'!$A:$A,'17a'!$G:$G,"pipino il breve")</f>
        <v>100.36</v>
      </c>
      <c r="H67" s="2"/>
      <c r="I67" s="2"/>
      <c r="J67" s="2"/>
      <c r="K67" s="2"/>
      <c r="L67" s="2">
        <f>_xlfn.XLOOKUP(B67,'22a'!$A:$A,'22a'!$G:$G,"pipino il breve")</f>
        <v>100.71</v>
      </c>
      <c r="M67" s="2">
        <f>_xlfn.XLOOKUP(B67,'23a'!$A:$A,'23a'!$G:$G,"pipino il breve")</f>
        <v>100.46</v>
      </c>
      <c r="N67" s="2">
        <f>_xlfn.XLOOKUP(B67,'24a'!$A:$A,'24a'!$G:$G,"pipino il breve")</f>
        <v>101.27</v>
      </c>
      <c r="O67" s="3">
        <v>100.75</v>
      </c>
      <c r="P67" s="3"/>
      <c r="Q67" s="3"/>
      <c r="R67">
        <f>_xlfn.XLOOKUP(B67,'28'!$A:$A,'28'!$G:$G,"pipino il breve")</f>
        <v>100.63</v>
      </c>
      <c r="S67">
        <f>_xlfn.XLOOKUP(B67,'29'!$A:$A,'29'!$G:$G,"pipino il breve")</f>
        <v>100.71</v>
      </c>
      <c r="T67" s="11">
        <f>_xlfn.XLOOKUP(B67,'30'!$A:$A,'30'!$G:$G,"pipino il breve")</f>
        <v>100.96</v>
      </c>
      <c r="U67" s="3"/>
      <c r="V67">
        <f>_xlfn.XLOOKUP(B67,'2'!$A:$A,'2'!$G:$G,"pipino il breve")</f>
        <v>100.49</v>
      </c>
      <c r="Y67">
        <f>_xlfn.XLOOKUP(B67,'5'!$A:$A,'5'!$G:$G,"pipino il breve")</f>
        <v>100.66</v>
      </c>
      <c r="Z67">
        <f>_xlfn.XLOOKUP(B67,'6'!$A:$A,'6'!$G:$G,"pipino il breve")</f>
        <v>100.56</v>
      </c>
      <c r="AA67">
        <f>_xlfn.XLOOKUP(B67,'7'!$A:$A,'7'!$G:$G,"pipino il breve")</f>
        <v>101.1</v>
      </c>
      <c r="AB67">
        <f>_xlfn.XLOOKUP(B67,'8'!$A:$A,'8'!$G:$G,"pipino il breve")</f>
        <v>100.95</v>
      </c>
      <c r="AC67">
        <f>_xlfn.XLOOKUP(B67,'9'!$A:$A,'9'!$G:$G,"pipino il breve")</f>
        <v>100.66</v>
      </c>
      <c r="AF67">
        <f>_xlfn.XLOOKUP(B67,'12'!$A:$A,'12'!$G:$G,"pipino il breve")</f>
        <v>100.15</v>
      </c>
      <c r="AG67">
        <f>_xlfn.XLOOKUP(B67,'13'!$A:$A,'13'!$G:$G,"pipino il breve")</f>
        <v>99.95</v>
      </c>
      <c r="AH67">
        <f>_xlfn.XLOOKUP(B67,'14'!$A:$A,'14'!$G:$G,"pipino il breve")</f>
        <v>99.84</v>
      </c>
      <c r="AI67">
        <f>_xlfn.XLOOKUP(B67,'15'!$A:$A,'15'!$G:$G,"pipino il breve")</f>
        <v>100.45</v>
      </c>
    </row>
    <row r="68" spans="1:35" x14ac:dyDescent="0.2">
      <c r="A68">
        <v>67</v>
      </c>
      <c r="B68" s="2" t="s">
        <v>33</v>
      </c>
      <c r="C68" s="3">
        <v>1.05</v>
      </c>
      <c r="D68" s="2" t="s">
        <v>173</v>
      </c>
      <c r="E68" s="2">
        <f>_xlfn.XLOOKUP(B68,'15a'!$A:$A,'15a'!$G:$G,"pipino il breve")</f>
        <v>100.14</v>
      </c>
      <c r="F68" s="2">
        <f>_xlfn.XLOOKUP(B68,'16a'!$A:$A,'16a'!$G:$G,"pipino il breve")</f>
        <v>100.14</v>
      </c>
      <c r="G68" s="2">
        <f>_xlfn.XLOOKUP(B68,'17a'!$A:$A,'17a'!$G:$G,"pipino il breve")</f>
        <v>100.27</v>
      </c>
      <c r="H68" s="2"/>
      <c r="I68" s="2"/>
      <c r="J68" s="2"/>
      <c r="K68" s="2"/>
      <c r="L68" s="2">
        <f>_xlfn.XLOOKUP(B68,'22a'!$A:$A,'22a'!$G:$G,"pipino il breve")</f>
        <v>100.35</v>
      </c>
      <c r="M68" s="2">
        <f>_xlfn.XLOOKUP(B68,'23a'!$A:$A,'23a'!$G:$G,"pipino il breve")</f>
        <v>100.21</v>
      </c>
      <c r="N68" s="2">
        <f>_xlfn.XLOOKUP(B68,'24a'!$A:$A,'24a'!$G:$G,"pipino il breve")</f>
        <v>100.33</v>
      </c>
      <c r="O68" s="3">
        <v>100.23</v>
      </c>
      <c r="P68" s="3"/>
      <c r="Q68" s="3"/>
      <c r="R68">
        <f>_xlfn.XLOOKUP(B68,'28'!$A:$A,'28'!$G:$G,"pipino il breve")</f>
        <v>100.23</v>
      </c>
      <c r="S68">
        <f>_xlfn.XLOOKUP(B68,'29'!$A:$A,'29'!$G:$G,"pipino il breve")</f>
        <v>100.23</v>
      </c>
      <c r="T68" s="11">
        <f>_xlfn.XLOOKUP(B68,'30'!$A:$A,'30'!$G:$G,"pipino il breve")</f>
        <v>100.29</v>
      </c>
      <c r="U68" s="3"/>
      <c r="V68">
        <f>_xlfn.XLOOKUP(B68,'2'!$A:$A,'2'!$G:$G,"pipino il breve")</f>
        <v>100.26</v>
      </c>
      <c r="Y68">
        <f>_xlfn.XLOOKUP(B68,'5'!$A:$A,'5'!$G:$G,"pipino il breve")</f>
        <v>100.24</v>
      </c>
      <c r="Z68">
        <f>_xlfn.XLOOKUP(B68,'6'!$A:$A,'6'!$G:$G,"pipino il breve")</f>
        <v>100.26</v>
      </c>
      <c r="AA68">
        <f>_xlfn.XLOOKUP(B68,'7'!$A:$A,'7'!$G:$G,"pipino il breve")</f>
        <v>100.29</v>
      </c>
      <c r="AB68">
        <f>_xlfn.XLOOKUP(B68,'8'!$A:$A,'8'!$G:$G,"pipino il breve")</f>
        <v>100.25</v>
      </c>
      <c r="AC68">
        <f>_xlfn.XLOOKUP(B68,'9'!$A:$A,'9'!$G:$G,"pipino il breve")</f>
        <v>100.22</v>
      </c>
      <c r="AF68">
        <f>_xlfn.XLOOKUP(B68,'12'!$A:$A,'12'!$G:$G,"pipino il breve")</f>
        <v>100.11</v>
      </c>
      <c r="AG68">
        <f>_xlfn.XLOOKUP(B68,'13'!$A:$A,'13'!$G:$G,"pipino il breve")</f>
        <v>100.14</v>
      </c>
      <c r="AH68">
        <f>_xlfn.XLOOKUP(B68,'14'!$A:$A,'14'!$G:$G,"pipino il breve")</f>
        <v>100.12</v>
      </c>
      <c r="AI68">
        <f>_xlfn.XLOOKUP(B68,'15'!$A:$A,'15'!$G:$G,"pipino il breve")</f>
        <v>100.17</v>
      </c>
    </row>
    <row r="69" spans="1:35" x14ac:dyDescent="0.2">
      <c r="A69">
        <v>68</v>
      </c>
      <c r="B69" s="2" t="s">
        <v>89</v>
      </c>
      <c r="C69" s="3">
        <v>1.7250000000000001</v>
      </c>
      <c r="D69" s="2" t="s">
        <v>174</v>
      </c>
      <c r="E69" s="2">
        <f>_xlfn.XLOOKUP(B69,'15a'!$A:$A,'15a'!$G:$G,"pipino il breve")</f>
        <v>102.05</v>
      </c>
      <c r="F69" s="2">
        <f>_xlfn.XLOOKUP(B69,'16a'!$A:$A,'16a'!$G:$G,"pipino il breve")</f>
        <v>102.23</v>
      </c>
      <c r="G69" s="2">
        <f>_xlfn.XLOOKUP(B69,'17a'!$A:$A,'17a'!$G:$G,"pipino il breve")</f>
        <v>102.63</v>
      </c>
      <c r="H69" s="2"/>
      <c r="I69" s="2"/>
      <c r="J69" s="2"/>
      <c r="K69" s="2"/>
      <c r="L69" s="2">
        <f>_xlfn.XLOOKUP(B69,'22a'!$A:$A,'22a'!$G:$G,"pipino il breve")</f>
        <v>102.75</v>
      </c>
      <c r="M69" s="2">
        <f>_xlfn.XLOOKUP(B69,'23a'!$A:$A,'23a'!$G:$G,"pipino il breve")</f>
        <v>102.6</v>
      </c>
      <c r="N69" s="2">
        <f>_xlfn.XLOOKUP(B69,'24a'!$A:$A,'24a'!$G:$G,"pipino il breve")</f>
        <v>103.16</v>
      </c>
      <c r="O69" s="3">
        <v>102.88</v>
      </c>
      <c r="P69" s="3"/>
      <c r="Q69" s="3"/>
      <c r="R69">
        <f>_xlfn.XLOOKUP(B69,'28'!$A:$A,'28'!$G:$G,"pipino il breve")</f>
        <v>102.85</v>
      </c>
      <c r="S69">
        <f>_xlfn.XLOOKUP(B69,'29'!$A:$A,'29'!$G:$G,"pipino il breve")</f>
        <v>102.79</v>
      </c>
      <c r="T69" s="11">
        <f>_xlfn.XLOOKUP(B69,'30'!$A:$A,'30'!$G:$G,"pipino il breve")</f>
        <v>102.99</v>
      </c>
      <c r="U69" s="3"/>
      <c r="V69">
        <f>_xlfn.XLOOKUP(B69,'2'!$A:$A,'2'!$G:$G,"pipino il breve")</f>
        <v>102.75</v>
      </c>
      <c r="Y69">
        <f>_xlfn.XLOOKUP(B69,'5'!$A:$A,'5'!$G:$G,"pipino il breve")</f>
        <v>102.76</v>
      </c>
      <c r="Z69">
        <f>_xlfn.XLOOKUP(B69,'6'!$A:$A,'6'!$G:$G,"pipino il breve")</f>
        <v>102.77</v>
      </c>
      <c r="AA69">
        <f>_xlfn.XLOOKUP(B69,'7'!$A:$A,'7'!$G:$G,"pipino il breve")</f>
        <v>103.1</v>
      </c>
      <c r="AB69">
        <f>_xlfn.XLOOKUP(B69,'8'!$A:$A,'8'!$G:$G,"pipino il breve")</f>
        <v>102.97</v>
      </c>
      <c r="AC69">
        <f>_xlfn.XLOOKUP(B69,'9'!$A:$A,'9'!$G:$G,"pipino il breve")</f>
        <v>102.79</v>
      </c>
      <c r="AF69">
        <f>_xlfn.XLOOKUP(B69,'12'!$A:$A,'12'!$G:$G,"pipino il breve")</f>
        <v>102.32</v>
      </c>
      <c r="AG69">
        <f>_xlfn.XLOOKUP(B69,'13'!$A:$A,'13'!$G:$G,"pipino il breve")</f>
        <v>102.25</v>
      </c>
      <c r="AH69">
        <f>_xlfn.XLOOKUP(B69,'14'!$A:$A,'14'!$G:$G,"pipino il breve")</f>
        <v>102.2</v>
      </c>
      <c r="AI69">
        <f>_xlfn.XLOOKUP(B69,'15'!$A:$A,'15'!$G:$G,"pipino il breve")</f>
        <v>102.47</v>
      </c>
    </row>
    <row r="70" spans="1:35" x14ac:dyDescent="0.2">
      <c r="A70">
        <v>69</v>
      </c>
      <c r="B70" s="2" t="s">
        <v>44</v>
      </c>
      <c r="C70" s="3">
        <v>0.9</v>
      </c>
      <c r="D70" s="2" t="s">
        <v>175</v>
      </c>
      <c r="E70" s="2">
        <f>_xlfn.XLOOKUP(B70,'15a'!$A:$A,'15a'!$G:$G,"pipino il breve")</f>
        <v>73.63</v>
      </c>
      <c r="F70" s="2">
        <f>_xlfn.XLOOKUP(B70,'16a'!$A:$A,'16a'!$G:$G,"pipino il breve")</f>
        <v>73.73</v>
      </c>
      <c r="G70" s="2">
        <f>_xlfn.XLOOKUP(B70,'17a'!$A:$A,'17a'!$G:$G,"pipino il breve")</f>
        <v>74.099999999999994</v>
      </c>
      <c r="H70" s="2"/>
      <c r="I70" s="2"/>
      <c r="J70" s="2"/>
      <c r="K70" s="2"/>
      <c r="L70" s="2">
        <f>_xlfn.XLOOKUP(B70,'22a'!$A:$A,'22a'!$G:$G,"pipino il breve")</f>
        <v>74.349999999999994</v>
      </c>
      <c r="M70" s="2">
        <f>_xlfn.XLOOKUP(B70,'23a'!$A:$A,'23a'!$G:$G,"pipino il breve")</f>
        <v>74.180000000000007</v>
      </c>
      <c r="N70" s="2">
        <f>_xlfn.XLOOKUP(B70,'24a'!$A:$A,'24a'!$G:$G,"pipino il breve")</f>
        <v>74.95</v>
      </c>
      <c r="O70" s="3">
        <v>74.48</v>
      </c>
      <c r="P70" s="3"/>
      <c r="Q70" s="3"/>
      <c r="R70">
        <f>_xlfn.XLOOKUP(B70,'28'!$A:$A,'28'!$G:$G,"pipino il breve")</f>
        <v>74.37</v>
      </c>
      <c r="S70">
        <f>_xlfn.XLOOKUP(B70,'29'!$A:$A,'29'!$G:$G,"pipino il breve")</f>
        <v>74.33</v>
      </c>
      <c r="T70" s="11">
        <f>_xlfn.XLOOKUP(B70,'30'!$A:$A,'30'!$G:$G,"pipino il breve")</f>
        <v>74.63</v>
      </c>
      <c r="U70" s="3"/>
      <c r="V70">
        <f>_xlfn.XLOOKUP(B70,'2'!$A:$A,'2'!$G:$G,"pipino il breve")</f>
        <v>74</v>
      </c>
      <c r="Y70">
        <f>_xlfn.XLOOKUP(B70,'5'!$A:$A,'5'!$G:$G,"pipino il breve")</f>
        <v>74.3</v>
      </c>
      <c r="Z70">
        <f>_xlfn.XLOOKUP(B70,'6'!$A:$A,'6'!$G:$G,"pipino il breve")</f>
        <v>74.05</v>
      </c>
      <c r="AA70">
        <f>_xlfn.XLOOKUP(B70,'7'!$A:$A,'7'!$G:$G,"pipino il breve")</f>
        <v>74.75</v>
      </c>
      <c r="AB70">
        <f>_xlfn.XLOOKUP(B70,'8'!$A:$A,'8'!$G:$G,"pipino il breve")</f>
        <v>74.53</v>
      </c>
      <c r="AC70">
        <f>_xlfn.XLOOKUP(B70,'9'!$A:$A,'9'!$G:$G,"pipino il breve")</f>
        <v>74.180000000000007</v>
      </c>
      <c r="AF70">
        <f>_xlfn.XLOOKUP(B70,'12'!$A:$A,'12'!$G:$G,"pipino il breve")</f>
        <v>73.790000000000006</v>
      </c>
      <c r="AG70">
        <f>_xlfn.XLOOKUP(B70,'13'!$A:$A,'13'!$G:$G,"pipino il breve")</f>
        <v>73.459999999999994</v>
      </c>
      <c r="AH70">
        <f>_xlfn.XLOOKUP(B70,'14'!$A:$A,'14'!$G:$G,"pipino il breve")</f>
        <v>73.459999999999994</v>
      </c>
      <c r="AI70">
        <f>_xlfn.XLOOKUP(B70,'15'!$A:$A,'15'!$G:$G,"pipino il breve")</f>
        <v>74.2</v>
      </c>
    </row>
    <row r="71" spans="1:35" x14ac:dyDescent="0.2">
      <c r="A71">
        <v>70</v>
      </c>
      <c r="B71" s="2" t="s">
        <v>78</v>
      </c>
      <c r="C71" s="3">
        <v>2</v>
      </c>
      <c r="D71" s="2" t="s">
        <v>176</v>
      </c>
      <c r="E71" s="2">
        <f>_xlfn.XLOOKUP(B71,'15a'!$A:$A,'15a'!$G:$G,"pipino il breve")</f>
        <v>105.43</v>
      </c>
      <c r="F71" s="2">
        <f>_xlfn.XLOOKUP(B71,'16a'!$A:$A,'16a'!$G:$G,"pipino il breve")</f>
        <v>105.66</v>
      </c>
      <c r="G71" s="2">
        <f>_xlfn.XLOOKUP(B71,'17a'!$A:$A,'17a'!$G:$G,"pipino il breve")</f>
        <v>105.97</v>
      </c>
      <c r="H71" s="2"/>
      <c r="I71" s="2"/>
      <c r="J71" s="2"/>
      <c r="K71" s="2"/>
      <c r="L71" s="2">
        <f>_xlfn.XLOOKUP(B71,'22a'!$A:$A,'22a'!$G:$G,"pipino il breve")</f>
        <v>106.08</v>
      </c>
      <c r="M71" s="2">
        <f>_xlfn.XLOOKUP(B71,'23a'!$A:$A,'23a'!$G:$G,"pipino il breve")</f>
        <v>105.94</v>
      </c>
      <c r="N71" s="2">
        <f>_xlfn.XLOOKUP(B71,'24a'!$A:$A,'24a'!$G:$G,"pipino il breve")</f>
        <v>106.47</v>
      </c>
      <c r="O71" s="3">
        <v>106.19</v>
      </c>
      <c r="P71" s="3"/>
      <c r="Q71" s="3"/>
      <c r="R71">
        <f>_xlfn.XLOOKUP(B71,'28'!$A:$A,'28'!$G:$G,"pipino il breve")</f>
        <v>106.19</v>
      </c>
      <c r="S71">
        <f>_xlfn.XLOOKUP(B71,'29'!$A:$A,'29'!$G:$G,"pipino il breve")</f>
        <v>106.17</v>
      </c>
      <c r="T71" s="11">
        <f>_xlfn.XLOOKUP(B71,'30'!$A:$A,'30'!$G:$G,"pipino il breve")</f>
        <v>106.3</v>
      </c>
      <c r="U71" s="3"/>
      <c r="V71">
        <f>_xlfn.XLOOKUP(B71,'2'!$A:$A,'2'!$G:$G,"pipino il breve")</f>
        <v>106.1</v>
      </c>
      <c r="Y71">
        <f>_xlfn.XLOOKUP(B71,'5'!$A:$A,'5'!$G:$G,"pipino il breve")</f>
        <v>106.13</v>
      </c>
      <c r="Z71">
        <f>_xlfn.XLOOKUP(B71,'6'!$A:$A,'6'!$G:$G,"pipino il breve")</f>
        <v>106.07</v>
      </c>
      <c r="AA71">
        <f>_xlfn.XLOOKUP(B71,'7'!$A:$A,'7'!$G:$G,"pipino il breve")</f>
        <v>106.35</v>
      </c>
      <c r="AB71">
        <f>_xlfn.XLOOKUP(B71,'8'!$A:$A,'8'!$G:$G,"pipino il breve")</f>
        <v>106.23</v>
      </c>
      <c r="AC71">
        <f>_xlfn.XLOOKUP(B71,'9'!$A:$A,'9'!$G:$G,"pipino il breve")</f>
        <v>106.07</v>
      </c>
      <c r="AF71">
        <f>_xlfn.XLOOKUP(B71,'12'!$A:$A,'12'!$G:$G,"pipino il breve")</f>
        <v>105.63</v>
      </c>
      <c r="AG71">
        <f>_xlfn.XLOOKUP(B71,'13'!$A:$A,'13'!$G:$G,"pipino il breve")</f>
        <v>105.57</v>
      </c>
      <c r="AH71">
        <f>_xlfn.XLOOKUP(B71,'14'!$A:$A,'14'!$G:$G,"pipino il breve")</f>
        <v>105.52</v>
      </c>
      <c r="AI71">
        <f>_xlfn.XLOOKUP(B71,'15'!$A:$A,'15'!$G:$G,"pipino il breve")</f>
        <v>105.76</v>
      </c>
    </row>
    <row r="72" spans="1:35" x14ac:dyDescent="0.2">
      <c r="A72">
        <v>71</v>
      </c>
      <c r="B72" s="2" t="s">
        <v>36</v>
      </c>
      <c r="C72" s="3">
        <v>0.42499999999999999</v>
      </c>
      <c r="D72" s="2" t="s">
        <v>177</v>
      </c>
      <c r="E72" s="2">
        <f>_xlfn.XLOOKUP(B72,'15a'!$A:$A,'15a'!$G:$G,"pipino il breve")</f>
        <v>98.13</v>
      </c>
      <c r="F72" s="2">
        <f>_xlfn.XLOOKUP(B72,'16a'!$A:$A,'16a'!$G:$G,"pipino il breve")</f>
        <v>98.2</v>
      </c>
      <c r="G72" s="2">
        <f>_xlfn.XLOOKUP(B72,'17a'!$A:$A,'17a'!$G:$G,"pipino il breve")</f>
        <v>98.29</v>
      </c>
      <c r="H72" s="2"/>
      <c r="I72" s="2"/>
      <c r="J72" s="2"/>
      <c r="K72" s="2"/>
      <c r="L72" s="2">
        <f>_xlfn.XLOOKUP(B72,'22a'!$A:$A,'22a'!$G:$G,"pipino il breve")</f>
        <v>98.34</v>
      </c>
      <c r="M72" s="2">
        <f>_xlfn.XLOOKUP(B72,'23a'!$A:$A,'23a'!$G:$G,"pipino il breve")</f>
        <v>98.29</v>
      </c>
      <c r="N72" s="2">
        <f>_xlfn.XLOOKUP(B72,'24a'!$A:$A,'24a'!$G:$G,"pipino il breve")</f>
        <v>98.38</v>
      </c>
      <c r="O72" s="3">
        <v>98.28</v>
      </c>
      <c r="P72" s="3"/>
      <c r="Q72" s="3"/>
      <c r="R72">
        <f>_xlfn.XLOOKUP(B72,'28'!$A:$A,'28'!$G:$G,"pipino il breve")</f>
        <v>98.32</v>
      </c>
      <c r="S72">
        <f>_xlfn.XLOOKUP(B72,'29'!$A:$A,'29'!$G:$G,"pipino il breve")</f>
        <v>98.33</v>
      </c>
      <c r="T72" s="11">
        <f>_xlfn.XLOOKUP(B72,'30'!$A:$A,'30'!$G:$G,"pipino il breve")</f>
        <v>98.37</v>
      </c>
      <c r="U72" s="3"/>
      <c r="V72">
        <f>_xlfn.XLOOKUP(B72,'2'!$A:$A,'2'!$G:$G,"pipino il breve")</f>
        <v>98.33</v>
      </c>
      <c r="Y72">
        <f>_xlfn.XLOOKUP(B72,'5'!$A:$A,'5'!$G:$G,"pipino il breve")</f>
        <v>98.12</v>
      </c>
      <c r="Z72">
        <f>_xlfn.XLOOKUP(B72,'6'!$A:$A,'6'!$G:$G,"pipino il breve")</f>
        <v>98.36</v>
      </c>
      <c r="AA72">
        <f>_xlfn.XLOOKUP(B72,'7'!$A:$A,'7'!$G:$G,"pipino il breve")</f>
        <v>98.39</v>
      </c>
      <c r="AB72">
        <f>_xlfn.XLOOKUP(B72,'8'!$A:$A,'8'!$G:$G,"pipino il breve")</f>
        <v>98.39</v>
      </c>
      <c r="AC72">
        <f>_xlfn.XLOOKUP(B72,'9'!$A:$A,'9'!$G:$G,"pipino il breve")</f>
        <v>98.34</v>
      </c>
      <c r="AF72">
        <f>_xlfn.XLOOKUP(B72,'12'!$A:$A,'12'!$G:$G,"pipino il breve")</f>
        <v>98.13</v>
      </c>
      <c r="AG72">
        <f>_xlfn.XLOOKUP(B72,'13'!$A:$A,'13'!$G:$G,"pipino il breve")</f>
        <v>98.16</v>
      </c>
      <c r="AH72">
        <f>_xlfn.XLOOKUP(B72,'14'!$A:$A,'14'!$G:$G,"pipino il breve")</f>
        <v>98.17</v>
      </c>
      <c r="AI72">
        <f>_xlfn.XLOOKUP(B72,'15'!$A:$A,'15'!$G:$G,"pipino il breve")</f>
        <v>98.21</v>
      </c>
    </row>
    <row r="73" spans="1:35" x14ac:dyDescent="0.2">
      <c r="A73">
        <v>72</v>
      </c>
      <c r="B73" s="2" t="s">
        <v>56</v>
      </c>
      <c r="C73" s="3">
        <v>0.22500000000000001</v>
      </c>
      <c r="D73" s="2" t="s">
        <v>178</v>
      </c>
      <c r="E73" s="2">
        <f>_xlfn.XLOOKUP(B73,'15a'!$A:$A,'15a'!$G:$G,"pipino il breve")</f>
        <v>92.81</v>
      </c>
      <c r="F73" s="2">
        <f>_xlfn.XLOOKUP(B73,'16a'!$A:$A,'16a'!$G:$G,"pipino il breve")</f>
        <v>92.92</v>
      </c>
      <c r="G73" s="2">
        <f>_xlfn.XLOOKUP(B73,'17a'!$A:$A,'17a'!$G:$G,"pipino il breve")</f>
        <v>93.12</v>
      </c>
      <c r="H73" s="2"/>
      <c r="I73" s="2"/>
      <c r="J73" s="2"/>
      <c r="K73" s="2"/>
      <c r="L73" s="2">
        <f>_xlfn.XLOOKUP(B73,'22a'!$A:$A,'22a'!$G:$G,"pipino il breve")</f>
        <v>93.24</v>
      </c>
      <c r="M73" s="2">
        <f>_xlfn.XLOOKUP(B73,'23a'!$A:$A,'23a'!$G:$G,"pipino il breve")</f>
        <v>93.09</v>
      </c>
      <c r="N73" s="2">
        <f>_xlfn.XLOOKUP(B73,'24a'!$A:$A,'24a'!$G:$G,"pipino il breve")</f>
        <v>93.43</v>
      </c>
      <c r="O73" s="3">
        <v>93.25</v>
      </c>
      <c r="P73" s="3"/>
      <c r="Q73" s="3"/>
      <c r="R73">
        <f>_xlfn.XLOOKUP(B73,'28'!$A:$A,'28'!$G:$G,"pipino il breve")</f>
        <v>93.3</v>
      </c>
      <c r="S73">
        <f>_xlfn.XLOOKUP(B73,'29'!$A:$A,'29'!$G:$G,"pipino il breve")</f>
        <v>93.2</v>
      </c>
      <c r="T73" s="11">
        <f>_xlfn.XLOOKUP(B73,'30'!$A:$A,'30'!$G:$G,"pipino il breve")</f>
        <v>93.35</v>
      </c>
      <c r="U73" s="3"/>
      <c r="V73">
        <f>_xlfn.XLOOKUP(B73,'2'!$A:$A,'2'!$G:$G,"pipino il breve")</f>
        <v>93.21</v>
      </c>
      <c r="Y73">
        <f>_xlfn.XLOOKUP(B73,'5'!$A:$A,'5'!$G:$G,"pipino il breve")</f>
        <v>93.24</v>
      </c>
      <c r="Z73">
        <f>_xlfn.XLOOKUP(B73,'6'!$A:$A,'6'!$G:$G,"pipino il breve")</f>
        <v>93.42</v>
      </c>
      <c r="AA73">
        <f>_xlfn.XLOOKUP(B73,'7'!$A:$A,'7'!$G:$G,"pipino il breve")</f>
        <v>93.4</v>
      </c>
      <c r="AB73">
        <f>_xlfn.XLOOKUP(B73,'8'!$A:$A,'8'!$G:$G,"pipino il breve")</f>
        <v>93.33</v>
      </c>
      <c r="AC73">
        <f>_xlfn.XLOOKUP(B73,'9'!$A:$A,'9'!$G:$G,"pipino il breve")</f>
        <v>93.25</v>
      </c>
      <c r="AF73">
        <f>_xlfn.XLOOKUP(B73,'12'!$A:$A,'12'!$G:$G,"pipino il breve")</f>
        <v>92.88</v>
      </c>
      <c r="AG73">
        <f>_xlfn.XLOOKUP(B73,'13'!$A:$A,'13'!$G:$G,"pipino il breve")</f>
        <v>93.73</v>
      </c>
      <c r="AH73">
        <f>_xlfn.XLOOKUP(B73,'14'!$A:$A,'14'!$G:$G,"pipino il breve")</f>
        <v>92.8</v>
      </c>
      <c r="AI73">
        <f>_xlfn.XLOOKUP(B73,'15'!$A:$A,'15'!$G:$G,"pipino il breve")</f>
        <v>93.04</v>
      </c>
    </row>
    <row r="74" spans="1:35" x14ac:dyDescent="0.2">
      <c r="A74">
        <v>73</v>
      </c>
      <c r="B74" s="2" t="s">
        <v>66</v>
      </c>
      <c r="C74" s="3">
        <v>1.925</v>
      </c>
      <c r="D74" s="2" t="s">
        <v>179</v>
      </c>
      <c r="E74" s="2">
        <f>_xlfn.XLOOKUP(B74,'15a'!$A:$A,'15a'!$G:$G,"pipino il breve")</f>
        <v>105.07</v>
      </c>
      <c r="F74" s="2">
        <f>_xlfn.XLOOKUP(B74,'16a'!$A:$A,'16a'!$G:$G,"pipino il breve")</f>
        <v>105.25</v>
      </c>
      <c r="G74" s="2">
        <f>_xlfn.XLOOKUP(B74,'17a'!$A:$A,'17a'!$G:$G,"pipino il breve")</f>
        <v>105.5</v>
      </c>
      <c r="H74" s="2"/>
      <c r="I74" s="2"/>
      <c r="J74" s="2"/>
      <c r="K74" s="2"/>
      <c r="L74" s="2">
        <f>_xlfn.XLOOKUP(B74,'22a'!$A:$A,'22a'!$G:$G,"pipino il breve")</f>
        <v>105.63</v>
      </c>
      <c r="M74" s="2">
        <f>_xlfn.XLOOKUP(B74,'23a'!$A:$A,'23a'!$G:$G,"pipino il breve")</f>
        <v>105.43</v>
      </c>
      <c r="N74" s="2">
        <f>_xlfn.XLOOKUP(B74,'24a'!$A:$A,'24a'!$G:$G,"pipino il breve")</f>
        <v>105.85</v>
      </c>
      <c r="O74" s="3">
        <v>105.65</v>
      </c>
      <c r="P74" s="3"/>
      <c r="Q74" s="3"/>
      <c r="R74">
        <f>_xlfn.XLOOKUP(B74,'28'!$A:$A,'28'!$G:$G,"pipino il breve")</f>
        <v>105.65</v>
      </c>
      <c r="S74">
        <f>_xlfn.XLOOKUP(B74,'29'!$A:$A,'29'!$G:$G,"pipino il breve")</f>
        <v>105.63</v>
      </c>
      <c r="T74" s="11">
        <f>_xlfn.XLOOKUP(B74,'30'!$A:$A,'30'!$G:$G,"pipino il breve")</f>
        <v>105.8</v>
      </c>
      <c r="U74" s="3"/>
      <c r="V74">
        <f>_xlfn.XLOOKUP(B74,'2'!$A:$A,'2'!$G:$G,"pipino il breve")</f>
        <v>105.54</v>
      </c>
      <c r="Y74">
        <f>_xlfn.XLOOKUP(B74,'5'!$A:$A,'5'!$G:$G,"pipino il breve")</f>
        <v>105.57</v>
      </c>
      <c r="Z74">
        <f>_xlfn.XLOOKUP(B74,'6'!$A:$A,'6'!$G:$G,"pipino il breve")</f>
        <v>105.57</v>
      </c>
      <c r="AA74">
        <f>_xlfn.XLOOKUP(B74,'7'!$A:$A,'7'!$G:$G,"pipino il breve")</f>
        <v>105.84</v>
      </c>
      <c r="AB74">
        <f>_xlfn.XLOOKUP(B74,'8'!$A:$A,'8'!$G:$G,"pipino il breve")</f>
        <v>105.7</v>
      </c>
      <c r="AC74">
        <f>_xlfn.XLOOKUP(B74,'9'!$A:$A,'9'!$G:$G,"pipino il breve")</f>
        <v>105.51</v>
      </c>
      <c r="AF74">
        <f>_xlfn.XLOOKUP(B74,'12'!$A:$A,'12'!$G:$G,"pipino il breve")</f>
        <v>105.12</v>
      </c>
      <c r="AG74">
        <f>_xlfn.XLOOKUP(B74,'13'!$A:$A,'13'!$G:$G,"pipino il breve")</f>
        <v>105.04</v>
      </c>
      <c r="AH74">
        <f>_xlfn.XLOOKUP(B74,'14'!$A:$A,'14'!$G:$G,"pipino il breve")</f>
        <v>105.03</v>
      </c>
      <c r="AI74">
        <f>_xlfn.XLOOKUP(B74,'15'!$A:$A,'15'!$G:$G,"pipino il breve")</f>
        <v>105.22</v>
      </c>
    </row>
    <row r="75" spans="1:35" x14ac:dyDescent="0.2">
      <c r="A75">
        <v>74</v>
      </c>
      <c r="B75" s="2" t="s">
        <v>96</v>
      </c>
      <c r="C75" s="3">
        <v>1.35</v>
      </c>
      <c r="D75" s="2" t="s">
        <v>180</v>
      </c>
      <c r="E75" s="2">
        <f>_xlfn.XLOOKUP(B75,'15a'!$A:$A,'15a'!$G:$G,"pipino il breve")</f>
        <v>101.25</v>
      </c>
      <c r="F75" s="2">
        <f>_xlfn.XLOOKUP(B75,'16a'!$A:$A,'16a'!$G:$G,"pipino il breve")</f>
        <v>101.36</v>
      </c>
      <c r="G75" s="2">
        <f>_xlfn.XLOOKUP(B75,'17a'!$A:$A,'17a'!$G:$G,"pipino il breve")</f>
        <v>101.45</v>
      </c>
      <c r="H75" s="2"/>
      <c r="I75" s="2"/>
      <c r="J75" s="2"/>
      <c r="K75" s="2"/>
      <c r="L75" s="2">
        <f>_xlfn.XLOOKUP(B75,'22a'!$A:$A,'22a'!$G:$G,"pipino il breve")</f>
        <v>101.56</v>
      </c>
      <c r="M75" s="2">
        <f>_xlfn.XLOOKUP(B75,'23a'!$A:$A,'23a'!$G:$G,"pipino il breve")</f>
        <v>101.43</v>
      </c>
      <c r="N75" s="2">
        <f>_xlfn.XLOOKUP(B75,'24a'!$A:$A,'24a'!$G:$G,"pipino il breve")</f>
        <v>101.64</v>
      </c>
      <c r="O75" s="3">
        <v>101.48</v>
      </c>
      <c r="P75" s="3"/>
      <c r="Q75" s="3"/>
      <c r="R75">
        <f>_xlfn.XLOOKUP(B75,'28'!$A:$A,'28'!$G:$G,"pipino il breve")</f>
        <v>101.55</v>
      </c>
      <c r="S75">
        <f>_xlfn.XLOOKUP(B75,'29'!$A:$A,'29'!$G:$G,"pipino il breve")</f>
        <v>101.46</v>
      </c>
      <c r="T75" s="11">
        <f>_xlfn.XLOOKUP(B75,'30'!$A:$A,'30'!$G:$G,"pipino il breve")</f>
        <v>101.52</v>
      </c>
      <c r="U75" s="3"/>
      <c r="V75">
        <f>_xlfn.XLOOKUP(B75,'2'!$A:$A,'2'!$G:$G,"pipino il breve")</f>
        <v>101.48</v>
      </c>
      <c r="Y75">
        <f>_xlfn.XLOOKUP(B75,'5'!$A:$A,'5'!$G:$G,"pipino il breve")</f>
        <v>101.49</v>
      </c>
      <c r="Z75">
        <f>_xlfn.XLOOKUP(B75,'6'!$A:$A,'6'!$G:$G,"pipino il breve")</f>
        <v>101.47</v>
      </c>
      <c r="AA75">
        <f>_xlfn.XLOOKUP(B75,'7'!$A:$A,'7'!$G:$G,"pipino il breve")</f>
        <v>101.6</v>
      </c>
      <c r="AB75">
        <f>_xlfn.XLOOKUP(B75,'8'!$A:$A,'8'!$G:$G,"pipino il breve")</f>
        <v>101.45</v>
      </c>
      <c r="AC75">
        <f>_xlfn.XLOOKUP(B75,'9'!$A:$A,'9'!$G:$G,"pipino il breve")</f>
        <v>101.4</v>
      </c>
      <c r="AF75">
        <f>_xlfn.XLOOKUP(B75,'12'!$A:$A,'12'!$G:$G,"pipino il breve")</f>
        <v>101.14</v>
      </c>
      <c r="AG75">
        <f>_xlfn.XLOOKUP(B75,'13'!$A:$A,'13'!$G:$G,"pipino il breve")</f>
        <v>101.12</v>
      </c>
      <c r="AH75">
        <f>_xlfn.XLOOKUP(B75,'14'!$A:$A,'14'!$G:$G,"pipino il breve")</f>
        <v>101.12</v>
      </c>
      <c r="AI75">
        <f>_xlfn.XLOOKUP(B75,'15'!$A:$A,'15'!$G:$G,"pipino il breve")</f>
        <v>101.22</v>
      </c>
    </row>
    <row r="76" spans="1:35" x14ac:dyDescent="0.2">
      <c r="A76">
        <v>75</v>
      </c>
      <c r="B76" s="2" t="s">
        <v>82</v>
      </c>
      <c r="C76" s="3">
        <v>1.75</v>
      </c>
      <c r="D76" s="2" t="s">
        <v>181</v>
      </c>
      <c r="E76" s="2">
        <f>_xlfn.XLOOKUP(B76,'15a'!$A:$A,'15a'!$G:$G,"pipino il breve")</f>
        <v>102.67</v>
      </c>
      <c r="F76" s="2">
        <f>_xlfn.XLOOKUP(B76,'16a'!$A:$A,'16a'!$G:$G,"pipino il breve")</f>
        <v>102.85</v>
      </c>
      <c r="G76" s="2">
        <f>_xlfn.XLOOKUP(B76,'17a'!$A:$A,'17a'!$G:$G,"pipino il breve")</f>
        <v>103.21</v>
      </c>
      <c r="H76" s="2"/>
      <c r="I76" s="2"/>
      <c r="J76" s="2"/>
      <c r="K76" s="2"/>
      <c r="L76" s="2">
        <f>_xlfn.XLOOKUP(B76,'22a'!$A:$A,'22a'!$G:$G,"pipino il breve")</f>
        <v>103.35</v>
      </c>
      <c r="M76" s="2">
        <f>_xlfn.XLOOKUP(B76,'23a'!$A:$A,'23a'!$G:$G,"pipino il breve")</f>
        <v>103.21</v>
      </c>
      <c r="N76" s="2">
        <f>_xlfn.XLOOKUP(B76,'24a'!$A:$A,'24a'!$G:$G,"pipino il breve")</f>
        <v>103.66</v>
      </c>
      <c r="O76" s="3">
        <v>103.47</v>
      </c>
      <c r="P76" s="3"/>
      <c r="Q76" s="3"/>
      <c r="R76">
        <f>_xlfn.XLOOKUP(B76,'28'!$A:$A,'28'!$G:$G,"pipino il breve")</f>
        <v>103.46</v>
      </c>
      <c r="S76">
        <f>_xlfn.XLOOKUP(B76,'29'!$A:$A,'29'!$G:$G,"pipino il breve")</f>
        <v>103.39</v>
      </c>
      <c r="T76" s="11">
        <f>_xlfn.XLOOKUP(B76,'30'!$A:$A,'30'!$G:$G,"pipino il breve")</f>
        <v>103.52</v>
      </c>
      <c r="U76" s="3"/>
      <c r="V76">
        <f>_xlfn.XLOOKUP(B76,'2'!$A:$A,'2'!$G:$G,"pipino il breve")</f>
        <v>103.38</v>
      </c>
      <c r="Y76">
        <f>_xlfn.XLOOKUP(B76,'5'!$A:$A,'5'!$G:$G,"pipino il breve")</f>
        <v>103.3</v>
      </c>
      <c r="Z76">
        <f>_xlfn.XLOOKUP(B76,'6'!$A:$A,'6'!$G:$G,"pipino il breve")</f>
        <v>103.28</v>
      </c>
      <c r="AA76">
        <f>_xlfn.XLOOKUP(B76,'7'!$A:$A,'7'!$G:$G,"pipino il breve")</f>
        <v>103.65</v>
      </c>
      <c r="AB76">
        <f>_xlfn.XLOOKUP(B76,'8'!$A:$A,'8'!$G:$G,"pipino il breve")</f>
        <v>103.52</v>
      </c>
      <c r="AC76">
        <f>_xlfn.XLOOKUP(B76,'9'!$A:$A,'9'!$G:$G,"pipino il breve")</f>
        <v>103.35</v>
      </c>
      <c r="AF76">
        <f>_xlfn.XLOOKUP(B76,'12'!$A:$A,'12'!$G:$G,"pipino il breve")</f>
        <v>102.85</v>
      </c>
      <c r="AG76">
        <f>_xlfn.XLOOKUP(B76,'13'!$A:$A,'13'!$G:$G,"pipino il breve")</f>
        <v>102.82</v>
      </c>
      <c r="AH76">
        <f>_xlfn.XLOOKUP(B76,'14'!$A:$A,'14'!$G:$G,"pipino il breve")</f>
        <v>102.73</v>
      </c>
      <c r="AI76">
        <f>_xlfn.XLOOKUP(B76,'15'!$A:$A,'15'!$G:$G,"pipino il breve")</f>
        <v>102.97</v>
      </c>
    </row>
    <row r="77" spans="1:35" x14ac:dyDescent="0.2">
      <c r="A77">
        <v>76</v>
      </c>
      <c r="B77" s="2" t="s">
        <v>70</v>
      </c>
      <c r="C77" s="3">
        <v>1.9</v>
      </c>
      <c r="D77" s="2" t="s">
        <v>182</v>
      </c>
      <c r="E77" s="2">
        <f>_xlfn.XLOOKUP(B77,'15a'!$A:$A,'15a'!$G:$G,"pipino il breve")</f>
        <v>101.658</v>
      </c>
      <c r="F77" s="2">
        <f>_xlfn.XLOOKUP(B77,'16a'!$A:$A,'16a'!$G:$G,"pipino il breve")</f>
        <v>101.681</v>
      </c>
      <c r="G77" s="2">
        <f>_xlfn.XLOOKUP(B77,'17a'!$A:$A,'17a'!$G:$G,"pipino il breve")</f>
        <v>101.711</v>
      </c>
      <c r="H77" s="2"/>
      <c r="I77" s="2"/>
      <c r="J77" s="2"/>
      <c r="K77" s="2"/>
      <c r="L77" s="2">
        <f>_xlfn.XLOOKUP(B77,'22a'!$A:$A,'22a'!$G:$G,"pipino il breve")</f>
        <v>101.791</v>
      </c>
      <c r="M77" s="2">
        <f>_xlfn.XLOOKUP(B77,'23a'!$A:$A,'23a'!$G:$G,"pipino il breve")</f>
        <v>101.71899999999999</v>
      </c>
      <c r="N77" s="2">
        <f>_xlfn.XLOOKUP(B77,'24a'!$A:$A,'24a'!$G:$G,"pipino il breve")</f>
        <v>101.764</v>
      </c>
      <c r="O77" s="3">
        <v>101.8</v>
      </c>
      <c r="P77" s="3"/>
      <c r="Q77" s="3"/>
      <c r="R77">
        <f>_xlfn.XLOOKUP(B77,'28'!$A:$A,'28'!$G:$G,"pipino il breve")</f>
        <v>101.745</v>
      </c>
      <c r="S77">
        <f>_xlfn.XLOOKUP(B77,'29'!$A:$A,'29'!$G:$G,"pipino il breve")</f>
        <v>101.73</v>
      </c>
      <c r="T77" s="11">
        <f>_xlfn.XLOOKUP(B77,'30'!$A:$A,'30'!$G:$G,"pipino il breve")</f>
        <v>101.708</v>
      </c>
      <c r="U77" s="3"/>
      <c r="V77">
        <f>_xlfn.XLOOKUP(B77,'2'!$A:$A,'2'!$G:$G,"pipino il breve")</f>
        <v>101.681</v>
      </c>
      <c r="Y77">
        <f>_xlfn.XLOOKUP(B77,'5'!$A:$A,'5'!$G:$G,"pipino il breve")</f>
        <v>101.684</v>
      </c>
      <c r="Z77">
        <f>_xlfn.XLOOKUP(B77,'6'!$A:$A,'6'!$G:$G,"pipino il breve")</f>
        <v>101.697</v>
      </c>
      <c r="AA77">
        <f>_xlfn.XLOOKUP(B77,'7'!$A:$A,'7'!$G:$G,"pipino il breve")</f>
        <v>101.70099999999999</v>
      </c>
      <c r="AB77">
        <f>_xlfn.XLOOKUP(B77,'8'!$A:$A,'8'!$G:$G,"pipino il breve")</f>
        <v>101.69499999999999</v>
      </c>
      <c r="AC77">
        <f>_xlfn.XLOOKUP(B77,'9'!$A:$A,'9'!$G:$G,"pipino il breve")</f>
        <v>101.669</v>
      </c>
      <c r="AF77">
        <f>_xlfn.XLOOKUP(B77,'12'!$A:$A,'12'!$G:$G,"pipino il breve")</f>
        <v>101.563</v>
      </c>
      <c r="AG77">
        <f>_xlfn.XLOOKUP(B77,'13'!$A:$A,'13'!$G:$G,"pipino il breve")</f>
        <v>101.559</v>
      </c>
      <c r="AH77">
        <f>_xlfn.XLOOKUP(B77,'14'!$A:$A,'14'!$G:$G,"pipino il breve")</f>
        <v>101.572</v>
      </c>
      <c r="AI77">
        <f>_xlfn.XLOOKUP(B77,'15'!$A:$A,'15'!$G:$G,"pipino il breve")</f>
        <v>101.572</v>
      </c>
    </row>
    <row r="78" spans="1:35" x14ac:dyDescent="0.2">
      <c r="A78">
        <v>77</v>
      </c>
      <c r="B78" s="2" t="s">
        <v>61</v>
      </c>
      <c r="C78" s="3">
        <v>1.4</v>
      </c>
      <c r="D78" s="2" t="s">
        <v>183</v>
      </c>
      <c r="E78" s="2">
        <f>_xlfn.XLOOKUP(B78,'15a'!$A:$A,'15a'!$G:$G,"pipino il breve")</f>
        <v>100.98</v>
      </c>
      <c r="F78" s="2">
        <f>_xlfn.XLOOKUP(B78,'16a'!$A:$A,'16a'!$G:$G,"pipino il breve")</f>
        <v>101.19</v>
      </c>
      <c r="G78" s="2">
        <f>_xlfn.XLOOKUP(B78,'17a'!$A:$A,'17a'!$G:$G,"pipino il breve")</f>
        <v>101.36</v>
      </c>
      <c r="H78" s="2"/>
      <c r="I78" s="2"/>
      <c r="J78" s="2"/>
      <c r="K78" s="2"/>
      <c r="L78" s="2">
        <f>_xlfn.XLOOKUP(B78,'22a'!$A:$A,'22a'!$G:$G,"pipino il breve")</f>
        <v>101.46</v>
      </c>
      <c r="M78" s="2">
        <f>_xlfn.XLOOKUP(B78,'23a'!$A:$A,'23a'!$G:$G,"pipino il breve")</f>
        <v>101.34</v>
      </c>
      <c r="N78" s="2">
        <f>_xlfn.XLOOKUP(B78,'24a'!$A:$A,'24a'!$G:$G,"pipino il breve")</f>
        <v>101.74</v>
      </c>
      <c r="O78" s="3">
        <v>101.5</v>
      </c>
      <c r="P78" s="3"/>
      <c r="Q78" s="3"/>
      <c r="R78">
        <f>_xlfn.XLOOKUP(B78,'28'!$A:$A,'28'!$G:$G,"pipino il breve")</f>
        <v>101.34</v>
      </c>
      <c r="S78">
        <f>_xlfn.XLOOKUP(B78,'29'!$A:$A,'29'!$G:$G,"pipino il breve")</f>
        <v>101.49</v>
      </c>
      <c r="T78" s="11">
        <f>_xlfn.XLOOKUP(B78,'30'!$A:$A,'30'!$G:$G,"pipino il breve")</f>
        <v>101.6</v>
      </c>
      <c r="U78" s="3"/>
      <c r="V78">
        <f>_xlfn.XLOOKUP(B78,'2'!$A:$A,'2'!$G:$G,"pipino il breve")</f>
        <v>101.43</v>
      </c>
      <c r="Y78">
        <f>_xlfn.XLOOKUP(B78,'5'!$A:$A,'5'!$G:$G,"pipino il breve")</f>
        <v>101.44</v>
      </c>
      <c r="Z78">
        <f>_xlfn.XLOOKUP(B78,'6'!$A:$A,'6'!$G:$G,"pipino il breve")</f>
        <v>101.43</v>
      </c>
      <c r="AA78">
        <f>_xlfn.XLOOKUP(B78,'7'!$A:$A,'7'!$G:$G,"pipino il breve")</f>
        <v>101.66</v>
      </c>
      <c r="AB78">
        <f>_xlfn.XLOOKUP(B78,'8'!$A:$A,'8'!$G:$G,"pipino il breve")</f>
        <v>101.52</v>
      </c>
      <c r="AC78">
        <f>_xlfn.XLOOKUP(B78,'9'!$A:$A,'9'!$G:$G,"pipino il breve")</f>
        <v>101.38</v>
      </c>
      <c r="AF78">
        <f>_xlfn.XLOOKUP(B78,'12'!$A:$A,'12'!$G:$G,"pipino il breve")</f>
        <v>101.02</v>
      </c>
      <c r="AG78">
        <f>_xlfn.XLOOKUP(B78,'13'!$A:$A,'13'!$G:$G,"pipino il breve")</f>
        <v>100.95</v>
      </c>
      <c r="AH78">
        <f>_xlfn.XLOOKUP(B78,'14'!$A:$A,'14'!$G:$G,"pipino il breve")</f>
        <v>100.9</v>
      </c>
      <c r="AI78">
        <f>_xlfn.XLOOKUP(B78,'15'!$A:$A,'15'!$G:$G,"pipino il breve")</f>
        <v>101.12</v>
      </c>
    </row>
    <row r="79" spans="1:35" x14ac:dyDescent="0.2">
      <c r="A79">
        <v>78</v>
      </c>
      <c r="B79" s="2" t="s">
        <v>42</v>
      </c>
      <c r="C79" s="3">
        <v>0.47499999999999998</v>
      </c>
      <c r="D79" s="2" t="s">
        <v>184</v>
      </c>
      <c r="E79" s="2">
        <f>_xlfn.XLOOKUP(B79,'15a'!$A:$A,'15a'!$G:$G,"pipino il breve")</f>
        <v>97.36</v>
      </c>
      <c r="F79" s="2">
        <f>_xlfn.XLOOKUP(B79,'16a'!$A:$A,'16a'!$G:$G,"pipino il breve")</f>
        <v>97.4</v>
      </c>
      <c r="G79" s="2">
        <f>_xlfn.XLOOKUP(B79,'17a'!$A:$A,'17a'!$G:$G,"pipino il breve")</f>
        <v>97.87</v>
      </c>
      <c r="H79" s="2"/>
      <c r="I79" s="2"/>
      <c r="J79" s="2"/>
      <c r="K79" s="2"/>
      <c r="L79" s="2">
        <f>_xlfn.XLOOKUP(B79,'22a'!$A:$A,'22a'!$G:$G,"pipino il breve")</f>
        <v>97.64</v>
      </c>
      <c r="M79" s="2">
        <f>_xlfn.XLOOKUP(B79,'23a'!$A:$A,'23a'!$G:$G,"pipino il breve")</f>
        <v>97.57</v>
      </c>
      <c r="N79" s="2">
        <f>_xlfn.XLOOKUP(B79,'24a'!$A:$A,'24a'!$G:$G,"pipino il breve")</f>
        <v>97.84</v>
      </c>
      <c r="O79" s="3">
        <v>97.63</v>
      </c>
      <c r="P79" s="3"/>
      <c r="Q79" s="3"/>
      <c r="R79">
        <f>_xlfn.XLOOKUP(B79,'28'!$A:$A,'28'!$G:$G,"pipino il breve")</f>
        <v>97.66</v>
      </c>
      <c r="S79">
        <f>_xlfn.XLOOKUP(B79,'29'!$A:$A,'29'!$G:$G,"pipino il breve")</f>
        <v>97.64</v>
      </c>
      <c r="T79" s="11">
        <f>_xlfn.XLOOKUP(B79,'30'!$A:$A,'30'!$G:$G,"pipino il breve")</f>
        <v>97.71</v>
      </c>
      <c r="U79" s="3"/>
      <c r="V79">
        <f>_xlfn.XLOOKUP(B79,'2'!$A:$A,'2'!$G:$G,"pipino il breve")</f>
        <v>97.72</v>
      </c>
      <c r="Y79">
        <f>_xlfn.XLOOKUP(B79,'5'!$A:$A,'5'!$G:$G,"pipino il breve")</f>
        <v>97.63</v>
      </c>
      <c r="Z79">
        <f>_xlfn.XLOOKUP(B79,'6'!$A:$A,'6'!$G:$G,"pipino il breve")</f>
        <v>97.67</v>
      </c>
      <c r="AA79">
        <f>_xlfn.XLOOKUP(B79,'7'!$A:$A,'7'!$G:$G,"pipino il breve")</f>
        <v>97.74</v>
      </c>
      <c r="AB79">
        <f>_xlfn.XLOOKUP(B79,'8'!$A:$A,'8'!$G:$G,"pipino il breve")</f>
        <v>97.67</v>
      </c>
      <c r="AC79">
        <f>_xlfn.XLOOKUP(B79,'9'!$A:$A,'9'!$G:$G,"pipino il breve")</f>
        <v>97.61</v>
      </c>
      <c r="AF79">
        <f>_xlfn.XLOOKUP(B79,'12'!$A:$A,'12'!$G:$G,"pipino il breve")</f>
        <v>97.32</v>
      </c>
      <c r="AG79">
        <f>_xlfn.XLOOKUP(B79,'13'!$A:$A,'13'!$G:$G,"pipino il breve")</f>
        <v>97.4</v>
      </c>
      <c r="AH79">
        <f>_xlfn.XLOOKUP(B79,'14'!$A:$A,'14'!$G:$G,"pipino il breve")</f>
        <v>97.34</v>
      </c>
      <c r="AI79">
        <f>_xlfn.XLOOKUP(B79,'15'!$A:$A,'15'!$G:$G,"pipino il breve")</f>
        <v>97.47</v>
      </c>
    </row>
    <row r="80" spans="1:35" x14ac:dyDescent="0.2">
      <c r="A80">
        <v>79</v>
      </c>
      <c r="B80" s="2" t="s">
        <v>101</v>
      </c>
      <c r="C80" s="3">
        <v>0.6552</v>
      </c>
      <c r="D80" s="2" t="s">
        <v>185</v>
      </c>
      <c r="E80" s="2">
        <f>_xlfn.XLOOKUP(B80,'15a'!$A:$A,'15a'!$G:$G,"pipino il breve")</f>
        <v>100.92</v>
      </c>
      <c r="F80" s="2">
        <f>_xlfn.XLOOKUP(B80,'16a'!$A:$A,'16a'!$G:$G,"pipino il breve")</f>
        <v>101.04</v>
      </c>
      <c r="G80" s="2">
        <f>_xlfn.XLOOKUP(B80,'17a'!$A:$A,'17a'!$G:$G,"pipino il breve")</f>
        <v>101.22</v>
      </c>
      <c r="H80" s="2"/>
      <c r="I80" s="2"/>
      <c r="J80" s="2"/>
      <c r="K80" s="2"/>
      <c r="L80" s="2">
        <f>_xlfn.XLOOKUP(B80,'22a'!$A:$A,'22a'!$G:$G,"pipino il breve")</f>
        <v>101.27</v>
      </c>
      <c r="M80" s="2">
        <f>_xlfn.XLOOKUP(B80,'23a'!$A:$A,'23a'!$G:$G,"pipino il breve")</f>
        <v>101.16</v>
      </c>
      <c r="N80" s="2">
        <f>_xlfn.XLOOKUP(B80,'24a'!$A:$A,'24a'!$G:$G,"pipino il breve")</f>
        <v>101.38</v>
      </c>
      <c r="O80" s="3">
        <v>101.24</v>
      </c>
      <c r="P80" s="3"/>
      <c r="Q80" s="3"/>
      <c r="R80">
        <f>_xlfn.XLOOKUP(B80,'28'!$A:$A,'28'!$G:$G,"pipino il breve")</f>
        <v>101.24</v>
      </c>
      <c r="S80">
        <f>_xlfn.XLOOKUP(B80,'29'!$A:$A,'29'!$G:$G,"pipino il breve")</f>
        <v>101.23</v>
      </c>
      <c r="T80" s="11">
        <f>_xlfn.XLOOKUP(B80,'30'!$A:$A,'30'!$G:$G,"pipino il breve")</f>
        <v>101.33</v>
      </c>
      <c r="U80" s="3"/>
      <c r="V80">
        <f>_xlfn.XLOOKUP(B80,'2'!$A:$A,'2'!$G:$G,"pipino il breve")</f>
        <v>101.22</v>
      </c>
      <c r="Y80">
        <f>_xlfn.XLOOKUP(B80,'5'!$A:$A,'5'!$G:$G,"pipino il breve")</f>
        <v>101.22</v>
      </c>
      <c r="Z80">
        <f>_xlfn.XLOOKUP(B80,'6'!$A:$A,'6'!$G:$G,"pipino il breve")</f>
        <v>101.26</v>
      </c>
      <c r="AA80">
        <f>_xlfn.XLOOKUP(B80,'7'!$A:$A,'7'!$G:$G,"pipino il breve")</f>
        <v>101.28</v>
      </c>
      <c r="AB80">
        <f>_xlfn.XLOOKUP(B80,'8'!$A:$A,'8'!$G:$G,"pipino il breve")</f>
        <v>101.28</v>
      </c>
      <c r="AC80">
        <f>_xlfn.XLOOKUP(B80,'9'!$A:$A,'9'!$G:$G,"pipino il breve")</f>
        <v>101.16</v>
      </c>
      <c r="AF80">
        <f>_xlfn.XLOOKUP(B80,'12'!$A:$A,'12'!$G:$G,"pipino il breve")</f>
        <v>100.8</v>
      </c>
      <c r="AG80">
        <f>_xlfn.XLOOKUP(B80,'13'!$A:$A,'13'!$G:$G,"pipino il breve")</f>
        <v>100.79</v>
      </c>
      <c r="AH80">
        <f>_xlfn.XLOOKUP(B80,'14'!$A:$A,'14'!$G:$G,"pipino il breve")</f>
        <v>100.76</v>
      </c>
      <c r="AI80">
        <f>_xlfn.XLOOKUP(B80,'15'!$A:$A,'15'!$G:$G,"pipino il breve")</f>
        <v>100.88</v>
      </c>
    </row>
    <row r="81" spans="1:35" x14ac:dyDescent="0.2">
      <c r="A81">
        <v>80</v>
      </c>
      <c r="B81" s="2" t="s">
        <v>71</v>
      </c>
      <c r="C81" s="3">
        <v>1.85</v>
      </c>
      <c r="D81" s="2" t="s">
        <v>186</v>
      </c>
      <c r="E81" s="2">
        <f>_xlfn.XLOOKUP(B81,'15a'!$A:$A,'15a'!$G:$G,"pipino il breve")</f>
        <v>104.17</v>
      </c>
      <c r="F81" s="2">
        <f>_xlfn.XLOOKUP(B81,'16a'!$A:$A,'16a'!$G:$G,"pipino il breve")</f>
        <v>104.32</v>
      </c>
      <c r="G81" s="2">
        <f>_xlfn.XLOOKUP(B81,'17a'!$A:$A,'17a'!$G:$G,"pipino il breve")</f>
        <v>104.6</v>
      </c>
      <c r="H81" s="2"/>
      <c r="I81" s="2"/>
      <c r="J81" s="2"/>
      <c r="K81" s="2"/>
      <c r="L81" s="2">
        <f>_xlfn.XLOOKUP(B81,'22a'!$A:$A,'22a'!$G:$G,"pipino il breve")</f>
        <v>104.76</v>
      </c>
      <c r="M81" s="2">
        <f>_xlfn.XLOOKUP(B81,'23a'!$A:$A,'23a'!$G:$G,"pipino il breve")</f>
        <v>104.58</v>
      </c>
      <c r="N81" s="2">
        <f>_xlfn.XLOOKUP(B81,'24a'!$A:$A,'24a'!$G:$G,"pipino il breve")</f>
        <v>105.07</v>
      </c>
      <c r="O81" s="3">
        <v>104.84</v>
      </c>
      <c r="P81" s="3"/>
      <c r="Q81" s="3"/>
      <c r="R81">
        <f>_xlfn.XLOOKUP(B81,'28'!$A:$A,'28'!$G:$G,"pipino il breve")</f>
        <v>104.82</v>
      </c>
      <c r="S81">
        <f>_xlfn.XLOOKUP(B81,'29'!$A:$A,'29'!$G:$G,"pipino il breve")</f>
        <v>104.78</v>
      </c>
      <c r="T81" s="11">
        <f>_xlfn.XLOOKUP(B81,'30'!$A:$A,'30'!$G:$G,"pipino il breve")</f>
        <v>104.9</v>
      </c>
      <c r="U81" s="3"/>
      <c r="V81">
        <f>_xlfn.XLOOKUP(B81,'2'!$A:$A,'2'!$G:$G,"pipino il breve")</f>
        <v>104.71</v>
      </c>
      <c r="Y81">
        <f>_xlfn.XLOOKUP(B81,'5'!$A:$A,'5'!$G:$G,"pipino il breve")</f>
        <v>104.77</v>
      </c>
      <c r="Z81">
        <f>_xlfn.XLOOKUP(B81,'6'!$A:$A,'6'!$G:$G,"pipino il breve")</f>
        <v>104.71</v>
      </c>
      <c r="AA81">
        <f>_xlfn.XLOOKUP(B81,'7'!$A:$A,'7'!$G:$G,"pipino il breve")</f>
        <v>105</v>
      </c>
      <c r="AB81">
        <f>_xlfn.XLOOKUP(B81,'8'!$A:$A,'8'!$G:$G,"pipino il breve")</f>
        <v>104.89</v>
      </c>
      <c r="AC81">
        <f>_xlfn.XLOOKUP(B81,'9'!$A:$A,'9'!$G:$G,"pipino il breve")</f>
        <v>104.72</v>
      </c>
      <c r="AF81">
        <f>_xlfn.XLOOKUP(B81,'12'!$A:$A,'12'!$G:$G,"pipino il breve")</f>
        <v>104.23</v>
      </c>
      <c r="AG81">
        <f>_xlfn.XLOOKUP(B81,'13'!$A:$A,'13'!$G:$G,"pipino il breve")</f>
        <v>104.16</v>
      </c>
      <c r="AH81">
        <f>_xlfn.XLOOKUP(B81,'14'!$A:$A,'14'!$G:$G,"pipino il breve")</f>
        <v>104.26</v>
      </c>
      <c r="AI81">
        <f>_xlfn.XLOOKUP(B81,'15'!$A:$A,'15'!$G:$G,"pipino il breve")</f>
        <v>104.34</v>
      </c>
    </row>
    <row r="82" spans="1:35" x14ac:dyDescent="0.2">
      <c r="A82">
        <v>81</v>
      </c>
      <c r="B82" s="2" t="s">
        <v>52</v>
      </c>
      <c r="C82" s="3">
        <v>0.25</v>
      </c>
      <c r="D82" s="2" t="s">
        <v>187</v>
      </c>
      <c r="E82" s="2">
        <f>_xlfn.XLOOKUP(B82,'15a'!$A:$A,'15a'!$G:$G,"pipino il breve")</f>
        <v>94.39</v>
      </c>
      <c r="F82" s="2">
        <f>_xlfn.XLOOKUP(B82,'16a'!$A:$A,'16a'!$G:$G,"pipino il breve")</f>
        <v>94.59</v>
      </c>
      <c r="G82" s="2">
        <f>_xlfn.XLOOKUP(B82,'17a'!$A:$A,'17a'!$G:$G,"pipino il breve")</f>
        <v>94.77</v>
      </c>
      <c r="H82" s="2"/>
      <c r="I82" s="2"/>
      <c r="J82" s="2"/>
      <c r="K82" s="2"/>
      <c r="L82" s="2">
        <f>_xlfn.XLOOKUP(B82,'22a'!$A:$A,'22a'!$G:$G,"pipino il breve")</f>
        <v>94.78</v>
      </c>
      <c r="M82" s="2">
        <f>_xlfn.XLOOKUP(B82,'23a'!$A:$A,'23a'!$G:$G,"pipino il breve")</f>
        <v>95</v>
      </c>
      <c r="N82" s="2">
        <f>_xlfn.XLOOKUP(B82,'24a'!$A:$A,'24a'!$G:$G,"pipino il breve")</f>
        <v>94.98</v>
      </c>
      <c r="O82" s="3">
        <v>94.81</v>
      </c>
      <c r="P82" s="3"/>
      <c r="Q82" s="3"/>
      <c r="R82">
        <f>_xlfn.XLOOKUP(B82,'28'!$A:$A,'28'!$G:$G,"pipino il breve")</f>
        <v>94.85</v>
      </c>
      <c r="S82">
        <f>_xlfn.XLOOKUP(B82,'29'!$A:$A,'29'!$G:$G,"pipino il breve")</f>
        <v>94.92</v>
      </c>
      <c r="T82" s="11">
        <f>_xlfn.XLOOKUP(B82,'30'!$A:$A,'30'!$G:$G,"pipino il breve")</f>
        <v>94.94</v>
      </c>
      <c r="U82" s="3"/>
      <c r="V82">
        <f>_xlfn.XLOOKUP(B82,'2'!$A:$A,'2'!$G:$G,"pipino il breve")</f>
        <v>94.77</v>
      </c>
      <c r="Y82">
        <f>_xlfn.XLOOKUP(B82,'5'!$A:$A,'5'!$G:$G,"pipino il breve")</f>
        <v>94.84</v>
      </c>
      <c r="Z82">
        <f>_xlfn.XLOOKUP(B82,'6'!$A:$A,'6'!$G:$G,"pipino il breve")</f>
        <v>94.85</v>
      </c>
      <c r="AA82">
        <f>_xlfn.XLOOKUP(B82,'7'!$A:$A,'7'!$G:$G,"pipino il breve")</f>
        <v>94.99</v>
      </c>
      <c r="AB82">
        <f>_xlfn.XLOOKUP(B82,'8'!$A:$A,'8'!$G:$G,"pipino il breve")</f>
        <v>94.86</v>
      </c>
      <c r="AC82">
        <f>_xlfn.XLOOKUP(B82,'9'!$A:$A,'9'!$G:$G,"pipino il breve")</f>
        <v>94.99</v>
      </c>
      <c r="AF82">
        <f>_xlfn.XLOOKUP(B82,'12'!$A:$A,'12'!$G:$G,"pipino il breve")</f>
        <v>94.51</v>
      </c>
      <c r="AG82">
        <f>_xlfn.XLOOKUP(B82,'13'!$A:$A,'13'!$G:$G,"pipino il breve")</f>
        <v>94.94</v>
      </c>
      <c r="AH82">
        <f>_xlfn.XLOOKUP(B82,'14'!$A:$A,'14'!$G:$G,"pipino il breve")</f>
        <v>94.44</v>
      </c>
      <c r="AI82">
        <f>_xlfn.XLOOKUP(B82,'15'!$A:$A,'15'!$G:$G,"pipino il breve")</f>
        <v>94.6</v>
      </c>
    </row>
    <row r="83" spans="1:35" x14ac:dyDescent="0.2">
      <c r="A83">
        <v>82</v>
      </c>
      <c r="B83" s="2" t="s">
        <v>90</v>
      </c>
      <c r="C83" s="3">
        <v>1.7250000000000001</v>
      </c>
      <c r="D83" s="2" t="s">
        <v>188</v>
      </c>
      <c r="E83" s="2">
        <f>_xlfn.XLOOKUP(B83,'15a'!$A:$A,'15a'!$G:$G,"pipino il breve")</f>
        <v>102.88</v>
      </c>
      <c r="F83" s="2">
        <f>_xlfn.XLOOKUP(B83,'16a'!$A:$A,'16a'!$G:$G,"pipino il breve")</f>
        <v>102.94</v>
      </c>
      <c r="G83" s="2">
        <f>_xlfn.XLOOKUP(B83,'17a'!$A:$A,'17a'!$G:$G,"pipino il breve")</f>
        <v>103.05</v>
      </c>
      <c r="H83" s="2"/>
      <c r="I83" s="2"/>
      <c r="J83" s="2"/>
      <c r="K83" s="2"/>
      <c r="L83" s="2">
        <f>_xlfn.XLOOKUP(B83,'22a'!$A:$A,'22a'!$G:$G,"pipino il breve")</f>
        <v>103.17</v>
      </c>
      <c r="M83" s="2">
        <f>_xlfn.XLOOKUP(B83,'23a'!$A:$A,'23a'!$G:$G,"pipino il breve")</f>
        <v>103</v>
      </c>
      <c r="N83" s="2">
        <f>_xlfn.XLOOKUP(B83,'24a'!$A:$A,'24a'!$G:$G,"pipino il breve")</f>
        <v>103.2</v>
      </c>
      <c r="O83" s="3">
        <v>103.09</v>
      </c>
      <c r="P83" s="3"/>
      <c r="Q83" s="3"/>
      <c r="R83">
        <f>_xlfn.XLOOKUP(B83,'28'!$A:$A,'28'!$G:$G,"pipino il breve")</f>
        <v>103.09</v>
      </c>
      <c r="S83">
        <f>_xlfn.XLOOKUP(B83,'29'!$A:$A,'29'!$G:$G,"pipino il breve")</f>
        <v>103.07</v>
      </c>
      <c r="T83" s="11">
        <f>_xlfn.XLOOKUP(B83,'30'!$A:$A,'30'!$G:$G,"pipino il breve")</f>
        <v>103.15</v>
      </c>
      <c r="U83" s="3"/>
      <c r="V83">
        <f>_xlfn.XLOOKUP(B83,'2'!$A:$A,'2'!$G:$G,"pipino il breve")</f>
        <v>103.01</v>
      </c>
      <c r="Y83">
        <f>_xlfn.XLOOKUP(B83,'5'!$A:$A,'5'!$G:$G,"pipino il breve")</f>
        <v>103.04</v>
      </c>
      <c r="Z83">
        <f>_xlfn.XLOOKUP(B83,'6'!$A:$A,'6'!$G:$G,"pipino il breve")</f>
        <v>103.01</v>
      </c>
      <c r="AA83">
        <f>_xlfn.XLOOKUP(B83,'7'!$A:$A,'7'!$G:$G,"pipino il breve")</f>
        <v>103.04</v>
      </c>
      <c r="AB83">
        <f>_xlfn.XLOOKUP(B83,'8'!$A:$A,'8'!$G:$G,"pipino il breve")</f>
        <v>103.04</v>
      </c>
      <c r="AC83">
        <f>_xlfn.XLOOKUP(B83,'9'!$A:$A,'9'!$G:$G,"pipino il breve")</f>
        <v>102.97</v>
      </c>
      <c r="AF83">
        <f>_xlfn.XLOOKUP(B83,'12'!$A:$A,'12'!$G:$G,"pipino il breve")</f>
        <v>102.71</v>
      </c>
      <c r="AG83">
        <f>_xlfn.XLOOKUP(B83,'13'!$A:$A,'13'!$G:$G,"pipino il breve")</f>
        <v>102.68</v>
      </c>
      <c r="AH83">
        <f>_xlfn.XLOOKUP(B83,'14'!$A:$A,'14'!$G:$G,"pipino il breve")</f>
        <v>102.68</v>
      </c>
      <c r="AI83">
        <f>_xlfn.XLOOKUP(B83,'15'!$A:$A,'15'!$G:$G,"pipino il breve")</f>
        <v>102.76</v>
      </c>
    </row>
    <row r="84" spans="1:35" x14ac:dyDescent="0.2">
      <c r="A84">
        <v>83</v>
      </c>
      <c r="B84" s="2" t="s">
        <v>75</v>
      </c>
      <c r="C84" s="3">
        <v>1.925</v>
      </c>
      <c r="D84" s="2" t="s">
        <v>189</v>
      </c>
      <c r="E84" s="2">
        <f>_xlfn.XLOOKUP(B84,'15a'!$A:$A,'15a'!$G:$G,"pipino il breve")</f>
        <v>102.46</v>
      </c>
      <c r="F84" s="2">
        <f>_xlfn.XLOOKUP(B84,'16a'!$A:$A,'16a'!$G:$G,"pipino il breve")</f>
        <v>102.51</v>
      </c>
      <c r="G84" s="2">
        <f>_xlfn.XLOOKUP(B84,'17a'!$A:$A,'17a'!$G:$G,"pipino il breve")</f>
        <v>102.55</v>
      </c>
      <c r="H84" s="2"/>
      <c r="I84" s="2"/>
      <c r="J84" s="2"/>
      <c r="K84" s="2"/>
      <c r="L84" s="2">
        <f>_xlfn.XLOOKUP(B84,'22a'!$A:$A,'22a'!$G:$G,"pipino il breve")</f>
        <v>102.63</v>
      </c>
      <c r="M84" s="2">
        <f>_xlfn.XLOOKUP(B84,'23a'!$A:$A,'23a'!$G:$G,"pipino il breve")</f>
        <v>102.55</v>
      </c>
      <c r="N84" s="2">
        <f>_xlfn.XLOOKUP(B84,'24a'!$A:$A,'24a'!$G:$G,"pipino il breve")</f>
        <v>102.59</v>
      </c>
      <c r="O84" s="3">
        <v>102.56</v>
      </c>
      <c r="P84" s="3"/>
      <c r="Q84" s="3"/>
      <c r="R84">
        <f>_xlfn.XLOOKUP(B84,'28'!$A:$A,'28'!$G:$G,"pipino il breve")</f>
        <v>102.55</v>
      </c>
      <c r="S84">
        <f>_xlfn.XLOOKUP(B84,'29'!$A:$A,'29'!$G:$G,"pipino il breve")</f>
        <v>102.51</v>
      </c>
      <c r="T84" s="11">
        <f>_xlfn.XLOOKUP(B84,'30'!$A:$A,'30'!$G:$G,"pipino il breve")</f>
        <v>102.52</v>
      </c>
      <c r="U84" s="3"/>
      <c r="V84">
        <f>_xlfn.XLOOKUP(B84,'2'!$A:$A,'2'!$G:$G,"pipino il breve")</f>
        <v>102.48</v>
      </c>
      <c r="Y84">
        <f>_xlfn.XLOOKUP(B84,'5'!$A:$A,'5'!$G:$G,"pipino il breve")</f>
        <v>102.5</v>
      </c>
      <c r="Z84">
        <f>_xlfn.XLOOKUP(B84,'6'!$A:$A,'6'!$G:$G,"pipino il breve")</f>
        <v>102.49</v>
      </c>
      <c r="AA84">
        <f>_xlfn.XLOOKUP(B84,'7'!$A:$A,'7'!$G:$G,"pipino il breve")</f>
        <v>102.56</v>
      </c>
      <c r="AB84">
        <f>_xlfn.XLOOKUP(B84,'8'!$A:$A,'8'!$G:$G,"pipino il breve")</f>
        <v>102.5</v>
      </c>
      <c r="AC84">
        <f>_xlfn.XLOOKUP(B84,'9'!$A:$A,'9'!$G:$G,"pipino il breve")</f>
        <v>102.46</v>
      </c>
      <c r="AF84">
        <f>_xlfn.XLOOKUP(B84,'12'!$A:$A,'12'!$G:$G,"pipino il breve")</f>
        <v>102.31</v>
      </c>
      <c r="AG84">
        <f>_xlfn.XLOOKUP(B84,'13'!$A:$A,'13'!$G:$G,"pipino il breve")</f>
        <v>102.3</v>
      </c>
      <c r="AH84">
        <f>_xlfn.XLOOKUP(B84,'14'!$A:$A,'14'!$G:$G,"pipino il breve")</f>
        <v>102.3</v>
      </c>
      <c r="AI84">
        <f>_xlfn.XLOOKUP(B84,'15'!$A:$A,'15'!$G:$G,"pipino il breve")</f>
        <v>102.33</v>
      </c>
    </row>
    <row r="85" spans="1:35" x14ac:dyDescent="0.2">
      <c r="A85">
        <v>84</v>
      </c>
      <c r="B85" s="2" t="s">
        <v>29</v>
      </c>
      <c r="C85" s="3">
        <v>1.25</v>
      </c>
      <c r="D85" s="2" t="s">
        <v>190</v>
      </c>
      <c r="E85" s="2">
        <f>_xlfn.XLOOKUP(B85,'15a'!$A:$A,'15a'!$G:$G,"pipino il breve")</f>
        <v>100.273</v>
      </c>
      <c r="F85" s="2">
        <f>_xlfn.XLOOKUP(B85,'16a'!$A:$A,'16a'!$G:$G,"pipino il breve")</f>
        <v>100.253</v>
      </c>
      <c r="G85" s="2">
        <f>_xlfn.XLOOKUP(B85,'17a'!$A:$A,'17a'!$G:$G,"pipino il breve")</f>
        <v>100.312</v>
      </c>
      <c r="H85" s="2"/>
      <c r="I85" s="2"/>
      <c r="J85" s="2"/>
      <c r="K85" s="2"/>
      <c r="L85" s="2">
        <f>_xlfn.XLOOKUP(B85,'22a'!$A:$A,'22a'!$G:$G,"pipino il breve")</f>
        <v>100.3</v>
      </c>
      <c r="M85" s="2">
        <f>_xlfn.XLOOKUP(B85,'23a'!$A:$A,'23a'!$G:$G,"pipino il breve")</f>
        <v>100.285</v>
      </c>
      <c r="N85" s="2">
        <f>_xlfn.XLOOKUP(B85,'24a'!$A:$A,'24a'!$G:$G,"pipino il breve")</f>
        <v>100.3</v>
      </c>
      <c r="O85" s="3">
        <v>100.298</v>
      </c>
      <c r="P85" s="3"/>
      <c r="Q85" s="3"/>
      <c r="R85">
        <f>_xlfn.XLOOKUP(B85,'28'!$A:$A,'28'!$G:$G,"pipino il breve")</f>
        <v>100.304</v>
      </c>
      <c r="S85">
        <f>_xlfn.XLOOKUP(B85,'29'!$A:$A,'29'!$G:$G,"pipino il breve")</f>
        <v>100.294</v>
      </c>
      <c r="T85" s="11">
        <f>_xlfn.XLOOKUP(B85,'30'!$A:$A,'30'!$G:$G,"pipino il breve")</f>
        <v>100.30500000000001</v>
      </c>
      <c r="U85" s="3"/>
      <c r="V85">
        <f>_xlfn.XLOOKUP(B85,'2'!$A:$A,'2'!$G:$G,"pipino il breve")</f>
        <v>100.28100000000001</v>
      </c>
      <c r="Y85">
        <f>_xlfn.XLOOKUP(B85,'5'!$A:$A,'5'!$G:$G,"pipino il breve")</f>
        <v>100.282</v>
      </c>
      <c r="Z85">
        <f>_xlfn.XLOOKUP(B85,'6'!$A:$A,'6'!$G:$G,"pipino il breve")</f>
        <v>100.28400000000001</v>
      </c>
      <c r="AA85">
        <f>_xlfn.XLOOKUP(B85,'7'!$A:$A,'7'!$G:$G,"pipino il breve")</f>
        <v>100.33</v>
      </c>
      <c r="AB85">
        <f>_xlfn.XLOOKUP(B85,'8'!$A:$A,'8'!$G:$G,"pipino il breve")</f>
        <v>100.27200000000001</v>
      </c>
      <c r="AC85">
        <f>_xlfn.XLOOKUP(B85,'9'!$A:$A,'9'!$G:$G,"pipino il breve")</f>
        <v>100.26600000000001</v>
      </c>
      <c r="AF85">
        <f>_xlfn.XLOOKUP(B85,'12'!$A:$A,'12'!$G:$G,"pipino il breve")</f>
        <v>100.238</v>
      </c>
      <c r="AG85">
        <f>_xlfn.XLOOKUP(B85,'13'!$A:$A,'13'!$G:$G,"pipino il breve")</f>
        <v>100.245</v>
      </c>
      <c r="AH85">
        <f>_xlfn.XLOOKUP(B85,'14'!$A:$A,'14'!$G:$G,"pipino il breve")</f>
        <v>100.242</v>
      </c>
      <c r="AI85">
        <f>_xlfn.XLOOKUP(B85,'15'!$A:$A,'15'!$G:$G,"pipino il breve")</f>
        <v>100.239</v>
      </c>
    </row>
    <row r="86" spans="1:35" x14ac:dyDescent="0.2">
      <c r="A86">
        <v>85</v>
      </c>
      <c r="B86" s="2" t="s">
        <v>94</v>
      </c>
      <c r="C86" s="3">
        <v>2.15</v>
      </c>
      <c r="D86" s="2" t="s">
        <v>191</v>
      </c>
      <c r="E86" s="2">
        <f>_xlfn.XLOOKUP(B86,'15a'!$A:$A,'15a'!$G:$G,"pipino il breve")</f>
        <v>97.92</v>
      </c>
      <c r="F86" s="2">
        <f>_xlfn.XLOOKUP(B86,'16a'!$A:$A,'16a'!$G:$G,"pipino il breve")</f>
        <v>97.83</v>
      </c>
      <c r="G86" s="2">
        <f>_xlfn.XLOOKUP(B86,'17a'!$A:$A,'17a'!$G:$G,"pipino il breve")</f>
        <v>98.24</v>
      </c>
      <c r="H86" s="2"/>
      <c r="I86" s="2"/>
      <c r="J86" s="2"/>
      <c r="K86" s="2"/>
      <c r="L86" s="2">
        <f>_xlfn.XLOOKUP(B86,'22a'!$A:$A,'22a'!$G:$G,"pipino il breve")</f>
        <v>98.82</v>
      </c>
      <c r="M86" s="2">
        <f>_xlfn.XLOOKUP(B86,'23a'!$A:$A,'23a'!$G:$G,"pipino il breve")</f>
        <v>98.8</v>
      </c>
      <c r="N86" s="2">
        <f>_xlfn.XLOOKUP(B86,'24a'!$A:$A,'24a'!$G:$G,"pipino il breve")</f>
        <v>99.71</v>
      </c>
      <c r="O86" s="3">
        <v>99.15</v>
      </c>
      <c r="P86" s="3"/>
      <c r="Q86" s="3"/>
      <c r="R86">
        <f>_xlfn.XLOOKUP(B86,'28'!$A:$A,'28'!$G:$G,"pipino il breve")</f>
        <v>98.75</v>
      </c>
      <c r="S86">
        <f>_xlfn.XLOOKUP(B86,'29'!$A:$A,'29'!$G:$G,"pipino il breve")</f>
        <v>98.66</v>
      </c>
      <c r="T86" s="11">
        <f>_xlfn.XLOOKUP(B86,'30'!$A:$A,'30'!$G:$G,"pipino il breve")</f>
        <v>99.33</v>
      </c>
      <c r="U86" s="3"/>
      <c r="V86">
        <f>_xlfn.XLOOKUP(B86,'2'!$A:$A,'2'!$G:$G,"pipino il breve")</f>
        <v>98.28</v>
      </c>
      <c r="Y86">
        <f>_xlfn.XLOOKUP(B86,'5'!$A:$A,'5'!$G:$G,"pipino il breve")</f>
        <v>98.41</v>
      </c>
      <c r="Z86">
        <f>_xlfn.XLOOKUP(B86,'6'!$A:$A,'6'!$G:$G,"pipino il breve")</f>
        <v>98.02</v>
      </c>
      <c r="AA86">
        <f>_xlfn.XLOOKUP(B86,'7'!$A:$A,'7'!$G:$G,"pipino il breve")</f>
        <v>99.26</v>
      </c>
      <c r="AB86">
        <f>_xlfn.XLOOKUP(B86,'8'!$A:$A,'8'!$G:$G,"pipino il breve")</f>
        <v>98.8</v>
      </c>
      <c r="AC86">
        <f>_xlfn.XLOOKUP(B86,'9'!$A:$A,'9'!$G:$G,"pipino il breve")</f>
        <v>98.35</v>
      </c>
      <c r="AF86">
        <f>_xlfn.XLOOKUP(B86,'12'!$A:$A,'12'!$G:$G,"pipino il breve")</f>
        <v>97.9</v>
      </c>
      <c r="AG86">
        <f>_xlfn.XLOOKUP(B86,'13'!$A:$A,'13'!$G:$G,"pipino il breve")</f>
        <v>97.26</v>
      </c>
      <c r="AH86">
        <f>_xlfn.XLOOKUP(B86,'14'!$A:$A,'14'!$G:$G,"pipino il breve")</f>
        <v>97.15</v>
      </c>
      <c r="AI86">
        <f>_xlfn.XLOOKUP(B86,'15'!$A:$A,'15'!$G:$G,"pipino il breve")</f>
        <v>98.27</v>
      </c>
    </row>
    <row r="87" spans="1:35" x14ac:dyDescent="0.2">
      <c r="A87">
        <v>86</v>
      </c>
      <c r="B87" s="2" t="s">
        <v>64</v>
      </c>
      <c r="C87" s="3">
        <v>1.75</v>
      </c>
      <c r="D87" s="2" t="s">
        <v>192</v>
      </c>
      <c r="E87" s="2">
        <f>_xlfn.XLOOKUP(B87,'15a'!$A:$A,'15a'!$G:$G,"pipino il breve")</f>
        <v>101.002</v>
      </c>
      <c r="F87" s="2">
        <f>_xlfn.XLOOKUP(B87,'16a'!$A:$A,'16a'!$G:$G,"pipino il breve")</f>
        <v>101.023</v>
      </c>
      <c r="G87" s="2">
        <f>_xlfn.XLOOKUP(B87,'17a'!$A:$A,'17a'!$G:$G,"pipino il breve")</f>
        <v>101.03100000000001</v>
      </c>
      <c r="H87" s="2"/>
      <c r="I87" s="2"/>
      <c r="J87" s="2"/>
      <c r="K87" s="2"/>
      <c r="L87" s="2">
        <f>_xlfn.XLOOKUP(B87,'22a'!$A:$A,'22a'!$G:$G,"pipino il breve")</f>
        <v>101.06399999999999</v>
      </c>
      <c r="M87" s="2">
        <f>_xlfn.XLOOKUP(B87,'23a'!$A:$A,'23a'!$G:$G,"pipino il breve")</f>
        <v>101.029</v>
      </c>
      <c r="N87" s="2">
        <f>_xlfn.XLOOKUP(B87,'24a'!$A:$A,'24a'!$G:$G,"pipino il breve")</f>
        <v>101.053</v>
      </c>
      <c r="O87" s="3">
        <v>101.045</v>
      </c>
      <c r="P87" s="3"/>
      <c r="Q87" s="3"/>
      <c r="R87">
        <f>_xlfn.XLOOKUP(B87,'28'!$A:$A,'28'!$G:$G,"pipino il breve")</f>
        <v>101.057</v>
      </c>
      <c r="S87">
        <f>_xlfn.XLOOKUP(B87,'29'!$A:$A,'29'!$G:$G,"pipino il breve")</f>
        <v>101.038</v>
      </c>
      <c r="T87" s="11">
        <f>_xlfn.XLOOKUP(B87,'30'!$A:$A,'30'!$G:$G,"pipino il breve")</f>
        <v>101.03</v>
      </c>
      <c r="U87" s="3"/>
      <c r="V87">
        <f>_xlfn.XLOOKUP(B87,'2'!$A:$A,'2'!$G:$G,"pipino il breve")</f>
        <v>100.994</v>
      </c>
      <c r="Y87">
        <f>_xlfn.XLOOKUP(B87,'5'!$A:$A,'5'!$G:$G,"pipino il breve")</f>
        <v>101.003</v>
      </c>
      <c r="Z87">
        <f>_xlfn.XLOOKUP(B87,'6'!$A:$A,'6'!$G:$G,"pipino il breve")</f>
        <v>101.004</v>
      </c>
      <c r="AA87">
        <f>_xlfn.XLOOKUP(B87,'7'!$A:$A,'7'!$G:$G,"pipino il breve")</f>
        <v>101.012</v>
      </c>
      <c r="AB87">
        <f>_xlfn.XLOOKUP(B87,'8'!$A:$A,'8'!$G:$G,"pipino il breve")</f>
        <v>100.995</v>
      </c>
      <c r="AC87">
        <f>_xlfn.XLOOKUP(B87,'9'!$A:$A,'9'!$G:$G,"pipino il breve")</f>
        <v>100.98</v>
      </c>
      <c r="AF87">
        <f>_xlfn.XLOOKUP(B87,'12'!$A:$A,'12'!$G:$G,"pipino il breve")</f>
        <v>100.925</v>
      </c>
      <c r="AG87">
        <f>_xlfn.XLOOKUP(B87,'13'!$A:$A,'13'!$G:$G,"pipino il breve")</f>
        <v>100.925</v>
      </c>
      <c r="AH87">
        <f>_xlfn.XLOOKUP(B87,'14'!$A:$A,'14'!$G:$G,"pipino il breve")</f>
        <v>100.91200000000001</v>
      </c>
      <c r="AI87">
        <f>_xlfn.XLOOKUP(B87,'15'!$A:$A,'15'!$G:$G,"pipino il breve")</f>
        <v>100.935</v>
      </c>
    </row>
    <row r="88" spans="1:35" x14ac:dyDescent="0.2">
      <c r="A88">
        <v>87</v>
      </c>
      <c r="B88" s="2" t="s">
        <v>48</v>
      </c>
      <c r="C88" s="3">
        <v>0.125</v>
      </c>
      <c r="D88" s="2" t="s">
        <v>193</v>
      </c>
      <c r="E88" s="2">
        <f>_xlfn.XLOOKUP(B88,'15a'!$A:$A,'15a'!$G:$G,"pipino il breve")</f>
        <v>94.45</v>
      </c>
      <c r="F88" s="2">
        <f>_xlfn.XLOOKUP(B88,'16a'!$A:$A,'16a'!$G:$G,"pipino il breve")</f>
        <v>94.62</v>
      </c>
      <c r="G88" s="2">
        <f>_xlfn.XLOOKUP(B88,'17a'!$A:$A,'17a'!$G:$G,"pipino il breve")</f>
        <v>94.75</v>
      </c>
      <c r="H88" s="2"/>
      <c r="I88" s="2"/>
      <c r="J88" s="2"/>
      <c r="K88" s="2"/>
      <c r="L88" s="2">
        <f>_xlfn.XLOOKUP(B88,'22a'!$A:$A,'22a'!$G:$G,"pipino il breve")</f>
        <v>94.86</v>
      </c>
      <c r="M88" s="2">
        <f>_xlfn.XLOOKUP(B88,'23a'!$A:$A,'23a'!$G:$G,"pipino il breve")</f>
        <v>94.72</v>
      </c>
      <c r="N88" s="2">
        <f>_xlfn.XLOOKUP(B88,'24a'!$A:$A,'24a'!$G:$G,"pipino il breve")</f>
        <v>94.99</v>
      </c>
      <c r="O88" s="3">
        <v>94.85</v>
      </c>
      <c r="P88" s="3"/>
      <c r="Q88" s="3"/>
      <c r="R88">
        <f>_xlfn.XLOOKUP(B88,'28'!$A:$A,'28'!$G:$G,"pipino il breve")</f>
        <v>94.89</v>
      </c>
      <c r="S88">
        <f>_xlfn.XLOOKUP(B88,'29'!$A:$A,'29'!$G:$G,"pipino il breve")</f>
        <v>94.85</v>
      </c>
      <c r="T88" s="11">
        <f>_xlfn.XLOOKUP(B88,'30'!$A:$A,'30'!$G:$G,"pipino il breve")</f>
        <v>94.95</v>
      </c>
      <c r="U88" s="3"/>
      <c r="V88">
        <f>_xlfn.XLOOKUP(B88,'2'!$A:$A,'2'!$G:$G,"pipino il breve")</f>
        <v>95.04</v>
      </c>
      <c r="Y88">
        <f>_xlfn.XLOOKUP(B88,'5'!$A:$A,'5'!$G:$G,"pipino il breve")</f>
        <v>94.9</v>
      </c>
      <c r="Z88">
        <f>_xlfn.XLOOKUP(B88,'6'!$A:$A,'6'!$G:$G,"pipino il breve")</f>
        <v>94.9</v>
      </c>
      <c r="AA88">
        <f>_xlfn.XLOOKUP(B88,'7'!$A:$A,'7'!$G:$G,"pipino il breve")</f>
        <v>95</v>
      </c>
      <c r="AB88">
        <f>_xlfn.XLOOKUP(B88,'8'!$A:$A,'8'!$G:$G,"pipino il breve")</f>
        <v>94.98</v>
      </c>
      <c r="AC88">
        <f>_xlfn.XLOOKUP(B88,'9'!$A:$A,'9'!$G:$G,"pipino il breve")</f>
        <v>94.83</v>
      </c>
      <c r="AF88">
        <f>_xlfn.XLOOKUP(B88,'12'!$A:$A,'12'!$G:$G,"pipino il breve")</f>
        <v>94.51</v>
      </c>
      <c r="AG88">
        <f>_xlfn.XLOOKUP(B88,'13'!$A:$A,'13'!$G:$G,"pipino il breve")</f>
        <v>94.72</v>
      </c>
      <c r="AH88">
        <f>_xlfn.XLOOKUP(B88,'14'!$A:$A,'14'!$G:$G,"pipino il breve")</f>
        <v>94.5</v>
      </c>
      <c r="AI88">
        <f>_xlfn.XLOOKUP(B88,'15'!$A:$A,'15'!$G:$G,"pipino il breve")</f>
        <v>94.64</v>
      </c>
    </row>
    <row r="89" spans="1:35" x14ac:dyDescent="0.2">
      <c r="A89">
        <v>88</v>
      </c>
      <c r="B89" s="2" t="s">
        <v>38</v>
      </c>
      <c r="C89" s="3">
        <v>0.72499999999999998</v>
      </c>
      <c r="D89" s="2" t="s">
        <v>194</v>
      </c>
      <c r="E89" s="2">
        <f>_xlfn.XLOOKUP(B89,'15a'!$A:$A,'15a'!$G:$G,"pipino il breve")</f>
        <v>79.900000000000006</v>
      </c>
      <c r="F89" s="2">
        <f>_xlfn.XLOOKUP(B89,'16a'!$A:$A,'16a'!$G:$G,"pipino il breve")</f>
        <v>80.099999999999994</v>
      </c>
      <c r="G89" s="2">
        <f>_xlfn.XLOOKUP(B89,'17a'!$A:$A,'17a'!$G:$G,"pipino il breve")</f>
        <v>80.5</v>
      </c>
      <c r="H89" s="2"/>
      <c r="I89" s="2"/>
      <c r="J89" s="2"/>
      <c r="K89" s="2"/>
      <c r="L89" s="2">
        <f>_xlfn.XLOOKUP(B89,'22a'!$A:$A,'22a'!$G:$G,"pipino il breve")</f>
        <v>80.680000000000007</v>
      </c>
      <c r="M89" s="2">
        <f>_xlfn.XLOOKUP(B89,'23a'!$A:$A,'23a'!$G:$G,"pipino il breve")</f>
        <v>80.52</v>
      </c>
      <c r="N89" s="2">
        <f>_xlfn.XLOOKUP(B89,'24a'!$A:$A,'24a'!$G:$G,"pipino il breve")</f>
        <v>81.209999999999994</v>
      </c>
      <c r="O89" s="3">
        <v>80.83</v>
      </c>
      <c r="P89" s="3"/>
      <c r="Q89" s="3"/>
      <c r="R89">
        <f>_xlfn.XLOOKUP(B89,'28'!$A:$A,'28'!$G:$G,"pipino il breve")</f>
        <v>80.66</v>
      </c>
      <c r="S89">
        <f>_xlfn.XLOOKUP(B89,'29'!$A:$A,'29'!$G:$G,"pipino il breve")</f>
        <v>80.709999999999994</v>
      </c>
      <c r="T89" s="11">
        <f>_xlfn.XLOOKUP(B89,'30'!$A:$A,'30'!$G:$G,"pipino il breve")</f>
        <v>80.989999999999995</v>
      </c>
      <c r="U89" s="3"/>
      <c r="V89">
        <f>_xlfn.XLOOKUP(B89,'2'!$A:$A,'2'!$G:$G,"pipino il breve")</f>
        <v>80.66</v>
      </c>
      <c r="Y89">
        <f>_xlfn.XLOOKUP(B89,'5'!$A:$A,'5'!$G:$G,"pipino il breve")</f>
        <v>80.77</v>
      </c>
      <c r="Z89">
        <f>_xlfn.XLOOKUP(B89,'6'!$A:$A,'6'!$G:$G,"pipino il breve")</f>
        <v>80.709999999999994</v>
      </c>
      <c r="AA89">
        <f>_xlfn.XLOOKUP(B89,'7'!$A:$A,'7'!$G:$G,"pipino il breve")</f>
        <v>81.180000000000007</v>
      </c>
      <c r="AB89">
        <f>_xlfn.XLOOKUP(B89,'8'!$A:$A,'8'!$G:$G,"pipino il breve")</f>
        <v>81.099999999999994</v>
      </c>
      <c r="AC89">
        <f>_xlfn.XLOOKUP(B89,'9'!$A:$A,'9'!$G:$G,"pipino il breve")</f>
        <v>80.86</v>
      </c>
      <c r="AF89">
        <f>_xlfn.XLOOKUP(B89,'12'!$A:$A,'12'!$G:$G,"pipino il breve")</f>
        <v>80.39</v>
      </c>
      <c r="AG89">
        <f>_xlfn.XLOOKUP(B89,'13'!$A:$A,'13'!$G:$G,"pipino il breve")</f>
        <v>80.239999999999995</v>
      </c>
      <c r="AH89">
        <f>_xlfn.XLOOKUP(B89,'14'!$A:$A,'14'!$G:$G,"pipino il breve")</f>
        <v>80.13</v>
      </c>
      <c r="AI89">
        <f>_xlfn.XLOOKUP(B89,'15'!$A:$A,'15'!$G:$G,"pipino il breve")</f>
        <v>80.7</v>
      </c>
    </row>
    <row r="90" spans="1:35" x14ac:dyDescent="0.2">
      <c r="A90">
        <v>89</v>
      </c>
      <c r="B90" s="2" t="s">
        <v>99</v>
      </c>
      <c r="C90" s="3">
        <v>1.925</v>
      </c>
      <c r="D90" s="2" t="s">
        <v>195</v>
      </c>
      <c r="E90" s="2">
        <f>_xlfn.XLOOKUP(B90,'15a'!$A:$A,'15a'!$G:$G,"pipino il breve")</f>
        <v>97</v>
      </c>
      <c r="F90" s="2">
        <f>_xlfn.XLOOKUP(B90,'16a'!$A:$A,'16a'!$G:$G,"pipino il breve")</f>
        <v>97.2</v>
      </c>
      <c r="G90" s="2">
        <f>_xlfn.XLOOKUP(B90,'17a'!$A:$A,'17a'!$G:$G,"pipino il breve")</f>
        <v>97.59</v>
      </c>
      <c r="H90" s="2"/>
      <c r="I90" s="2"/>
      <c r="J90" s="2"/>
      <c r="K90" s="2"/>
      <c r="L90" s="2">
        <f>_xlfn.XLOOKUP(B90,'22a'!$A:$A,'22a'!$G:$G,"pipino il breve")</f>
        <v>97.88</v>
      </c>
      <c r="M90" s="2">
        <f>_xlfn.XLOOKUP(B90,'23a'!$A:$A,'23a'!$G:$G,"pipino il breve")</f>
        <v>97.72</v>
      </c>
      <c r="N90" s="2">
        <f>_xlfn.XLOOKUP(B90,'24a'!$A:$A,'24a'!$G:$G,"pipino il breve")</f>
        <v>98.58</v>
      </c>
      <c r="O90" s="3">
        <v>98.13</v>
      </c>
      <c r="P90" s="3"/>
      <c r="Q90" s="3"/>
      <c r="R90">
        <f>_xlfn.XLOOKUP(B90,'28'!$A:$A,'28'!$G:$G,"pipino il breve")</f>
        <v>97.95</v>
      </c>
      <c r="S90">
        <f>_xlfn.XLOOKUP(B90,'29'!$A:$A,'29'!$G:$G,"pipino il breve")</f>
        <v>97.84</v>
      </c>
      <c r="T90" s="11">
        <f>_xlfn.XLOOKUP(B90,'30'!$A:$A,'30'!$G:$G,"pipino il breve")</f>
        <v>98.25</v>
      </c>
      <c r="U90" s="3"/>
      <c r="V90">
        <f>_xlfn.XLOOKUP(B90,'2'!$A:$A,'2'!$G:$G,"pipino il breve")</f>
        <v>97.79</v>
      </c>
      <c r="Y90">
        <f>_xlfn.XLOOKUP(B90,'5'!$A:$A,'5'!$G:$G,"pipino il breve")</f>
        <v>97.83</v>
      </c>
      <c r="Z90">
        <f>_xlfn.XLOOKUP(B90,'6'!$A:$A,'6'!$G:$G,"pipino il breve")</f>
        <v>97.57</v>
      </c>
      <c r="AA90">
        <f>_xlfn.XLOOKUP(B90,'7'!$A:$A,'7'!$G:$G,"pipino il breve")</f>
        <v>98.41</v>
      </c>
      <c r="AB90">
        <f>_xlfn.XLOOKUP(B90,'8'!$A:$A,'8'!$G:$G,"pipino il breve")</f>
        <v>98.1</v>
      </c>
      <c r="AC90">
        <f>_xlfn.XLOOKUP(B90,'9'!$A:$A,'9'!$G:$G,"pipino il breve")</f>
        <v>97.78</v>
      </c>
      <c r="AF90">
        <f>_xlfn.XLOOKUP(B90,'12'!$A:$A,'12'!$G:$G,"pipino il breve")</f>
        <v>97.31</v>
      </c>
      <c r="AG90">
        <f>_xlfn.XLOOKUP(B90,'13'!$A:$A,'13'!$G:$G,"pipino il breve")</f>
        <v>96.88</v>
      </c>
      <c r="AH90">
        <f>_xlfn.XLOOKUP(B90,'14'!$A:$A,'14'!$G:$G,"pipino il breve")</f>
        <v>96.85</v>
      </c>
      <c r="AI90">
        <f>_xlfn.XLOOKUP(B90,'15'!$A:$A,'15'!$G:$G,"pipino il breve")</f>
        <v>97.65</v>
      </c>
    </row>
    <row r="91" spans="1:35" x14ac:dyDescent="0.2">
      <c r="A91">
        <v>90</v>
      </c>
      <c r="B91" s="2" t="s">
        <v>59</v>
      </c>
      <c r="C91" s="3">
        <v>0.6</v>
      </c>
      <c r="D91" s="2" t="s">
        <v>196</v>
      </c>
      <c r="E91" s="2">
        <f>_xlfn.XLOOKUP(B91,'15a'!$A:$A,'15a'!$G:$G,"pipino il breve")</f>
        <v>99.674999999999997</v>
      </c>
      <c r="F91" s="2">
        <f>_xlfn.XLOOKUP(B91,'16a'!$A:$A,'16a'!$G:$G,"pipino il breve")</f>
        <v>99.691999999999993</v>
      </c>
      <c r="G91" s="2">
        <f>_xlfn.XLOOKUP(B91,'17a'!$A:$A,'17a'!$G:$G,"pipino il breve")</f>
        <v>99.707999999999998</v>
      </c>
      <c r="H91" s="2"/>
      <c r="I91" s="2"/>
      <c r="J91" s="2"/>
      <c r="K91" s="2"/>
      <c r="L91" s="2">
        <f>_xlfn.XLOOKUP(B91,'22a'!$A:$A,'22a'!$G:$G,"pipino il breve")</f>
        <v>99.718999999999994</v>
      </c>
      <c r="M91" s="2">
        <f>_xlfn.XLOOKUP(B91,'23a'!$A:$A,'23a'!$G:$G,"pipino il breve")</f>
        <v>99.718000000000004</v>
      </c>
      <c r="N91" s="2">
        <f>_xlfn.XLOOKUP(B91,'24a'!$A:$A,'24a'!$G:$G,"pipino il breve")</f>
        <v>99.734999999999999</v>
      </c>
      <c r="O91" s="3">
        <v>99.745999999999995</v>
      </c>
      <c r="P91" s="3"/>
      <c r="Q91" s="3"/>
      <c r="R91">
        <f>_xlfn.XLOOKUP(B91,'28'!$A:$A,'28'!$G:$G,"pipino il breve")</f>
        <v>99.745999999999995</v>
      </c>
      <c r="S91">
        <f>_xlfn.XLOOKUP(B91,'29'!$A:$A,'29'!$G:$G,"pipino il breve")</f>
        <v>99.757999999999996</v>
      </c>
      <c r="T91" s="11">
        <f>_xlfn.XLOOKUP(B91,'30'!$A:$A,'30'!$G:$G,"pipino il breve")</f>
        <v>99.766999999999996</v>
      </c>
      <c r="U91" s="3"/>
      <c r="V91">
        <f>_xlfn.XLOOKUP(B91,'2'!$A:$A,'2'!$G:$G,"pipino il breve")</f>
        <v>99.76</v>
      </c>
      <c r="Y91">
        <f>_xlfn.XLOOKUP(B91,'5'!$A:$A,'5'!$G:$G,"pipino il breve")</f>
        <v>99.766000000000005</v>
      </c>
      <c r="Z91">
        <f>_xlfn.XLOOKUP(B91,'6'!$A:$A,'6'!$G:$G,"pipino il breve")</f>
        <v>99.77</v>
      </c>
      <c r="AA91">
        <f>_xlfn.XLOOKUP(B91,'7'!$A:$A,'7'!$G:$G,"pipino il breve")</f>
        <v>99.775000000000006</v>
      </c>
      <c r="AB91">
        <f>_xlfn.XLOOKUP(B91,'8'!$A:$A,'8'!$G:$G,"pipino il breve")</f>
        <v>99.78</v>
      </c>
      <c r="AC91">
        <f>_xlfn.XLOOKUP(B91,'9'!$A:$A,'9'!$G:$G,"pipino il breve")</f>
        <v>99.778000000000006</v>
      </c>
      <c r="AF91">
        <f>_xlfn.XLOOKUP(B91,'12'!$A:$A,'12'!$G:$G,"pipino il breve")</f>
        <v>99.772000000000006</v>
      </c>
      <c r="AG91">
        <f>_xlfn.XLOOKUP(B91,'13'!$A:$A,'13'!$G:$G,"pipino il breve")</f>
        <v>99.772999999999996</v>
      </c>
      <c r="AH91">
        <f>_xlfn.XLOOKUP(B91,'14'!$A:$A,'14'!$G:$G,"pipino il breve")</f>
        <v>99.778999999999996</v>
      </c>
      <c r="AI91">
        <f>_xlfn.XLOOKUP(B91,'15'!$A:$A,'15'!$G:$G,"pipino il breve")</f>
        <v>99.795000000000002</v>
      </c>
    </row>
    <row r="92" spans="1:35" x14ac:dyDescent="0.2">
      <c r="A92">
        <v>91</v>
      </c>
      <c r="B92" s="2" t="s">
        <v>10</v>
      </c>
      <c r="C92" s="3">
        <v>2.375</v>
      </c>
      <c r="D92" s="2" t="s">
        <v>199</v>
      </c>
      <c r="E92" s="2">
        <f>_xlfn.XLOOKUP(B92,'15a'!$A:$A,'15a'!$G:$G,"pipino il breve")</f>
        <v>107.71</v>
      </c>
      <c r="F92" s="2">
        <f>_xlfn.XLOOKUP(B92,'16a'!$A:$A,'16a'!$G:$G,"pipino il breve")</f>
        <v>107.83</v>
      </c>
      <c r="G92" s="2">
        <f>_xlfn.XLOOKUP(B92,'17a'!$A:$A,'17a'!$G:$G,"pipino il breve")</f>
        <v>107.97</v>
      </c>
      <c r="H92" s="2"/>
      <c r="I92" s="2"/>
      <c r="J92" s="2"/>
      <c r="K92" s="2"/>
      <c r="L92" s="2">
        <f>_xlfn.XLOOKUP(B92,'22a'!$A:$A,'22a'!$G:$G,"pipino il breve")</f>
        <v>108.1</v>
      </c>
      <c r="M92" s="2">
        <f>_xlfn.XLOOKUP(B92,'23a'!$A:$A,'23a'!$G:$G,"pipino il breve")</f>
        <v>107.97</v>
      </c>
      <c r="N92" s="2">
        <f>_xlfn.XLOOKUP(B92,'24a'!$A:$A,'24a'!$G:$G,"pipino il breve")</f>
        <v>108.23</v>
      </c>
      <c r="O92" s="3">
        <v>108.05</v>
      </c>
      <c r="P92" s="3"/>
      <c r="Q92" s="3"/>
      <c r="R92">
        <f>_xlfn.XLOOKUP(B92,'28'!$A:$A,'28'!$G:$G,"pipino il breve")</f>
        <v>108.07</v>
      </c>
      <c r="S92">
        <f>_xlfn.XLOOKUP(B92,'29'!$A:$A,'29'!$G:$G,"pipino il breve")</f>
        <v>107.98</v>
      </c>
      <c r="T92" s="11">
        <f>_xlfn.XLOOKUP(B92,'30'!$A:$A,'30'!$G:$G,"pipino il breve")</f>
        <v>108.07</v>
      </c>
      <c r="U92" s="3"/>
      <c r="V92">
        <f>_xlfn.XLOOKUP(B92,'2'!$A:$A,'2'!$G:$G,"pipino il breve")</f>
        <v>107.94</v>
      </c>
      <c r="Y92">
        <f>_xlfn.XLOOKUP(B92,'5'!$A:$A,'5'!$G:$G,"pipino il breve")</f>
        <v>107.97</v>
      </c>
      <c r="Z92">
        <f>_xlfn.XLOOKUP(B92,'6'!$A:$A,'6'!$G:$G,"pipino il breve")</f>
        <v>107.98</v>
      </c>
      <c r="AA92">
        <f>_xlfn.XLOOKUP(B92,'7'!$A:$A,'7'!$G:$G,"pipino il breve")</f>
        <v>108.13</v>
      </c>
      <c r="AB92">
        <f>_xlfn.XLOOKUP(B92,'8'!$A:$A,'8'!$G:$G,"pipino il breve")</f>
        <v>107.98</v>
      </c>
      <c r="AC92">
        <f>_xlfn.XLOOKUP(B92,'9'!$A:$A,'9'!$G:$G,"pipino il breve")</f>
        <v>107.88</v>
      </c>
      <c r="AF92">
        <f>_xlfn.XLOOKUP(B92,'12'!$A:$A,'12'!$G:$G,"pipino il breve")</f>
        <v>107.54</v>
      </c>
      <c r="AG92">
        <f>_xlfn.XLOOKUP(B92,'13'!$A:$A,'13'!$G:$G,"pipino il breve")</f>
        <v>107.5</v>
      </c>
      <c r="AH92">
        <f>_xlfn.XLOOKUP(B92,'14'!$A:$A,'14'!$G:$G,"pipino il breve")</f>
        <v>107.45</v>
      </c>
      <c r="AI92">
        <f>_xlfn.XLOOKUP(B92,'15'!$A:$A,'15'!$G:$G,"pipino il breve")</f>
        <v>107.59</v>
      </c>
    </row>
    <row r="93" spans="1:35" x14ac:dyDescent="0.2">
      <c r="A93">
        <v>92</v>
      </c>
      <c r="B93" s="2" t="s">
        <v>69</v>
      </c>
      <c r="C93" s="3">
        <v>2.25</v>
      </c>
      <c r="D93" s="2" t="s">
        <v>200</v>
      </c>
      <c r="E93" s="2">
        <f>_xlfn.XLOOKUP(B93,'15a'!$A:$A,'15a'!$G:$G,"pipino il breve")</f>
        <v>101.6</v>
      </c>
      <c r="F93" s="2">
        <f>_xlfn.XLOOKUP(B93,'16a'!$A:$A,'16a'!$G:$G,"pipino il breve")</f>
        <v>101.74</v>
      </c>
      <c r="G93" s="2">
        <f>_xlfn.XLOOKUP(B93,'17a'!$A:$A,'17a'!$G:$G,"pipino il breve")</f>
        <v>102.06</v>
      </c>
      <c r="H93" s="2"/>
      <c r="I93" s="2"/>
      <c r="J93" s="2"/>
      <c r="K93" s="2"/>
      <c r="L93" s="2">
        <f>_xlfn.XLOOKUP(B93,'22a'!$A:$A,'22a'!$G:$G,"pipino il breve")</f>
        <v>102.53</v>
      </c>
      <c r="M93" s="2">
        <f>_xlfn.XLOOKUP(B93,'23a'!$A:$A,'23a'!$G:$G,"pipino il breve")</f>
        <v>102.22</v>
      </c>
      <c r="N93" s="2">
        <f>_xlfn.XLOOKUP(B93,'24a'!$A:$A,'24a'!$G:$G,"pipino il breve")</f>
        <v>103.44</v>
      </c>
      <c r="O93" s="3">
        <v>102.84</v>
      </c>
      <c r="P93" s="3"/>
      <c r="Q93" s="3"/>
      <c r="R93">
        <f>_xlfn.XLOOKUP(B93,'28'!$A:$A,'28'!$G:$G,"pipino il breve")</f>
        <v>102.56</v>
      </c>
      <c r="S93">
        <f>_xlfn.XLOOKUP(B93,'29'!$A:$A,'29'!$G:$G,"pipino il breve")</f>
        <v>102.34</v>
      </c>
      <c r="T93" s="11">
        <f>_xlfn.XLOOKUP(B93,'30'!$A:$A,'30'!$G:$G,"pipino il breve")</f>
        <v>102.92</v>
      </c>
      <c r="U93" s="3"/>
      <c r="V93">
        <f>_xlfn.XLOOKUP(B93,'2'!$A:$A,'2'!$G:$G,"pipino il breve")</f>
        <v>102</v>
      </c>
      <c r="Y93">
        <f>_xlfn.XLOOKUP(B93,'5'!$A:$A,'5'!$G:$G,"pipino il breve")</f>
        <v>102.1</v>
      </c>
      <c r="Z93">
        <f>_xlfn.XLOOKUP(B93,'6'!$A:$A,'6'!$G:$G,"pipino il breve")</f>
        <v>101.68</v>
      </c>
      <c r="AA93">
        <f>_xlfn.XLOOKUP(B93,'7'!$A:$A,'7'!$G:$G,"pipino il breve")</f>
        <v>102.96</v>
      </c>
      <c r="AB93">
        <f>_xlfn.XLOOKUP(B93,'8'!$A:$A,'8'!$G:$G,"pipino il breve")</f>
        <v>102.68</v>
      </c>
      <c r="AC93">
        <f>_xlfn.XLOOKUP(B93,'9'!$A:$A,'9'!$G:$G,"pipino il breve")</f>
        <v>102.02</v>
      </c>
      <c r="AF93">
        <f>_xlfn.XLOOKUP(B93,'12'!$A:$A,'12'!$G:$G,"pipino il breve")</f>
        <v>101.5</v>
      </c>
      <c r="AG93">
        <f>_xlfn.XLOOKUP(B93,'13'!$A:$A,'13'!$G:$G,"pipino il breve")</f>
        <v>100.9</v>
      </c>
      <c r="AH93">
        <f>_xlfn.XLOOKUP(B93,'14'!$A:$A,'14'!$G:$G,"pipino il breve")</f>
        <v>100.81</v>
      </c>
      <c r="AI93">
        <f>_xlfn.XLOOKUP(B93,'15'!$A:$A,'15'!$G:$G,"pipino il breve")</f>
        <v>102.02</v>
      </c>
    </row>
    <row r="94" spans="1:35" x14ac:dyDescent="0.2">
      <c r="A94">
        <v>93</v>
      </c>
      <c r="B94" s="2" t="s">
        <v>201</v>
      </c>
      <c r="C94" s="3">
        <v>0.72719999999999996</v>
      </c>
      <c r="D94" s="2" t="s">
        <v>202</v>
      </c>
      <c r="E94" s="2">
        <f>_xlfn.XLOOKUP(B94,'15a'!$A:$A,'15a'!$G:$G,"pipino il breve")</f>
        <v>100.44</v>
      </c>
      <c r="F94" s="2">
        <f>_xlfn.XLOOKUP(B94,'16a'!$A:$A,'16a'!$G:$G,"pipino il breve")</f>
        <v>100.44</v>
      </c>
      <c r="G94" s="2">
        <f>_xlfn.XLOOKUP(B94,'17a'!$A:$A,'17a'!$G:$G,"pipino il breve")</f>
        <v>100.44</v>
      </c>
      <c r="H94" s="2"/>
      <c r="I94" s="2"/>
      <c r="J94" s="2"/>
      <c r="K94" s="2"/>
      <c r="L94" s="2">
        <f>_xlfn.XLOOKUP(B94,'22a'!$A:$A,'22a'!$G:$G,"pipino il breve")</f>
        <v>100.44</v>
      </c>
      <c r="M94" s="2">
        <f>_xlfn.XLOOKUP(B94,'23a'!$A:$A,'23a'!$G:$G,"pipino il breve")</f>
        <v>100.68</v>
      </c>
      <c r="N94" s="2">
        <f>_xlfn.XLOOKUP(B94,'24a'!$A:$A,'24a'!$G:$G,"pipino il breve")</f>
        <v>101</v>
      </c>
      <c r="O94" s="3">
        <v>100.75</v>
      </c>
      <c r="P94" s="3"/>
      <c r="Q94" s="3"/>
      <c r="R94">
        <f>_xlfn.XLOOKUP(B94,'28'!$A:$A,'28'!$G:$G,"pipino il breve")</f>
        <v>100.61</v>
      </c>
      <c r="S94">
        <f>_xlfn.XLOOKUP(B94,'29'!$A:$A,'29'!$G:$G,"pipino il breve")</f>
        <v>100.69</v>
      </c>
      <c r="T94" s="11">
        <f>_xlfn.XLOOKUP(B94,'30'!$A:$A,'30'!$G:$G,"pipino il breve")</f>
        <v>100.9</v>
      </c>
      <c r="U94" s="3"/>
      <c r="V94">
        <f>_xlfn.XLOOKUP(B94,'2'!$A:$A,'2'!$G:$G,"pipino il breve")</f>
        <v>100.63</v>
      </c>
      <c r="Y94">
        <f>_xlfn.XLOOKUP(B94,'5'!$A:$A,'5'!$G:$G,"pipino il breve")</f>
        <v>100.64</v>
      </c>
      <c r="Z94">
        <f>_xlfn.XLOOKUP(B94,'6'!$A:$A,'6'!$G:$G,"pipino il breve")</f>
        <v>100.61</v>
      </c>
      <c r="AA94">
        <f>_xlfn.XLOOKUP(B94,'7'!$A:$A,'7'!$G:$G,"pipino il breve")</f>
        <v>101.01</v>
      </c>
      <c r="AB94">
        <f>_xlfn.XLOOKUP(B94,'8'!$A:$A,'8'!$G:$G,"pipino il breve")</f>
        <v>100.87</v>
      </c>
      <c r="AC94">
        <f>_xlfn.XLOOKUP(B94,'9'!$A:$A,'9'!$G:$G,"pipino il breve")</f>
        <v>100.65</v>
      </c>
      <c r="AF94">
        <f>_xlfn.XLOOKUP(B94,'12'!$A:$A,'12'!$G:$G,"pipino il breve")</f>
        <v>100.13</v>
      </c>
      <c r="AG94">
        <f>_xlfn.XLOOKUP(B94,'13'!$A:$A,'13'!$G:$G,"pipino il breve")</f>
        <v>101.12</v>
      </c>
      <c r="AH94">
        <f>_xlfn.XLOOKUP(B94,'14'!$A:$A,'14'!$G:$G,"pipino il breve")</f>
        <v>99.91</v>
      </c>
      <c r="AI94">
        <f>_xlfn.XLOOKUP(B94,'15'!$A:$A,'15'!$G:$G,"pipino il breve")</f>
        <v>100.38</v>
      </c>
    </row>
    <row r="95" spans="1:35" x14ac:dyDescent="0.2">
      <c r="A95">
        <v>94</v>
      </c>
      <c r="B95" s="2" t="s">
        <v>85</v>
      </c>
      <c r="C95" s="3">
        <v>1.6</v>
      </c>
      <c r="D95" s="2" t="s">
        <v>203</v>
      </c>
      <c r="E95" s="2">
        <f>_xlfn.XLOOKUP(B95,'15a'!$A:$A,'15a'!$G:$G,"pipino il breve")</f>
        <v>100.806</v>
      </c>
      <c r="F95" s="2">
        <f>_xlfn.XLOOKUP(B95,'16a'!$A:$A,'16a'!$G:$G,"pipino il breve")</f>
        <v>100.828</v>
      </c>
      <c r="G95" s="2">
        <f>_xlfn.XLOOKUP(B95,'17a'!$A:$A,'17a'!$G:$G,"pipino il breve")</f>
        <v>100.854</v>
      </c>
      <c r="H95" s="2"/>
      <c r="I95" s="2"/>
      <c r="J95" s="2"/>
      <c r="K95" s="2"/>
      <c r="L95" s="2">
        <f>_xlfn.XLOOKUP(B95,'22a'!$A:$A,'22a'!$G:$G,"pipino il breve")</f>
        <v>100.883</v>
      </c>
      <c r="M95" s="2">
        <f>_xlfn.XLOOKUP(B95,'23a'!$A:$A,'23a'!$G:$G,"pipino il breve")</f>
        <v>100.864</v>
      </c>
      <c r="N95" s="2">
        <f>_xlfn.XLOOKUP(B95,'24a'!$A:$A,'24a'!$G:$G,"pipino il breve")</f>
        <v>100.88800000000001</v>
      </c>
      <c r="O95" s="3">
        <v>100.87</v>
      </c>
      <c r="P95" s="3"/>
      <c r="Q95" s="3"/>
      <c r="R95">
        <f>_xlfn.XLOOKUP(B95,'28'!$A:$A,'28'!$G:$G,"pipino il breve")</f>
        <v>100.875</v>
      </c>
      <c r="S95">
        <f>_xlfn.XLOOKUP(B95,'29'!$A:$A,'29'!$G:$G,"pipino il breve")</f>
        <v>100.861</v>
      </c>
      <c r="T95" s="11">
        <f>_xlfn.XLOOKUP(B95,'30'!$A:$A,'30'!$G:$G,"pipino il breve")</f>
        <v>100.867</v>
      </c>
      <c r="U95" s="3"/>
      <c r="V95">
        <f>_xlfn.XLOOKUP(B95,'2'!$A:$A,'2'!$G:$G,"pipino il breve")</f>
        <v>100.861</v>
      </c>
      <c r="Y95">
        <f>_xlfn.XLOOKUP(B95,'5'!$A:$A,'5'!$G:$G,"pipino il breve")</f>
        <v>100.854</v>
      </c>
      <c r="Z95">
        <f>_xlfn.XLOOKUP(B95,'6'!$A:$A,'6'!$G:$G,"pipino il breve")</f>
        <v>100.87</v>
      </c>
      <c r="AA95">
        <f>_xlfn.XLOOKUP(B95,'7'!$A:$A,'7'!$G:$G,"pipino il breve")</f>
        <v>100.864</v>
      </c>
      <c r="AB95">
        <f>_xlfn.XLOOKUP(B95,'8'!$A:$A,'8'!$G:$G,"pipino il breve")</f>
        <v>100.848</v>
      </c>
      <c r="AC95">
        <f>_xlfn.XLOOKUP(B95,'9'!$A:$A,'9'!$G:$G,"pipino il breve")</f>
        <v>100.818</v>
      </c>
      <c r="AF95">
        <f>_xlfn.XLOOKUP(B95,'12'!$A:$A,'12'!$G:$G,"pipino il breve")</f>
        <v>100.85</v>
      </c>
      <c r="AG95">
        <f>_xlfn.XLOOKUP(B95,'13'!$A:$A,'13'!$G:$G,"pipino il breve")</f>
        <v>100.755</v>
      </c>
      <c r="AH95">
        <f>_xlfn.XLOOKUP(B95,'14'!$A:$A,'14'!$G:$G,"pipino il breve")</f>
        <v>100.761</v>
      </c>
      <c r="AI95">
        <f>_xlfn.XLOOKUP(B95,'15'!$A:$A,'15'!$G:$G,"pipino il breve")</f>
        <v>100.768</v>
      </c>
    </row>
    <row r="96" spans="1:35" x14ac:dyDescent="0.2">
      <c r="A96">
        <v>95</v>
      </c>
      <c r="B96" s="2" t="s">
        <v>76</v>
      </c>
      <c r="C96" s="3">
        <v>1.8</v>
      </c>
      <c r="D96" s="2" t="s">
        <v>204</v>
      </c>
      <c r="E96" s="2">
        <f>_xlfn.XLOOKUP(B96,'15a'!$A:$A,'15a'!$G:$G,"pipino il breve")</f>
        <v>100.616</v>
      </c>
      <c r="F96" s="2">
        <f>_xlfn.XLOOKUP(B96,'16a'!$A:$A,'16a'!$G:$G,"pipino il breve")</f>
        <v>100.605</v>
      </c>
      <c r="G96" s="2">
        <f>_xlfn.XLOOKUP(B96,'17a'!$A:$A,'17a'!$G:$G,"pipino il breve")</f>
        <v>100.63</v>
      </c>
      <c r="H96" s="2"/>
      <c r="I96" s="2"/>
      <c r="J96" s="2"/>
      <c r="K96" s="2"/>
      <c r="L96" s="2">
        <f>_xlfn.XLOOKUP(B96,'22a'!$A:$A,'22a'!$G:$G,"pipino il breve")</f>
        <v>100.619</v>
      </c>
      <c r="M96" s="2">
        <f>_xlfn.XLOOKUP(B96,'23a'!$A:$A,'23a'!$G:$G,"pipino il breve")</f>
        <v>100.617</v>
      </c>
      <c r="N96" s="2">
        <f>_xlfn.XLOOKUP(B96,'24a'!$A:$A,'24a'!$G:$G,"pipino il breve")</f>
        <v>100.621</v>
      </c>
      <c r="O96" s="3">
        <v>100.61499999999999</v>
      </c>
      <c r="P96" s="3"/>
      <c r="Q96" s="3"/>
      <c r="R96">
        <f>_xlfn.XLOOKUP(B96,'28'!$A:$A,'28'!$G:$G,"pipino il breve")</f>
        <v>100.61799999999999</v>
      </c>
      <c r="S96">
        <f>_xlfn.XLOOKUP(B96,'29'!$A:$A,'29'!$G:$G,"pipino il breve")</f>
        <v>100.604</v>
      </c>
      <c r="T96" s="11">
        <f>_xlfn.XLOOKUP(B96,'30'!$A:$A,'30'!$G:$G,"pipino il breve")</f>
        <v>100.593</v>
      </c>
      <c r="U96" s="3"/>
      <c r="V96">
        <f>_xlfn.XLOOKUP(B96,'2'!$A:$A,'2'!$G:$G,"pipino il breve")</f>
        <v>100.584</v>
      </c>
      <c r="Y96">
        <f>_xlfn.XLOOKUP(B96,'5'!$A:$A,'5'!$G:$G,"pipino il breve")</f>
        <v>100.58</v>
      </c>
      <c r="Z96">
        <f>_xlfn.XLOOKUP(B96,'6'!$A:$A,'6'!$G:$G,"pipino il breve")</f>
        <v>100.589</v>
      </c>
      <c r="AA96">
        <f>_xlfn.XLOOKUP(B96,'7'!$A:$A,'7'!$G:$G,"pipino il breve")</f>
        <v>100.58</v>
      </c>
      <c r="AB96">
        <f>_xlfn.XLOOKUP(B96,'8'!$A:$A,'8'!$G:$G,"pipino il breve")</f>
        <v>100.569</v>
      </c>
      <c r="AC96">
        <f>_xlfn.XLOOKUP(B96,'9'!$A:$A,'9'!$G:$G,"pipino il breve")</f>
        <v>100.554</v>
      </c>
      <c r="AF96">
        <f>_xlfn.XLOOKUP(B96,'12'!$A:$A,'12'!$G:$G,"pipino il breve")</f>
        <v>100.536</v>
      </c>
      <c r="AG96">
        <f>_xlfn.XLOOKUP(B96,'13'!$A:$A,'13'!$G:$G,"pipino il breve")</f>
        <v>100.541</v>
      </c>
      <c r="AH96">
        <f>_xlfn.XLOOKUP(B96,'14'!$A:$A,'14'!$G:$G,"pipino il breve")</f>
        <v>100.538</v>
      </c>
      <c r="AI96">
        <f>_xlfn.XLOOKUP(B96,'15'!$A:$A,'15'!$G:$G,"pipino il breve")</f>
        <v>100.533</v>
      </c>
    </row>
    <row r="97" spans="1:35" x14ac:dyDescent="0.2">
      <c r="A97">
        <v>96</v>
      </c>
      <c r="B97" s="2" t="s">
        <v>40</v>
      </c>
      <c r="C97" s="3">
        <v>0.92500000000000004</v>
      </c>
      <c r="D97" s="2" t="s">
        <v>205</v>
      </c>
      <c r="E97" s="2">
        <f>_xlfn.XLOOKUP(B97,'15a'!$A:$A,'15a'!$G:$G,"pipino il breve")</f>
        <v>99.936999999999998</v>
      </c>
      <c r="F97" s="2">
        <f>_xlfn.XLOOKUP(B97,'16a'!$A:$A,'16a'!$G:$G,"pipino il breve")</f>
        <v>99.95</v>
      </c>
      <c r="G97" s="2">
        <f>_xlfn.XLOOKUP(B97,'17a'!$A:$A,'17a'!$G:$G,"pipino il breve")</f>
        <v>99.938000000000002</v>
      </c>
      <c r="H97" s="2"/>
      <c r="I97" s="2"/>
      <c r="J97" s="2"/>
      <c r="K97" s="2"/>
      <c r="L97" s="2">
        <f>_xlfn.XLOOKUP(B97,'22a'!$A:$A,'22a'!$G:$G,"pipino il breve")</f>
        <v>99.947999999999993</v>
      </c>
      <c r="M97" s="2">
        <f>_xlfn.XLOOKUP(B97,'23a'!$A:$A,'23a'!$G:$G,"pipino il breve")</f>
        <v>99.963999999999999</v>
      </c>
      <c r="N97" s="2">
        <f>_xlfn.XLOOKUP(B97,'24a'!$A:$A,'24a'!$G:$G,"pipino il breve")</f>
        <v>99.950999999999993</v>
      </c>
      <c r="O97" s="3">
        <v>99.954999999999998</v>
      </c>
      <c r="P97" s="3"/>
      <c r="Q97" s="3"/>
      <c r="R97">
        <f>_xlfn.XLOOKUP(B97,'28'!$A:$A,'28'!$G:$G,"pipino il breve")</f>
        <v>99.956999999999994</v>
      </c>
      <c r="S97">
        <f>_xlfn.XLOOKUP(B97,'29'!$A:$A,'29'!$G:$G,"pipino il breve")</f>
        <v>99.953000000000003</v>
      </c>
      <c r="T97" s="11">
        <f>_xlfn.XLOOKUP(B97,'30'!$A:$A,'30'!$G:$G,"pipino il breve")</f>
        <v>99.960999999999999</v>
      </c>
      <c r="U97" s="3"/>
      <c r="V97">
        <f>_xlfn.XLOOKUP(B97,'2'!$A:$A,'2'!$G:$G,"pipino il breve")</f>
        <v>99.954999999999998</v>
      </c>
      <c r="Y97">
        <f>_xlfn.XLOOKUP(B97,'5'!$A:$A,'5'!$G:$G,"pipino il breve")</f>
        <v>99.959000000000003</v>
      </c>
      <c r="Z97">
        <f>_xlfn.XLOOKUP(B97,'6'!$A:$A,'6'!$G:$G,"pipino il breve")</f>
        <v>99.957999999999998</v>
      </c>
      <c r="AA97">
        <f>_xlfn.XLOOKUP(B97,'7'!$A:$A,'7'!$G:$G,"pipino il breve")</f>
        <v>99.954999999999998</v>
      </c>
      <c r="AB97">
        <f>_xlfn.XLOOKUP(B97,'8'!$A:$A,'8'!$G:$G,"pipino il breve")</f>
        <v>99.965000000000003</v>
      </c>
      <c r="AC97">
        <f>_xlfn.XLOOKUP(B97,'9'!$A:$A,'9'!$G:$G,"pipino il breve")</f>
        <v>99.956999999999994</v>
      </c>
      <c r="AF97">
        <f>_xlfn.XLOOKUP(B97,'12'!$A:$A,'12'!$G:$G,"pipino il breve")</f>
        <v>99.965999999999994</v>
      </c>
      <c r="AG97">
        <f>_xlfn.XLOOKUP(B97,'13'!$A:$A,'13'!$G:$G,"pipino il breve")</f>
        <v>99.971999999999994</v>
      </c>
      <c r="AH97">
        <f>_xlfn.XLOOKUP(B97,'14'!$A:$A,'14'!$G:$G,"pipino il breve")</f>
        <v>99.971999999999994</v>
      </c>
      <c r="AI97">
        <f>_xlfn.XLOOKUP(B97,'15'!$A:$A,'15'!$G:$G,"pipino il breve")</f>
        <v>99.971999999999994</v>
      </c>
    </row>
    <row r="98" spans="1:35" x14ac:dyDescent="0.2">
      <c r="A98">
        <v>97</v>
      </c>
      <c r="B98" s="2" t="s">
        <v>91</v>
      </c>
      <c r="C98" s="3">
        <v>1.55</v>
      </c>
      <c r="D98" s="2" t="s">
        <v>206</v>
      </c>
      <c r="E98" s="2">
        <f>_xlfn.XLOOKUP(B98,'15a'!$A:$A,'15a'!$G:$G,"pipino il breve")</f>
        <v>101.39</v>
      </c>
      <c r="F98" s="2">
        <f>_xlfn.XLOOKUP(B98,'16a'!$A:$A,'16a'!$G:$G,"pipino il breve")</f>
        <v>101.43</v>
      </c>
      <c r="G98" s="2">
        <f>_xlfn.XLOOKUP(B98,'17a'!$A:$A,'17a'!$G:$G,"pipino il breve")</f>
        <v>101.51</v>
      </c>
      <c r="H98" s="2"/>
      <c r="I98" s="2"/>
      <c r="J98" s="2"/>
      <c r="K98" s="2"/>
      <c r="L98" s="2">
        <f>_xlfn.XLOOKUP(B98,'22a'!$A:$A,'22a'!$G:$G,"pipino il breve")</f>
        <v>101.5</v>
      </c>
      <c r="M98" s="2">
        <f>_xlfn.XLOOKUP(B98,'23a'!$A:$A,'23a'!$G:$G,"pipino il breve")</f>
        <v>101.48</v>
      </c>
      <c r="N98" s="2">
        <f>_xlfn.XLOOKUP(B98,'24a'!$A:$A,'24a'!$G:$G,"pipino il breve")</f>
        <v>101.51</v>
      </c>
      <c r="O98" s="3">
        <v>101.47</v>
      </c>
      <c r="P98" s="3"/>
      <c r="Q98" s="3"/>
      <c r="R98">
        <f>_xlfn.XLOOKUP(B98,'28'!$A:$A,'28'!$G:$G,"pipino il breve")</f>
        <v>101.54</v>
      </c>
      <c r="S98">
        <f>_xlfn.XLOOKUP(B98,'29'!$A:$A,'29'!$G:$G,"pipino il breve")</f>
        <v>101.46</v>
      </c>
      <c r="T98" s="11">
        <f>_xlfn.XLOOKUP(B98,'30'!$A:$A,'30'!$G:$G,"pipino il breve")</f>
        <v>101.47</v>
      </c>
      <c r="U98" s="3"/>
      <c r="V98">
        <f>_xlfn.XLOOKUP(B98,'2'!$A:$A,'2'!$G:$G,"pipino il breve")</f>
        <v>101.44</v>
      </c>
      <c r="Y98">
        <f>_xlfn.XLOOKUP(B98,'5'!$A:$A,'5'!$G:$G,"pipino il breve")</f>
        <v>101.46</v>
      </c>
      <c r="Z98">
        <f>_xlfn.XLOOKUP(B98,'6'!$A:$A,'6'!$G:$G,"pipino il breve")</f>
        <v>101.46</v>
      </c>
      <c r="AA98">
        <f>_xlfn.XLOOKUP(B98,'7'!$A:$A,'7'!$G:$G,"pipino il breve")</f>
        <v>101.52</v>
      </c>
      <c r="AB98">
        <f>_xlfn.XLOOKUP(B98,'8'!$A:$A,'8'!$G:$G,"pipino il breve")</f>
        <v>101.47</v>
      </c>
      <c r="AC98">
        <f>_xlfn.XLOOKUP(B98,'9'!$A:$A,'9'!$G:$G,"pipino il breve")</f>
        <v>101.44</v>
      </c>
      <c r="AF98">
        <f>_xlfn.XLOOKUP(B98,'12'!$A:$A,'12'!$G:$G,"pipino il breve")</f>
        <v>101.29</v>
      </c>
      <c r="AG98">
        <f>_xlfn.XLOOKUP(B98,'13'!$A:$A,'13'!$G:$G,"pipino il breve")</f>
        <v>101.28</v>
      </c>
      <c r="AH98">
        <f>_xlfn.XLOOKUP(B98,'14'!$A:$A,'14'!$G:$G,"pipino il breve")</f>
        <v>101.29</v>
      </c>
      <c r="AI98">
        <f>_xlfn.XLOOKUP(B98,'15'!$A:$A,'15'!$G:$G,"pipino il breve")</f>
        <v>101.3</v>
      </c>
    </row>
    <row r="99" spans="1:35" x14ac:dyDescent="0.2">
      <c r="A99">
        <v>98</v>
      </c>
      <c r="B99" s="2" t="s">
        <v>95</v>
      </c>
      <c r="C99" s="3">
        <v>1.575</v>
      </c>
      <c r="D99" s="2" t="s">
        <v>207</v>
      </c>
      <c r="E99" s="2">
        <f>_xlfn.XLOOKUP(B99,'15a'!$A:$A,'15a'!$G:$G,"pipino il breve")</f>
        <v>99.96</v>
      </c>
      <c r="F99" s="2">
        <f>_xlfn.XLOOKUP(B99,'16a'!$A:$A,'16a'!$G:$G,"pipino il breve")</f>
        <v>100.16</v>
      </c>
      <c r="G99" s="2">
        <f>_xlfn.XLOOKUP(B99,'17a'!$A:$A,'17a'!$G:$G,"pipino il breve")</f>
        <v>100.5</v>
      </c>
      <c r="H99" s="2"/>
      <c r="I99" s="2"/>
      <c r="J99" s="2"/>
      <c r="K99" s="2"/>
      <c r="L99" s="2">
        <f>_xlfn.XLOOKUP(B99,'22a'!$A:$A,'22a'!$G:$G,"pipino il breve")</f>
        <v>100.68</v>
      </c>
      <c r="M99" s="2">
        <f>_xlfn.XLOOKUP(B99,'23a'!$A:$A,'23a'!$G:$G,"pipino il breve")</f>
        <v>100.54</v>
      </c>
      <c r="N99" s="2">
        <f>_xlfn.XLOOKUP(B99,'24a'!$A:$A,'24a'!$G:$G,"pipino il breve")</f>
        <v>101.07</v>
      </c>
      <c r="O99" s="3">
        <v>100.84</v>
      </c>
      <c r="P99" s="3"/>
      <c r="Q99" s="3"/>
      <c r="R99">
        <f>_xlfn.XLOOKUP(B99,'28'!$A:$A,'28'!$G:$G,"pipino il breve")</f>
        <v>100.8</v>
      </c>
      <c r="S99">
        <f>_xlfn.XLOOKUP(B99,'29'!$A:$A,'29'!$G:$G,"pipino il breve")</f>
        <v>100.72</v>
      </c>
      <c r="T99" s="11">
        <f>_xlfn.XLOOKUP(B99,'30'!$A:$A,'30'!$G:$G,"pipino il breve")</f>
        <v>100.95</v>
      </c>
      <c r="U99" s="3"/>
      <c r="V99">
        <f>_xlfn.XLOOKUP(B99,'2'!$A:$A,'2'!$G:$G,"pipino il breve")</f>
        <v>100.66</v>
      </c>
      <c r="Y99">
        <f>_xlfn.XLOOKUP(B99,'5'!$A:$A,'5'!$G:$G,"pipino il breve")</f>
        <v>100.74</v>
      </c>
      <c r="Z99">
        <f>_xlfn.XLOOKUP(B99,'6'!$A:$A,'6'!$G:$G,"pipino il breve")</f>
        <v>100.7</v>
      </c>
      <c r="AA99">
        <f>_xlfn.XLOOKUP(B99,'7'!$A:$A,'7'!$G:$G,"pipino il breve")</f>
        <v>101.04</v>
      </c>
      <c r="AB99">
        <f>_xlfn.XLOOKUP(B99,'8'!$A:$A,'8'!$G:$G,"pipino il breve")</f>
        <v>100.91</v>
      </c>
      <c r="AC99">
        <f>_xlfn.XLOOKUP(B99,'9'!$A:$A,'9'!$G:$G,"pipino il breve")</f>
        <v>100.72</v>
      </c>
      <c r="AF99">
        <f>_xlfn.XLOOKUP(B99,'12'!$A:$A,'12'!$G:$G,"pipino il breve")</f>
        <v>100.27</v>
      </c>
      <c r="AG99">
        <f>_xlfn.XLOOKUP(B99,'13'!$A:$A,'13'!$G:$G,"pipino il breve")</f>
        <v>100.17</v>
      </c>
      <c r="AH99">
        <f>_xlfn.XLOOKUP(B99,'14'!$A:$A,'14'!$G:$G,"pipino il breve")</f>
        <v>100.11</v>
      </c>
      <c r="AI99">
        <f>_xlfn.XLOOKUP(B99,'15'!$A:$A,'15'!$G:$G,"pipino il breve")</f>
        <v>100.48</v>
      </c>
    </row>
    <row r="100" spans="1:35" x14ac:dyDescent="0.2">
      <c r="A100">
        <v>99</v>
      </c>
      <c r="B100" s="2" t="s">
        <v>98</v>
      </c>
      <c r="C100" s="3">
        <v>1.2749999999999999</v>
      </c>
      <c r="D100" s="2" t="s">
        <v>208</v>
      </c>
      <c r="E100" s="2">
        <f>_xlfn.XLOOKUP(B100,'15a'!$A:$A,'15a'!$G:$G,"pipino il breve")</f>
        <v>100.8</v>
      </c>
      <c r="F100" s="2">
        <f>_xlfn.XLOOKUP(B100,'16a'!$A:$A,'16a'!$G:$G,"pipino il breve")</f>
        <v>100.88</v>
      </c>
      <c r="G100" s="2">
        <f>_xlfn.XLOOKUP(B100,'17a'!$A:$A,'17a'!$G:$G,"pipino il breve")</f>
        <v>101</v>
      </c>
      <c r="H100" s="2"/>
      <c r="I100" s="2"/>
      <c r="J100" s="2"/>
      <c r="K100" s="2"/>
      <c r="L100" s="2">
        <f>_xlfn.XLOOKUP(B100,'22a'!$A:$A,'22a'!$G:$G,"pipino il breve")</f>
        <v>101</v>
      </c>
      <c r="M100" s="2">
        <f>_xlfn.XLOOKUP(B100,'23a'!$A:$A,'23a'!$G:$G,"pipino il breve")</f>
        <v>100.96</v>
      </c>
      <c r="N100" s="2">
        <f>_xlfn.XLOOKUP(B100,'24a'!$A:$A,'24a'!$G:$G,"pipino il breve")</f>
        <v>101.04</v>
      </c>
      <c r="O100" s="3">
        <v>100.99</v>
      </c>
      <c r="P100" s="3"/>
      <c r="Q100" s="3"/>
      <c r="R100">
        <f>_xlfn.XLOOKUP(B100,'28'!$A:$A,'28'!$G:$G,"pipino il breve")</f>
        <v>101.01</v>
      </c>
      <c r="S100">
        <f>_xlfn.XLOOKUP(B100,'29'!$A:$A,'29'!$G:$G,"pipino il breve")</f>
        <v>100.96</v>
      </c>
      <c r="T100" s="11">
        <f>_xlfn.XLOOKUP(B100,'30'!$A:$A,'30'!$G:$G,"pipino il breve")</f>
        <v>101.01</v>
      </c>
      <c r="U100" s="3"/>
      <c r="V100">
        <f>_xlfn.XLOOKUP(B100,'2'!$A:$A,'2'!$G:$G,"pipino il breve")</f>
        <v>100.95</v>
      </c>
      <c r="Y100">
        <f>_xlfn.XLOOKUP(B100,'5'!$A:$A,'5'!$G:$G,"pipino il breve")</f>
        <v>100.96</v>
      </c>
      <c r="Z100">
        <f>_xlfn.XLOOKUP(B100,'6'!$A:$A,'6'!$G:$G,"pipino il breve")</f>
        <v>100.96</v>
      </c>
      <c r="AA100">
        <f>_xlfn.XLOOKUP(B100,'7'!$A:$A,'7'!$G:$G,"pipino il breve")</f>
        <v>101.02</v>
      </c>
      <c r="AB100">
        <f>_xlfn.XLOOKUP(B100,'8'!$A:$A,'8'!$G:$G,"pipino il breve")</f>
        <v>100.97</v>
      </c>
      <c r="AC100">
        <f>_xlfn.XLOOKUP(B100,'9'!$A:$A,'9'!$G:$G,"pipino il breve")</f>
        <v>100.93</v>
      </c>
      <c r="AF100">
        <f>_xlfn.XLOOKUP(B100,'12'!$A:$A,'12'!$G:$G,"pipino il breve")</f>
        <v>100.73</v>
      </c>
      <c r="AG100">
        <f>_xlfn.XLOOKUP(B100,'13'!$A:$A,'13'!$G:$G,"pipino il breve")</f>
        <v>100.72</v>
      </c>
      <c r="AH100">
        <f>_xlfn.XLOOKUP(B100,'14'!$A:$A,'14'!$G:$G,"pipino il breve")</f>
        <v>100.7</v>
      </c>
      <c r="AI100">
        <f>_xlfn.XLOOKUP(B100,'15'!$A:$A,'15'!$G:$G,"pipino il breve")</f>
        <v>100.74</v>
      </c>
    </row>
    <row r="101" spans="1:35" x14ac:dyDescent="0.2">
      <c r="A101">
        <v>100</v>
      </c>
      <c r="B101" s="2" t="s">
        <v>67</v>
      </c>
      <c r="C101" s="3">
        <v>1.7</v>
      </c>
      <c r="D101" s="2" t="s">
        <v>209</v>
      </c>
      <c r="E101" s="2">
        <f>_xlfn.XLOOKUP(B101,'15a'!$A:$A,'15a'!$G:$G,"pipino il breve")</f>
        <v>103.18</v>
      </c>
      <c r="F101" s="2">
        <f>_xlfn.XLOOKUP(B101,'16a'!$A:$A,'16a'!$G:$G,"pipino il breve")</f>
        <v>103.32</v>
      </c>
      <c r="G101" s="2">
        <f>_xlfn.XLOOKUP(B101,'17a'!$A:$A,'17a'!$G:$G,"pipino il breve")</f>
        <v>103.49</v>
      </c>
      <c r="H101" s="2"/>
      <c r="I101" s="2"/>
      <c r="J101" s="2"/>
      <c r="K101" s="2"/>
      <c r="L101" s="2">
        <f>_xlfn.XLOOKUP(B101,'22a'!$A:$A,'22a'!$G:$G,"pipino il breve")</f>
        <v>103.54</v>
      </c>
      <c r="M101" s="2">
        <f>_xlfn.XLOOKUP(B101,'23a'!$A:$A,'23a'!$G:$G,"pipino il breve")</f>
        <v>103.39</v>
      </c>
      <c r="N101" s="2">
        <f>_xlfn.XLOOKUP(B101,'24a'!$A:$A,'24a'!$G:$G,"pipino il breve")</f>
        <v>103.69</v>
      </c>
      <c r="O101" s="3">
        <v>103.47</v>
      </c>
      <c r="P101" s="3"/>
      <c r="Q101" s="3"/>
      <c r="R101">
        <f>_xlfn.XLOOKUP(B101,'28'!$A:$A,'28'!$G:$G,"pipino il breve")</f>
        <v>103.53</v>
      </c>
      <c r="S101">
        <f>_xlfn.XLOOKUP(B101,'29'!$A:$A,'29'!$G:$G,"pipino il breve")</f>
        <v>103.51</v>
      </c>
      <c r="T101" s="11">
        <f>_xlfn.XLOOKUP(B101,'30'!$A:$A,'30'!$G:$G,"pipino il breve")</f>
        <v>103.59</v>
      </c>
      <c r="U101" s="3"/>
      <c r="V101">
        <f>_xlfn.XLOOKUP(B101,'2'!$A:$A,'2'!$G:$G,"pipino il breve")</f>
        <v>103.43</v>
      </c>
      <c r="Y101">
        <f>_xlfn.XLOOKUP(B101,'5'!$A:$A,'5'!$G:$G,"pipino il breve")</f>
        <v>103.51</v>
      </c>
      <c r="Z101">
        <f>_xlfn.XLOOKUP(B101,'6'!$A:$A,'6'!$G:$G,"pipino il breve")</f>
        <v>103.48</v>
      </c>
      <c r="AA101">
        <f>_xlfn.XLOOKUP(B101,'7'!$A:$A,'7'!$G:$G,"pipino il breve")</f>
        <v>103.56</v>
      </c>
      <c r="AB101">
        <f>_xlfn.XLOOKUP(B101,'8'!$A:$A,'8'!$G:$G,"pipino il breve")</f>
        <v>103.46</v>
      </c>
      <c r="AC101">
        <f>_xlfn.XLOOKUP(B101,'9'!$A:$A,'9'!$G:$G,"pipino il breve")</f>
        <v>103.38</v>
      </c>
      <c r="AF101">
        <f>_xlfn.XLOOKUP(B101,'12'!$A:$A,'12'!$G:$G,"pipino il breve")</f>
        <v>103.09</v>
      </c>
      <c r="AG101">
        <f>_xlfn.XLOOKUP(B101,'13'!$A:$A,'13'!$G:$G,"pipino il breve")</f>
        <v>103.07</v>
      </c>
      <c r="AH101">
        <f>_xlfn.XLOOKUP(B101,'14'!$A:$A,'14'!$G:$G,"pipino il breve")</f>
        <v>103.02</v>
      </c>
      <c r="AI101">
        <f>_xlfn.XLOOKUP(B101,'15'!$A:$A,'15'!$G:$G,"pipino il breve")</f>
        <v>103.14</v>
      </c>
    </row>
    <row r="102" spans="1:35" x14ac:dyDescent="0.2">
      <c r="A102">
        <v>101</v>
      </c>
      <c r="B102" s="2" t="s">
        <v>84</v>
      </c>
      <c r="C102" s="3">
        <v>0.8125</v>
      </c>
      <c r="D102" s="2" t="s">
        <v>210</v>
      </c>
      <c r="E102" s="2">
        <f>_xlfn.XLOOKUP(B102,'15a'!$A:$A,'15a'!$G:$G,"pipino il breve")</f>
        <v>103.24</v>
      </c>
      <c r="F102" s="2">
        <f>_xlfn.XLOOKUP(B102,'16a'!$A:$A,'16a'!$G:$G,"pipino il breve")</f>
        <v>103.44</v>
      </c>
      <c r="G102" s="2">
        <f>_xlfn.XLOOKUP(B102,'17a'!$A:$A,'17a'!$G:$G,"pipino il breve")</f>
        <v>103.76</v>
      </c>
      <c r="H102" s="2"/>
      <c r="I102" s="2"/>
      <c r="J102" s="2"/>
      <c r="K102" s="2"/>
      <c r="L102" s="2">
        <f>_xlfn.XLOOKUP(B102,'22a'!$A:$A,'22a'!$G:$G,"pipino il breve")</f>
        <v>103.56</v>
      </c>
      <c r="M102" s="2">
        <f>_xlfn.XLOOKUP(B102,'23a'!$A:$A,'23a'!$G:$G,"pipino il breve")</f>
        <v>103.77</v>
      </c>
      <c r="N102" s="2">
        <f>_xlfn.XLOOKUP(B102,'24a'!$A:$A,'24a'!$G:$G,"pipino il breve")</f>
        <v>104.13</v>
      </c>
      <c r="O102" s="3">
        <v>103.85</v>
      </c>
      <c r="P102" s="3"/>
      <c r="Q102" s="3"/>
      <c r="R102">
        <f>_xlfn.XLOOKUP(B102,'28'!$A:$A,'28'!$G:$G,"pipino il breve")</f>
        <v>103.9</v>
      </c>
      <c r="S102">
        <f>_xlfn.XLOOKUP(B102,'29'!$A:$A,'29'!$G:$G,"pipino il breve")</f>
        <v>103.93</v>
      </c>
      <c r="T102" s="11">
        <f>_xlfn.XLOOKUP(B102,'30'!$A:$A,'30'!$G:$G,"pipino il breve")</f>
        <v>104.13</v>
      </c>
      <c r="U102" s="3"/>
      <c r="V102">
        <f>_xlfn.XLOOKUP(B102,'2'!$A:$A,'2'!$G:$G,"pipino il breve")</f>
        <v>103.83</v>
      </c>
      <c r="Y102">
        <f>_xlfn.XLOOKUP(B102,'5'!$A:$A,'5'!$G:$G,"pipino il breve")</f>
        <v>103.74</v>
      </c>
      <c r="Z102">
        <f>_xlfn.XLOOKUP(B102,'6'!$A:$A,'6'!$G:$G,"pipino il breve")</f>
        <v>103.85</v>
      </c>
      <c r="AA102">
        <f>_xlfn.XLOOKUP(B102,'7'!$A:$A,'7'!$G:$G,"pipino il breve")</f>
        <v>104.06</v>
      </c>
      <c r="AB102">
        <f>_xlfn.XLOOKUP(B102,'8'!$A:$A,'8'!$G:$G,"pipino il breve")</f>
        <v>104.02</v>
      </c>
      <c r="AC102">
        <f>_xlfn.XLOOKUP(B102,'9'!$A:$A,'9'!$G:$G,"pipino il breve")</f>
        <v>103.85</v>
      </c>
      <c r="AF102">
        <f>_xlfn.XLOOKUP(B102,'12'!$A:$A,'12'!$G:$G,"pipino il breve")</f>
        <v>103.55</v>
      </c>
      <c r="AG102">
        <f>_xlfn.XLOOKUP(B102,'13'!$A:$A,'13'!$G:$G,"pipino il breve")</f>
        <v>103.48</v>
      </c>
      <c r="AH102">
        <f>_xlfn.XLOOKUP(B102,'14'!$A:$A,'14'!$G:$G,"pipino il breve")</f>
        <v>103.5</v>
      </c>
      <c r="AI102">
        <f>_xlfn.XLOOKUP(B102,'15'!$A:$A,'15'!$G:$G,"pipino il breve")</f>
        <v>103.69</v>
      </c>
    </row>
    <row r="103" spans="1:35" x14ac:dyDescent="0.2">
      <c r="A103">
        <v>102</v>
      </c>
      <c r="B103" s="2" t="s">
        <v>211</v>
      </c>
      <c r="C103" s="3">
        <v>0.8125</v>
      </c>
      <c r="D103" s="2" t="s">
        <v>210</v>
      </c>
      <c r="E103" s="2">
        <f>_xlfn.XLOOKUP(B103,'15a'!$A:$A,'15a'!$G:$G,"pipino il breve")</f>
        <v>103.24</v>
      </c>
      <c r="F103" s="2">
        <f>_xlfn.XLOOKUP(B103,'16a'!$A:$A,'16a'!$G:$G,"pipino il breve")</f>
        <v>103.44</v>
      </c>
      <c r="G103" s="2">
        <f>_xlfn.XLOOKUP(B103,'17a'!$A:$A,'17a'!$G:$G,"pipino il breve")</f>
        <v>103.76</v>
      </c>
      <c r="H103" s="2"/>
      <c r="I103" s="2"/>
      <c r="J103" s="2"/>
      <c r="K103" s="2"/>
      <c r="L103" s="2">
        <f>_xlfn.XLOOKUP(B103,'22a'!$A:$A,'22a'!$G:$G,"pipino il breve")</f>
        <v>103.56</v>
      </c>
      <c r="M103" s="2">
        <f>_xlfn.XLOOKUP(B103,'23a'!$A:$A,'23a'!$G:$G,"pipino il breve")</f>
        <v>103.77</v>
      </c>
      <c r="N103" s="2">
        <f>_xlfn.XLOOKUP(B103,'24a'!$A:$A,'24a'!$G:$G,"pipino il breve")</f>
        <v>104.13</v>
      </c>
      <c r="O103" s="3">
        <v>103.85</v>
      </c>
      <c r="P103" s="3"/>
      <c r="Q103" s="3"/>
      <c r="R103">
        <f>_xlfn.XLOOKUP(B103,'28'!$A:$A,'28'!$G:$G,"pipino il breve")</f>
        <v>103.9</v>
      </c>
      <c r="S103">
        <f>_xlfn.XLOOKUP(B103,'29'!$A:$A,'29'!$G:$G,"pipino il breve")</f>
        <v>103.93</v>
      </c>
      <c r="T103" s="11">
        <f>_xlfn.XLOOKUP(B103,'30'!$A:$A,'30'!$G:$G,"pipino il breve")</f>
        <v>104.13</v>
      </c>
      <c r="U103" s="3"/>
      <c r="V103">
        <f>_xlfn.XLOOKUP(B103,'2'!$A:$A,'2'!$G:$G,"pipino il breve")</f>
        <v>103.83</v>
      </c>
      <c r="Y103">
        <f>_xlfn.XLOOKUP(B103,'5'!$A:$A,'5'!$G:$G,"pipino il breve")</f>
        <v>103.74</v>
      </c>
      <c r="Z103">
        <f>_xlfn.XLOOKUP(B103,'6'!$A:$A,'6'!$G:$G,"pipino il breve")</f>
        <v>103.85</v>
      </c>
      <c r="AA103">
        <f>_xlfn.XLOOKUP(B103,'7'!$A:$A,'7'!$G:$G,"pipino il breve")</f>
        <v>104.06</v>
      </c>
      <c r="AB103">
        <f>_xlfn.XLOOKUP(B103,'8'!$A:$A,'8'!$G:$G,"pipino il breve")</f>
        <v>104.02</v>
      </c>
      <c r="AC103">
        <f>_xlfn.XLOOKUP(B103,'9'!$A:$A,'9'!$G:$G,"pipino il breve")</f>
        <v>103.85</v>
      </c>
      <c r="AF103">
        <f>_xlfn.XLOOKUP(B103,'12'!$A:$A,'12'!$G:$G,"pipino il breve")</f>
        <v>103.55</v>
      </c>
      <c r="AG103">
        <f>_xlfn.XLOOKUP(B103,'13'!$A:$A,'13'!$G:$G,"pipino il breve")</f>
        <v>103.48</v>
      </c>
      <c r="AH103">
        <f>_xlfn.XLOOKUP(B103,'14'!$A:$A,'14'!$G:$G,"pipino il breve")</f>
        <v>103.5</v>
      </c>
      <c r="AI103">
        <f>_xlfn.XLOOKUP(B103,'15'!$A:$A,'15'!$G:$G,"pipino il breve")</f>
        <v>103.69</v>
      </c>
    </row>
    <row r="104" spans="1:35" x14ac:dyDescent="0.2">
      <c r="A104">
        <v>103</v>
      </c>
      <c r="B104" s="2" t="s">
        <v>79</v>
      </c>
      <c r="C104" s="3">
        <v>1.0249999999999999</v>
      </c>
      <c r="D104" s="2" t="s">
        <v>212</v>
      </c>
      <c r="E104" s="2">
        <f>_xlfn.XLOOKUP(B104,'15a'!$A:$A,'15a'!$G:$G,"pipino il breve")</f>
        <v>105.48</v>
      </c>
      <c r="F104" s="2">
        <f>_xlfn.XLOOKUP(B104,'16a'!$A:$A,'16a'!$G:$G,"pipino il breve")</f>
        <v>105.61</v>
      </c>
      <c r="G104" s="2">
        <f>_xlfn.XLOOKUP(B104,'17a'!$A:$A,'17a'!$G:$G,"pipino il breve")</f>
        <v>105.8</v>
      </c>
      <c r="H104" s="2"/>
      <c r="I104" s="2"/>
      <c r="J104" s="2"/>
      <c r="K104" s="2"/>
      <c r="L104" s="2">
        <f>_xlfn.XLOOKUP(B104,'22a'!$A:$A,'22a'!$G:$G,"pipino il breve")</f>
        <v>105.84</v>
      </c>
      <c r="M104" s="2">
        <f>_xlfn.XLOOKUP(B104,'23a'!$A:$A,'23a'!$G:$G,"pipino il breve")</f>
        <v>105.74</v>
      </c>
      <c r="N104" s="2">
        <f>_xlfn.XLOOKUP(B104,'24a'!$A:$A,'24a'!$G:$G,"pipino il breve")</f>
        <v>106.05</v>
      </c>
      <c r="O104" s="3">
        <v>105.87</v>
      </c>
      <c r="P104" s="3"/>
      <c r="Q104" s="3"/>
      <c r="R104">
        <f>_xlfn.XLOOKUP(B104,'28'!$A:$A,'28'!$G:$G,"pipino il breve")</f>
        <v>105.86</v>
      </c>
      <c r="S104">
        <f>_xlfn.XLOOKUP(B104,'29'!$A:$A,'29'!$G:$G,"pipino il breve")</f>
        <v>105.86</v>
      </c>
      <c r="T104" s="11">
        <f>_xlfn.XLOOKUP(B104,'30'!$A:$A,'30'!$G:$G,"pipino il breve")</f>
        <v>105.98</v>
      </c>
      <c r="U104" s="3"/>
      <c r="V104">
        <f>_xlfn.XLOOKUP(B104,'2'!$A:$A,'2'!$G:$G,"pipino il breve")</f>
        <v>105.75</v>
      </c>
      <c r="Y104">
        <f>_xlfn.XLOOKUP(B104,'5'!$A:$A,'5'!$G:$G,"pipino il breve")</f>
        <v>105.71</v>
      </c>
      <c r="Z104">
        <f>_xlfn.XLOOKUP(B104,'6'!$A:$A,'6'!$G:$G,"pipino il breve")</f>
        <v>105.78</v>
      </c>
      <c r="AA104">
        <f>_xlfn.XLOOKUP(B104,'7'!$A:$A,'7'!$G:$G,"pipino il breve")</f>
        <v>106.01</v>
      </c>
      <c r="AB104">
        <f>_xlfn.XLOOKUP(B104,'8'!$A:$A,'8'!$G:$G,"pipino il breve")</f>
        <v>105.91</v>
      </c>
      <c r="AC104">
        <f>_xlfn.XLOOKUP(B104,'9'!$A:$A,'9'!$G:$G,"pipino il breve")</f>
        <v>105.77</v>
      </c>
      <c r="AF104">
        <f>_xlfn.XLOOKUP(B104,'12'!$A:$A,'12'!$G:$G,"pipino il breve")</f>
        <v>105.45</v>
      </c>
      <c r="AG104">
        <f>_xlfn.XLOOKUP(B104,'13'!$A:$A,'13'!$G:$G,"pipino il breve")</f>
        <v>105.45</v>
      </c>
      <c r="AH104">
        <f>_xlfn.XLOOKUP(B104,'14'!$A:$A,'14'!$G:$G,"pipino il breve")</f>
        <v>105.53</v>
      </c>
      <c r="AI104">
        <f>_xlfn.XLOOKUP(B104,'15'!$A:$A,'15'!$G:$G,"pipino il breve")</f>
        <v>105.91</v>
      </c>
    </row>
    <row r="105" spans="1:35" x14ac:dyDescent="0.2">
      <c r="A105">
        <v>104</v>
      </c>
      <c r="B105" s="2" t="s">
        <v>213</v>
      </c>
      <c r="C105" s="3">
        <v>1.0249999999999999</v>
      </c>
      <c r="D105" s="2" t="s">
        <v>212</v>
      </c>
      <c r="E105" s="2">
        <f>_xlfn.XLOOKUP(B105,'15a'!$A:$A,'15a'!$G:$G,"pipino il breve")</f>
        <v>105.48</v>
      </c>
      <c r="F105" s="2">
        <f>_xlfn.XLOOKUP(B105,'16a'!$A:$A,'16a'!$G:$G,"pipino il breve")</f>
        <v>105.61</v>
      </c>
      <c r="G105" s="2">
        <f>_xlfn.XLOOKUP(B105,'17a'!$A:$A,'17a'!$G:$G,"pipino il breve")</f>
        <v>105.8</v>
      </c>
      <c r="H105" s="2"/>
      <c r="I105" s="2"/>
      <c r="J105" s="2"/>
      <c r="K105" s="2"/>
      <c r="L105" s="2">
        <f>_xlfn.XLOOKUP(B105,'22a'!$A:$A,'22a'!$G:$G,"pipino il breve")</f>
        <v>105.84</v>
      </c>
      <c r="M105" s="2">
        <f>_xlfn.XLOOKUP(B105,'23a'!$A:$A,'23a'!$G:$G,"pipino il breve")</f>
        <v>105.74</v>
      </c>
      <c r="N105" s="2">
        <f>_xlfn.XLOOKUP(B105,'24a'!$A:$A,'24a'!$G:$G,"pipino il breve")</f>
        <v>106.05</v>
      </c>
      <c r="O105" s="3">
        <v>105.87</v>
      </c>
      <c r="P105" s="3"/>
      <c r="Q105" s="3"/>
      <c r="R105">
        <f>_xlfn.XLOOKUP(B105,'28'!$A:$A,'28'!$G:$G,"pipino il breve")</f>
        <v>105.86</v>
      </c>
      <c r="S105">
        <f>_xlfn.XLOOKUP(B105,'29'!$A:$A,'29'!$G:$G,"pipino il breve")</f>
        <v>105.86</v>
      </c>
      <c r="T105" s="11">
        <f>_xlfn.XLOOKUP(B105,'30'!$A:$A,'30'!$G:$G,"pipino il breve")</f>
        <v>105.98</v>
      </c>
      <c r="U105" s="3"/>
      <c r="V105">
        <f>_xlfn.XLOOKUP(B105,'2'!$A:$A,'2'!$G:$G,"pipino il breve")</f>
        <v>105.75</v>
      </c>
      <c r="Y105">
        <f>_xlfn.XLOOKUP(B105,'5'!$A:$A,'5'!$G:$G,"pipino il breve")</f>
        <v>105.71</v>
      </c>
      <c r="Z105">
        <f>_xlfn.XLOOKUP(B105,'6'!$A:$A,'6'!$G:$G,"pipino il breve")</f>
        <v>105.78</v>
      </c>
      <c r="AA105">
        <f>_xlfn.XLOOKUP(B105,'7'!$A:$A,'7'!$G:$G,"pipino il breve")</f>
        <v>106.01</v>
      </c>
      <c r="AB105">
        <f>_xlfn.XLOOKUP(B105,'8'!$A:$A,'8'!$G:$G,"pipino il breve")</f>
        <v>105.91</v>
      </c>
      <c r="AC105">
        <f>_xlfn.XLOOKUP(B105,'9'!$A:$A,'9'!$G:$G,"pipino il breve")</f>
        <v>105.77</v>
      </c>
      <c r="AF105">
        <f>_xlfn.XLOOKUP(B105,'12'!$A:$A,'12'!$G:$G,"pipino il breve")</f>
        <v>105.45</v>
      </c>
      <c r="AG105">
        <f>_xlfn.XLOOKUP(B105,'13'!$A:$A,'13'!$G:$G,"pipino il breve")</f>
        <v>105.45</v>
      </c>
      <c r="AH105">
        <f>_xlfn.XLOOKUP(B105,'14'!$A:$A,'14'!$G:$G,"pipino il breve")</f>
        <v>105.53</v>
      </c>
      <c r="AI105">
        <f>_xlfn.XLOOKUP(B105,'15'!$A:$A,'15'!$G:$G,"pipino il breve")</f>
        <v>105.91</v>
      </c>
    </row>
    <row r="106" spans="1:35" x14ac:dyDescent="0.2">
      <c r="A106">
        <v>105</v>
      </c>
      <c r="B106" s="2" t="s">
        <v>73</v>
      </c>
      <c r="C106" s="3">
        <v>1.625</v>
      </c>
      <c r="D106" s="2" t="s">
        <v>214</v>
      </c>
      <c r="E106" s="2">
        <f>_xlfn.XLOOKUP(B106,'15a'!$A:$A,'15a'!$G:$G,"pipino il breve")</f>
        <v>103.36</v>
      </c>
      <c r="F106" s="2">
        <f>_xlfn.XLOOKUP(B106,'16a'!$A:$A,'16a'!$G:$G,"pipino il breve")</f>
        <v>103.45</v>
      </c>
      <c r="G106" s="2">
        <f>_xlfn.XLOOKUP(B106,'17a'!$A:$A,'17a'!$G:$G,"pipino il breve")</f>
        <v>103.58</v>
      </c>
      <c r="H106" s="2"/>
      <c r="I106" s="2"/>
      <c r="J106" s="2"/>
      <c r="K106" s="2"/>
      <c r="L106" s="2">
        <f>_xlfn.XLOOKUP(B106,'22a'!$A:$A,'22a'!$G:$G,"pipino il breve")</f>
        <v>103.57</v>
      </c>
      <c r="M106" s="2">
        <f>_xlfn.XLOOKUP(B106,'23a'!$A:$A,'23a'!$G:$G,"pipino il breve")</f>
        <v>103.45</v>
      </c>
      <c r="N106" s="2">
        <f>_xlfn.XLOOKUP(B106,'24a'!$A:$A,'24a'!$G:$G,"pipino il breve")</f>
        <v>103.62</v>
      </c>
      <c r="O106" s="3">
        <v>103.57</v>
      </c>
      <c r="P106" s="3"/>
      <c r="Q106" s="3"/>
      <c r="R106">
        <f>_xlfn.XLOOKUP(B106,'28'!$A:$A,'28'!$G:$G,"pipino il breve")</f>
        <v>103.54</v>
      </c>
      <c r="S106">
        <f>_xlfn.XLOOKUP(B106,'29'!$A:$A,'29'!$G:$G,"pipino il breve")</f>
        <v>103.52</v>
      </c>
      <c r="T106" s="11">
        <f>_xlfn.XLOOKUP(B106,'30'!$A:$A,'30'!$G:$G,"pipino il breve")</f>
        <v>103.58</v>
      </c>
      <c r="U106" s="3"/>
      <c r="V106">
        <f>_xlfn.XLOOKUP(B106,'2'!$A:$A,'2'!$G:$G,"pipino il breve")</f>
        <v>103.48</v>
      </c>
      <c r="Y106">
        <f>_xlfn.XLOOKUP(B106,'5'!$A:$A,'5'!$G:$G,"pipino il breve")</f>
        <v>103.48</v>
      </c>
      <c r="Z106">
        <f>_xlfn.XLOOKUP(B106,'6'!$A:$A,'6'!$G:$G,"pipino il breve")</f>
        <v>103.53</v>
      </c>
      <c r="AA106">
        <f>_xlfn.XLOOKUP(B106,'7'!$A:$A,'7'!$G:$G,"pipino il breve")</f>
        <v>103.57</v>
      </c>
      <c r="AB106">
        <f>_xlfn.XLOOKUP(B106,'8'!$A:$A,'8'!$G:$G,"pipino il breve")</f>
        <v>103.53</v>
      </c>
      <c r="AC106">
        <f>_xlfn.XLOOKUP(B106,'9'!$A:$A,'9'!$G:$G,"pipino il breve")</f>
        <v>103.49</v>
      </c>
      <c r="AF106">
        <f>_xlfn.XLOOKUP(B106,'12'!$A:$A,'12'!$G:$G,"pipino il breve")</f>
        <v>103.31</v>
      </c>
      <c r="AG106">
        <f>_xlfn.XLOOKUP(B106,'13'!$A:$A,'13'!$G:$G,"pipino il breve")</f>
        <v>103.26</v>
      </c>
      <c r="AH106">
        <f>_xlfn.XLOOKUP(B106,'14'!$A:$A,'14'!$G:$G,"pipino il breve")</f>
        <v>103.28</v>
      </c>
      <c r="AI106">
        <f>_xlfn.XLOOKUP(B106,'15'!$A:$A,'15'!$G:$G,"pipino il breve")</f>
        <v>103.34</v>
      </c>
    </row>
    <row r="107" spans="1:35" x14ac:dyDescent="0.2">
      <c r="A107">
        <v>106</v>
      </c>
      <c r="B107" s="2" t="s">
        <v>215</v>
      </c>
      <c r="C107" s="3">
        <v>1.625</v>
      </c>
      <c r="D107" s="2" t="s">
        <v>214</v>
      </c>
      <c r="E107" s="2">
        <f>_xlfn.XLOOKUP(B107,'15a'!$A:$A,'15a'!$G:$G,"pipino il breve")</f>
        <v>103.36</v>
      </c>
      <c r="F107" s="2">
        <f>_xlfn.XLOOKUP(B107,'16a'!$A:$A,'16a'!$G:$G,"pipino il breve")</f>
        <v>103.45</v>
      </c>
      <c r="G107" s="2">
        <f>_xlfn.XLOOKUP(B107,'17a'!$A:$A,'17a'!$G:$G,"pipino il breve")</f>
        <v>103.58</v>
      </c>
      <c r="H107" s="2"/>
      <c r="I107" s="2"/>
      <c r="J107" s="2"/>
      <c r="K107" s="2"/>
      <c r="L107" s="2">
        <f>_xlfn.XLOOKUP(B107,'22a'!$A:$A,'22a'!$G:$G,"pipino il breve")</f>
        <v>103.57</v>
      </c>
      <c r="M107" s="2">
        <f>_xlfn.XLOOKUP(B107,'23a'!$A:$A,'23a'!$G:$G,"pipino il breve")</f>
        <v>103.45</v>
      </c>
      <c r="N107" s="2">
        <f>_xlfn.XLOOKUP(B107,'24a'!$A:$A,'24a'!$G:$G,"pipino il breve")</f>
        <v>103.62</v>
      </c>
      <c r="O107" s="3">
        <v>103.57</v>
      </c>
      <c r="P107" s="3"/>
      <c r="Q107" s="3"/>
      <c r="R107">
        <f>_xlfn.XLOOKUP(B107,'28'!$A:$A,'28'!$G:$G,"pipino il breve")</f>
        <v>103.54</v>
      </c>
      <c r="S107">
        <f>_xlfn.XLOOKUP(B107,'29'!$A:$A,'29'!$G:$G,"pipino il breve")</f>
        <v>103.52</v>
      </c>
      <c r="T107" s="11">
        <f>_xlfn.XLOOKUP(B107,'30'!$A:$A,'30'!$G:$G,"pipino il breve")</f>
        <v>103.58</v>
      </c>
      <c r="U107" s="3"/>
      <c r="V107">
        <f>_xlfn.XLOOKUP(B107,'2'!$A:$A,'2'!$G:$G,"pipino il breve")</f>
        <v>103.48</v>
      </c>
      <c r="Y107">
        <f>_xlfn.XLOOKUP(B107,'5'!$A:$A,'5'!$G:$G,"pipino il breve")</f>
        <v>103.48</v>
      </c>
      <c r="Z107">
        <f>_xlfn.XLOOKUP(B107,'6'!$A:$A,'6'!$G:$G,"pipino il breve")</f>
        <v>103.53</v>
      </c>
      <c r="AA107">
        <f>_xlfn.XLOOKUP(B107,'7'!$A:$A,'7'!$G:$G,"pipino il breve")</f>
        <v>103.57</v>
      </c>
      <c r="AB107">
        <f>_xlfn.XLOOKUP(B107,'8'!$A:$A,'8'!$G:$G,"pipino il breve")</f>
        <v>103.53</v>
      </c>
      <c r="AC107">
        <f>_xlfn.XLOOKUP(B107,'9'!$A:$A,'9'!$G:$G,"pipino il breve")</f>
        <v>103.49</v>
      </c>
      <c r="AF107">
        <f>_xlfn.XLOOKUP(B107,'12'!$A:$A,'12'!$G:$G,"pipino il breve")</f>
        <v>103.31</v>
      </c>
      <c r="AG107">
        <f>_xlfn.XLOOKUP(B107,'13'!$A:$A,'13'!$G:$G,"pipino il breve")</f>
        <v>103.26</v>
      </c>
      <c r="AH107">
        <f>_xlfn.XLOOKUP(B107,'14'!$A:$A,'14'!$G:$G,"pipino il breve")</f>
        <v>103.28</v>
      </c>
      <c r="AI107">
        <f>_xlfn.XLOOKUP(B107,'15'!$A:$A,'15'!$G:$G,"pipino il breve")</f>
        <v>103.34</v>
      </c>
    </row>
    <row r="108" spans="1:35" x14ac:dyDescent="0.2">
      <c r="A108">
        <v>107</v>
      </c>
      <c r="B108" s="2" t="s">
        <v>88</v>
      </c>
      <c r="C108" s="3">
        <v>0.83750000000000002</v>
      </c>
      <c r="D108" s="2" t="s">
        <v>216</v>
      </c>
      <c r="E108" s="2">
        <f>_xlfn.XLOOKUP(B108,'15a'!$A:$A,'15a'!$G:$G,"pipino il breve")</f>
        <v>102.84</v>
      </c>
      <c r="F108" s="2">
        <f>_xlfn.XLOOKUP(B108,'16a'!$A:$A,'16a'!$G:$G,"pipino il breve")</f>
        <v>102.9</v>
      </c>
      <c r="G108" s="2">
        <f>_xlfn.XLOOKUP(B108,'17a'!$A:$A,'17a'!$G:$G,"pipino il breve")</f>
        <v>103.35</v>
      </c>
      <c r="H108" s="2"/>
      <c r="I108" s="2"/>
      <c r="J108" s="2"/>
      <c r="K108" s="2"/>
      <c r="L108" s="2">
        <f>_xlfn.XLOOKUP(B108,'22a'!$A:$A,'22a'!$G:$G,"pipino il breve")</f>
        <v>103.36</v>
      </c>
      <c r="M108" s="2">
        <f>_xlfn.XLOOKUP(B108,'23a'!$A:$A,'23a'!$G:$G,"pipino il breve")</f>
        <v>103.22</v>
      </c>
      <c r="N108" s="2">
        <f>_xlfn.XLOOKUP(B108,'24a'!$A:$A,'24a'!$G:$G,"pipino il breve")</f>
        <v>103.67</v>
      </c>
      <c r="O108" s="3">
        <v>103.5</v>
      </c>
      <c r="P108" s="3"/>
      <c r="Q108" s="3"/>
      <c r="R108">
        <f>_xlfn.XLOOKUP(B108,'28'!$A:$A,'28'!$G:$G,"pipino il breve")</f>
        <v>103.55</v>
      </c>
      <c r="S108">
        <f>_xlfn.XLOOKUP(B108,'29'!$A:$A,'29'!$G:$G,"pipino il breve")</f>
        <v>103.5</v>
      </c>
      <c r="T108" s="11">
        <f>_xlfn.XLOOKUP(B108,'30'!$A:$A,'30'!$G:$G,"pipino il breve")</f>
        <v>103.83</v>
      </c>
      <c r="U108" s="3"/>
      <c r="V108">
        <f>_xlfn.XLOOKUP(B108,'2'!$A:$A,'2'!$G:$G,"pipino il breve")</f>
        <v>103.65</v>
      </c>
      <c r="Y108">
        <f>_xlfn.XLOOKUP(B108,'5'!$A:$A,'5'!$G:$G,"pipino il breve")</f>
        <v>103.58</v>
      </c>
      <c r="Z108">
        <f>_xlfn.XLOOKUP(B108,'6'!$A:$A,'6'!$G:$G,"pipino il breve")</f>
        <v>103.68</v>
      </c>
      <c r="AA108">
        <f>_xlfn.XLOOKUP(B108,'7'!$A:$A,'7'!$G:$G,"pipino il breve")</f>
        <v>103.87</v>
      </c>
      <c r="AB108">
        <f>_xlfn.XLOOKUP(B108,'8'!$A:$A,'8'!$G:$G,"pipino il breve")</f>
        <v>103.78</v>
      </c>
      <c r="AC108">
        <f>_xlfn.XLOOKUP(B108,'9'!$A:$A,'9'!$G:$G,"pipino il breve")</f>
        <v>103.59</v>
      </c>
      <c r="AF108">
        <f>_xlfn.XLOOKUP(B108,'12'!$A:$A,'12'!$G:$G,"pipino il breve")</f>
        <v>103.33</v>
      </c>
      <c r="AG108">
        <f>_xlfn.XLOOKUP(B108,'13'!$A:$A,'13'!$G:$G,"pipino il breve")</f>
        <v>103.14</v>
      </c>
      <c r="AH108">
        <f>_xlfn.XLOOKUP(B108,'14'!$A:$A,'14'!$G:$G,"pipino il breve")</f>
        <v>103.13</v>
      </c>
      <c r="AI108">
        <f>_xlfn.XLOOKUP(B108,'15'!$A:$A,'15'!$G:$G,"pipino il breve")</f>
        <v>103.26</v>
      </c>
    </row>
    <row r="109" spans="1:35" x14ac:dyDescent="0.2">
      <c r="A109">
        <v>108</v>
      </c>
      <c r="B109" s="2" t="s">
        <v>217</v>
      </c>
      <c r="C109" s="3">
        <v>0.83750000000000002</v>
      </c>
      <c r="D109" s="2" t="s">
        <v>216</v>
      </c>
      <c r="E109" s="2">
        <f>_xlfn.XLOOKUP(B109,'15a'!$A:$A,'15a'!$G:$G,"pipino il breve")</f>
        <v>102.84</v>
      </c>
      <c r="F109" s="2">
        <f>_xlfn.XLOOKUP(B109,'16a'!$A:$A,'16a'!$G:$G,"pipino il breve")</f>
        <v>102.9</v>
      </c>
      <c r="G109" s="2">
        <f>_xlfn.XLOOKUP(B109,'17a'!$A:$A,'17a'!$G:$G,"pipino il breve")</f>
        <v>103.35</v>
      </c>
      <c r="H109" s="2"/>
      <c r="I109" s="2"/>
      <c r="J109" s="2"/>
      <c r="K109" s="2"/>
      <c r="L109" s="2">
        <f>_xlfn.XLOOKUP(B109,'22a'!$A:$A,'22a'!$G:$G,"pipino il breve")</f>
        <v>103.36</v>
      </c>
      <c r="M109" s="2">
        <f>_xlfn.XLOOKUP(B109,'23a'!$A:$A,'23a'!$G:$G,"pipino il breve")</f>
        <v>103.22</v>
      </c>
      <c r="N109" s="2">
        <f>_xlfn.XLOOKUP(B109,'24a'!$A:$A,'24a'!$G:$G,"pipino il breve")</f>
        <v>103.67</v>
      </c>
      <c r="O109" s="3">
        <v>103.5</v>
      </c>
      <c r="P109" s="3"/>
      <c r="Q109" s="3"/>
      <c r="R109">
        <f>_xlfn.XLOOKUP(B109,'28'!$A:$A,'28'!$G:$G,"pipino il breve")</f>
        <v>103.55</v>
      </c>
      <c r="S109">
        <f>_xlfn.XLOOKUP(B109,'29'!$A:$A,'29'!$G:$G,"pipino il breve")</f>
        <v>103.5</v>
      </c>
      <c r="T109" s="11">
        <f>_xlfn.XLOOKUP(B109,'30'!$A:$A,'30'!$G:$G,"pipino il breve")</f>
        <v>103.83</v>
      </c>
      <c r="U109" s="3"/>
      <c r="V109">
        <f>_xlfn.XLOOKUP(B109,'2'!$A:$A,'2'!$G:$G,"pipino il breve")</f>
        <v>103.65</v>
      </c>
      <c r="Y109">
        <f>_xlfn.XLOOKUP(B109,'5'!$A:$A,'5'!$G:$G,"pipino il breve")</f>
        <v>103.58</v>
      </c>
      <c r="Z109">
        <f>_xlfn.XLOOKUP(B109,'6'!$A:$A,'6'!$G:$G,"pipino il breve")</f>
        <v>103.68</v>
      </c>
      <c r="AA109">
        <f>_xlfn.XLOOKUP(B109,'7'!$A:$A,'7'!$G:$G,"pipino il breve")</f>
        <v>103.87</v>
      </c>
      <c r="AB109">
        <f>_xlfn.XLOOKUP(B109,'8'!$A:$A,'8'!$G:$G,"pipino il breve")</f>
        <v>103.78</v>
      </c>
      <c r="AC109">
        <f>_xlfn.XLOOKUP(B109,'9'!$A:$A,'9'!$G:$G,"pipino il breve")</f>
        <v>103.59</v>
      </c>
      <c r="AF109">
        <f>_xlfn.XLOOKUP(B109,'12'!$A:$A,'12'!$G:$G,"pipino il breve")</f>
        <v>103.33</v>
      </c>
      <c r="AG109">
        <f>_xlfn.XLOOKUP(B109,'13'!$A:$A,'13'!$G:$G,"pipino il breve")</f>
        <v>103.14</v>
      </c>
      <c r="AH109">
        <f>_xlfn.XLOOKUP(B109,'14'!$A:$A,'14'!$G:$G,"pipino il breve")</f>
        <v>103.13</v>
      </c>
      <c r="AI109">
        <f>_xlfn.XLOOKUP(B109,'15'!$A:$A,'15'!$G:$G,"pipino il breve")</f>
        <v>103.26</v>
      </c>
    </row>
    <row r="110" spans="1:35" x14ac:dyDescent="0.2">
      <c r="A110">
        <v>109</v>
      </c>
      <c r="B110" s="2" t="s">
        <v>218</v>
      </c>
      <c r="C110" s="3">
        <v>1.2749999999999999</v>
      </c>
      <c r="D110" s="2" t="s">
        <v>219</v>
      </c>
      <c r="E110" s="2">
        <f>_xlfn.XLOOKUP(B110,'15a'!$A:$A,'15a'!$G:$G,"pipino il breve")</f>
        <v>100.6</v>
      </c>
      <c r="F110" s="2">
        <f>_xlfn.XLOOKUP(B110,'16a'!$A:$A,'16a'!$G:$G,"pipino il breve")</f>
        <v>100.6</v>
      </c>
      <c r="G110" s="2">
        <f>_xlfn.XLOOKUP(B110,'17a'!$A:$A,'17a'!$G:$G,"pipino il breve")</f>
        <v>100.6</v>
      </c>
      <c r="H110" s="2"/>
      <c r="I110" s="2"/>
      <c r="J110" s="2"/>
      <c r="K110" s="2"/>
      <c r="L110" s="2">
        <f>_xlfn.XLOOKUP(B110,'22a'!$A:$A,'22a'!$G:$G,"pipino il breve")</f>
        <v>100.6</v>
      </c>
      <c r="M110" s="2">
        <f>_xlfn.XLOOKUP(B110,'23a'!$A:$A,'23a'!$G:$G,"pipino il breve")</f>
        <v>100.6</v>
      </c>
      <c r="N110" s="2">
        <f>_xlfn.XLOOKUP(B110,'24a'!$A:$A,'24a'!$G:$G,"pipino il breve")</f>
        <v>101.76</v>
      </c>
      <c r="O110" s="3">
        <v>101.64</v>
      </c>
      <c r="P110" s="3"/>
      <c r="Q110" s="3"/>
      <c r="R110">
        <f>_xlfn.XLOOKUP(B110,'28'!$A:$A,'28'!$G:$G,"pipino il breve")</f>
        <v>100.85</v>
      </c>
      <c r="S110">
        <f>_xlfn.XLOOKUP(B110,'29'!$A:$A,'29'!$G:$G,"pipino il breve")</f>
        <v>100.2</v>
      </c>
      <c r="T110" s="11">
        <f>_xlfn.XLOOKUP(B110,'30'!$A:$A,'30'!$G:$G,"pipino il breve")</f>
        <v>100.86</v>
      </c>
      <c r="U110" s="3"/>
      <c r="V110">
        <f>_xlfn.XLOOKUP(B110,'2'!$A:$A,'2'!$G:$G,"pipino il breve")</f>
        <v>100.6</v>
      </c>
      <c r="Y110">
        <f>_xlfn.XLOOKUP(B110,'5'!$A:$A,'5'!$G:$G,"pipino il breve")</f>
        <v>100.43</v>
      </c>
      <c r="Z110">
        <f>_xlfn.XLOOKUP(B110,'6'!$A:$A,'6'!$G:$G,"pipino il breve")</f>
        <v>99.85</v>
      </c>
      <c r="AA110">
        <f>_xlfn.XLOOKUP(B110,'7'!$A:$A,'7'!$G:$G,"pipino il breve")</f>
        <v>101.5</v>
      </c>
      <c r="AB110">
        <f>_xlfn.XLOOKUP(B110,'8'!$A:$A,'8'!$G:$G,"pipino il breve")</f>
        <v>101.45</v>
      </c>
      <c r="AC110">
        <f>_xlfn.XLOOKUP(B110,'9'!$A:$A,'9'!$G:$G,"pipino il breve")</f>
        <v>100.75</v>
      </c>
      <c r="AF110">
        <f>_xlfn.XLOOKUP(B110,'12'!$A:$A,'12'!$G:$G,"pipino il breve")</f>
        <v>100.94</v>
      </c>
      <c r="AG110">
        <f>_xlfn.XLOOKUP(B110,'13'!$A:$A,'13'!$G:$G,"pipino il breve")</f>
        <v>100.55</v>
      </c>
      <c r="AH110">
        <f>_xlfn.XLOOKUP(B110,'14'!$A:$A,'14'!$G:$G,"pipino il breve")</f>
        <v>100.69</v>
      </c>
      <c r="AI110">
        <f>_xlfn.XLOOKUP(B110,'15'!$A:$A,'15'!$G:$G,"pipino il breve")</f>
        <v>101.33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57CD-4A16-314A-AA5B-6BA99870B4EE}">
  <dimension ref="A1:AK110"/>
  <sheetViews>
    <sheetView zoomScale="50" workbookViewId="0">
      <selection activeCell="E1" sqref="E1:AK1"/>
    </sheetView>
  </sheetViews>
  <sheetFormatPr baseColWidth="10" defaultRowHeight="16" x14ac:dyDescent="0.2"/>
  <cols>
    <col min="1" max="1" width="6.83203125" customWidth="1"/>
    <col min="2" max="2" width="13.33203125" bestFit="1" customWidth="1"/>
    <col min="3" max="3" width="8.6640625" bestFit="1" customWidth="1"/>
    <col min="4" max="4" width="11.83203125" bestFit="1" customWidth="1"/>
    <col min="5" max="11" width="10.83203125" customWidth="1"/>
    <col min="20" max="21" width="13" bestFit="1" customWidth="1"/>
  </cols>
  <sheetData>
    <row r="1" spans="1:37" ht="19" x14ac:dyDescent="0.25">
      <c r="A1" s="1" t="s">
        <v>105</v>
      </c>
      <c r="B1" s="1" t="s">
        <v>102</v>
      </c>
      <c r="C1" s="1" t="s">
        <v>103</v>
      </c>
      <c r="D1" s="1" t="s">
        <v>104</v>
      </c>
      <c r="E1" s="12">
        <v>45772</v>
      </c>
      <c r="F1" s="13">
        <v>45773</v>
      </c>
      <c r="G1" s="13">
        <v>45774</v>
      </c>
      <c r="H1" s="12">
        <v>45775</v>
      </c>
      <c r="I1" s="12">
        <v>45776</v>
      </c>
      <c r="J1" s="12">
        <v>45777</v>
      </c>
      <c r="K1" s="13">
        <v>45778</v>
      </c>
      <c r="L1" s="12">
        <v>45779</v>
      </c>
      <c r="M1" s="13">
        <v>45780</v>
      </c>
      <c r="N1" s="13">
        <v>45781</v>
      </c>
      <c r="O1" s="12">
        <v>45782</v>
      </c>
      <c r="P1" s="12">
        <v>45783</v>
      </c>
      <c r="Q1" s="12">
        <v>45784</v>
      </c>
      <c r="R1" s="12">
        <v>45785</v>
      </c>
      <c r="S1" s="12">
        <v>45786</v>
      </c>
      <c r="T1" s="13">
        <v>45787</v>
      </c>
      <c r="U1" s="13">
        <v>45788</v>
      </c>
      <c r="V1" s="12">
        <v>45789</v>
      </c>
      <c r="W1" s="12">
        <v>45790</v>
      </c>
      <c r="X1" s="12">
        <v>45791</v>
      </c>
      <c r="Y1" s="12">
        <v>45792</v>
      </c>
      <c r="Z1" s="12">
        <v>45793</v>
      </c>
      <c r="AA1" s="13">
        <v>45794</v>
      </c>
      <c r="AB1" s="13">
        <v>45795</v>
      </c>
      <c r="AC1" s="12">
        <v>45796</v>
      </c>
      <c r="AD1" s="12">
        <v>45797</v>
      </c>
      <c r="AE1" s="12">
        <v>45798</v>
      </c>
      <c r="AF1" s="12">
        <v>45799</v>
      </c>
      <c r="AG1" s="12">
        <v>45800</v>
      </c>
      <c r="AH1" s="13">
        <v>45801</v>
      </c>
      <c r="AI1" s="13">
        <v>45802</v>
      </c>
      <c r="AJ1" s="12">
        <v>45803</v>
      </c>
      <c r="AK1" s="12">
        <v>45804</v>
      </c>
    </row>
    <row r="2" spans="1:37" x14ac:dyDescent="0.2">
      <c r="A2">
        <v>1</v>
      </c>
      <c r="B2" s="2" t="s">
        <v>4</v>
      </c>
      <c r="C2" s="3">
        <v>2.875</v>
      </c>
      <c r="D2" s="2" t="s">
        <v>106</v>
      </c>
      <c r="E2" s="3">
        <v>117.52</v>
      </c>
      <c r="F2" s="3">
        <v>117.52</v>
      </c>
      <c r="G2" s="3">
        <v>117.52</v>
      </c>
      <c r="H2">
        <f>_xlfn.XLOOKUP(B2,'28'!$A:$A,'28'!$G:$G,"pipino il breve")</f>
        <v>117.4</v>
      </c>
      <c r="I2">
        <f>_xlfn.XLOOKUP(B2,'29'!$A:$A,'29'!$G:$G,"pipino il breve")</f>
        <v>117.36</v>
      </c>
      <c r="J2" s="11">
        <f>_xlfn.XLOOKUP(B2,'30'!$A:$A,'30'!$G:$G,"pipino il breve")</f>
        <v>117.71</v>
      </c>
      <c r="K2" s="3">
        <f>_xlfn.XLOOKUP(B2,'30'!$A:$A,'30'!$G:$G,"pipino il breve")</f>
        <v>117.71</v>
      </c>
      <c r="L2">
        <f>_xlfn.XLOOKUP(B2,'2'!$A:$A,'2'!$G:$G,"pipino il breve")</f>
        <v>117.24</v>
      </c>
      <c r="M2">
        <f>_xlfn.XLOOKUP(B2,'2'!$A:$A,'2'!$G:$G,"pipino il breve")</f>
        <v>117.24</v>
      </c>
      <c r="N2">
        <f>_xlfn.XLOOKUP(B2,'2'!$A:$A,'2'!$G:$G,"pipino il breve")</f>
        <v>117.24</v>
      </c>
      <c r="O2">
        <f>_xlfn.XLOOKUP(B2,'5'!$A:$A,'5'!$G:$G,"pipino il breve")</f>
        <v>117.4</v>
      </c>
      <c r="P2">
        <f>_xlfn.XLOOKUP(B2,'6'!$A:$A,'6'!$G:$G,"pipino il breve")</f>
        <v>117.25</v>
      </c>
      <c r="Q2">
        <f>_xlfn.XLOOKUP(B2,'7'!$A:$A,'7'!$G:$G,"pipino il breve")</f>
        <v>117.67</v>
      </c>
      <c r="R2">
        <f>_xlfn.XLOOKUP(B2,'8'!$A:$A,'8'!$G:$G,"pipino il breve")</f>
        <v>117.56</v>
      </c>
      <c r="S2">
        <f>_xlfn.XLOOKUP(B2,'9'!$A:$A,'9'!$G:$G,"pipino il breve")</f>
        <v>117.32</v>
      </c>
      <c r="T2">
        <f>_xlfn.XLOOKUP(B2,'9'!$A:$A,'9'!$G:$G,"pipino il breve")</f>
        <v>117.32</v>
      </c>
      <c r="U2">
        <f>_xlfn.XLOOKUP(B2,'9'!$A:$A,'9'!$G:$G,"pipino il breve")</f>
        <v>117.32</v>
      </c>
      <c r="V2">
        <f>_xlfn.XLOOKUP(B2,'12'!$A:$A,'12'!$G:$G,"pipino il breve")</f>
        <v>116.74</v>
      </c>
      <c r="W2">
        <f>_xlfn.XLOOKUP(B2,'13'!$A:$A,'13'!$G:$G,"pipino il breve")</f>
        <v>116.59</v>
      </c>
      <c r="X2">
        <f>_xlfn.XLOOKUP(B2,'14'!$A:$A,'14'!$G:$G,"pipino il breve")</f>
        <v>116.5</v>
      </c>
      <c r="Y2">
        <f>_xlfn.XLOOKUP(B2,'15'!$A:$A,'15'!$G:$G,"pipino il breve")</f>
        <v>116.98</v>
      </c>
      <c r="Z2">
        <f>_xlfn.XLOOKUP(B2,'16'!$A:$A,'16'!$G:$G,"pipino il breve")</f>
        <v>117.27</v>
      </c>
      <c r="AA2">
        <f>_xlfn.XLOOKUP(B2,'16'!$A:$A,'16'!$G:$G,"pipino il breve")</f>
        <v>117.27</v>
      </c>
      <c r="AB2">
        <f>_xlfn.XLOOKUP(B2,'16'!$A:$A,'16'!$G:$G,"pipino il breve")</f>
        <v>117.27</v>
      </c>
      <c r="AC2">
        <f>_xlfn.XLOOKUP(B2,'19'!$A:$A,'19'!$G:$G,"pipino il breve")</f>
        <v>117.35</v>
      </c>
      <c r="AD2">
        <f>_xlfn.XLOOKUP(B2,'20'!$A:$A,'20'!$G:$G,"pipino il breve")</f>
        <v>117.17</v>
      </c>
      <c r="AE2">
        <f>_xlfn.XLOOKUP(B2,'21'!$A:$A,'21'!$G:$G,"pipino il breve")</f>
        <v>117.09</v>
      </c>
      <c r="AF2">
        <f>_xlfn.XLOOKUP(B2,'22'!$A:$A,'22'!$G:$G,"pipino il breve")</f>
        <v>116.94</v>
      </c>
      <c r="AG2">
        <f>_xlfn.XLOOKUP(B2,'23'!$A:$A,'23'!$G:$G,"pipino il breve")</f>
        <v>117.38</v>
      </c>
      <c r="AH2">
        <f>_xlfn.XLOOKUP(B2,'23'!$A:$A,'23'!$G:$G,"pipino il breve")</f>
        <v>117.38</v>
      </c>
      <c r="AI2">
        <f>_xlfn.XLOOKUP(B2,'23'!$A:$A,'23'!$G:$G,"pipino il breve")</f>
        <v>117.38</v>
      </c>
      <c r="AJ2">
        <f>_xlfn.XLOOKUP(B2,'26'!$A:$A,'26'!$G:$G,"pipino il breve")</f>
        <v>117.61</v>
      </c>
      <c r="AK2">
        <f>_xlfn.XLOOKUP(B2,'27'!$A:$A,'27'!$G:$G,"pipino il breve")</f>
        <v>117.71</v>
      </c>
    </row>
    <row r="3" spans="1:37" x14ac:dyDescent="0.2">
      <c r="A3">
        <v>2</v>
      </c>
      <c r="B3" s="2" t="s">
        <v>23</v>
      </c>
      <c r="C3" s="3">
        <v>1.1000000000000001</v>
      </c>
      <c r="D3" s="2" t="s">
        <v>107</v>
      </c>
      <c r="E3" s="3">
        <v>100.58</v>
      </c>
      <c r="F3" s="3">
        <v>100.58</v>
      </c>
      <c r="G3" s="3">
        <v>100.58</v>
      </c>
      <c r="H3">
        <f>_xlfn.XLOOKUP(B3,'28'!$A:$A,'28'!$G:$G,"pipino il breve")</f>
        <v>100.6</v>
      </c>
      <c r="I3">
        <f>_xlfn.XLOOKUP(B3,'29'!$A:$A,'29'!$G:$G,"pipino il breve")</f>
        <v>100.57</v>
      </c>
      <c r="J3" s="11">
        <f>_xlfn.XLOOKUP(B3,'30'!$A:$A,'30'!$G:$G,"pipino il breve")</f>
        <v>100.63</v>
      </c>
      <c r="K3" s="3">
        <f>_xlfn.XLOOKUP(B3,'30'!$A:$A,'30'!$G:$G,"pipino il breve")</f>
        <v>100.63</v>
      </c>
      <c r="L3">
        <f>_xlfn.XLOOKUP(B3,'2'!$A:$A,'2'!$G:$G,"pipino il breve")</f>
        <v>100.54</v>
      </c>
      <c r="M3">
        <f>_xlfn.XLOOKUP(B3,'2'!$A:$A,'2'!$G:$G,"pipino il breve")</f>
        <v>100.54</v>
      </c>
      <c r="N3">
        <f>_xlfn.XLOOKUP(B3,'2'!$A:$A,'2'!$G:$G,"pipino il breve")</f>
        <v>100.54</v>
      </c>
      <c r="O3">
        <f>_xlfn.XLOOKUP(B3,'5'!$A:$A,'5'!$G:$G,"pipino il breve")</f>
        <v>100.54</v>
      </c>
      <c r="P3">
        <f>_xlfn.XLOOKUP(B3,'6'!$A:$A,'6'!$G:$G,"pipino il breve")</f>
        <v>100.52</v>
      </c>
      <c r="Q3">
        <f>_xlfn.XLOOKUP(B3,'7'!$A:$A,'7'!$G:$G,"pipino il breve")</f>
        <v>100.67</v>
      </c>
      <c r="R3">
        <f>_xlfn.XLOOKUP(B3,'8'!$A:$A,'8'!$G:$G,"pipino il breve")</f>
        <v>100.56</v>
      </c>
      <c r="S3">
        <f>_xlfn.XLOOKUP(B3,'9'!$A:$A,'9'!$G:$G,"pipino il breve")</f>
        <v>100.5</v>
      </c>
      <c r="T3">
        <f>_xlfn.XLOOKUP(B3,'9'!$A:$A,'9'!$G:$G,"pipino il breve")</f>
        <v>100.5</v>
      </c>
      <c r="U3">
        <f>_xlfn.XLOOKUP(B3,'9'!$A:$A,'9'!$G:$G,"pipino il breve")</f>
        <v>100.5</v>
      </c>
      <c r="V3">
        <f>_xlfn.XLOOKUP(B3,'12'!$A:$A,'12'!$G:$G,"pipino il breve")</f>
        <v>100.29</v>
      </c>
      <c r="W3">
        <f>_xlfn.XLOOKUP(B3,'13'!$A:$A,'13'!$G:$G,"pipino il breve")</f>
        <v>100.2</v>
      </c>
      <c r="X3">
        <f>_xlfn.XLOOKUP(B3,'14'!$A:$A,'14'!$G:$G,"pipino il breve")</f>
        <v>100.28</v>
      </c>
      <c r="Y3">
        <f>_xlfn.XLOOKUP(B3,'15'!$A:$A,'15'!$G:$G,"pipino il breve")</f>
        <v>100.37</v>
      </c>
      <c r="Z3">
        <f>_xlfn.XLOOKUP(B3,'16'!$A:$A,'16'!$G:$G,"pipino il breve")</f>
        <v>100.4</v>
      </c>
      <c r="AA3">
        <f>_xlfn.XLOOKUP(B3,'16'!$A:$A,'16'!$G:$G,"pipino il breve")</f>
        <v>100.4</v>
      </c>
      <c r="AB3">
        <f>_xlfn.XLOOKUP(B3,'16'!$A:$A,'16'!$G:$G,"pipino il breve")</f>
        <v>100.4</v>
      </c>
      <c r="AC3">
        <f>_xlfn.XLOOKUP(B3,'19'!$A:$A,'19'!$G:$G,"pipino il breve")</f>
        <v>100.44</v>
      </c>
      <c r="AD3">
        <f>_xlfn.XLOOKUP(B3,'20'!$A:$A,'20'!$G:$G,"pipino il breve")</f>
        <v>100.41</v>
      </c>
      <c r="AE3">
        <f>_xlfn.XLOOKUP(B3,'21'!$A:$A,'21'!$G:$G,"pipino il breve")</f>
        <v>100.4</v>
      </c>
      <c r="AF3">
        <f>_xlfn.XLOOKUP(B3,'22'!$A:$A,'22'!$G:$G,"pipino il breve")</f>
        <v>100.43</v>
      </c>
      <c r="AG3">
        <f>_xlfn.XLOOKUP(B3,'23'!$A:$A,'23'!$G:$G,"pipino il breve")</f>
        <v>100.69</v>
      </c>
      <c r="AH3">
        <f>_xlfn.XLOOKUP(B3,'23'!$A:$A,'23'!$G:$G,"pipino il breve")</f>
        <v>100.69</v>
      </c>
      <c r="AI3">
        <f>_xlfn.XLOOKUP(B3,'23'!$A:$A,'23'!$G:$G,"pipino il breve")</f>
        <v>100.69</v>
      </c>
      <c r="AJ3">
        <f>_xlfn.XLOOKUP(B3,'26'!$A:$A,'26'!$G:$G,"pipino il breve")</f>
        <v>100.3</v>
      </c>
      <c r="AK3">
        <f>_xlfn.XLOOKUP(B3,'27'!$A:$A,'27'!$G:$G,"pipino il breve")</f>
        <v>100.52</v>
      </c>
    </row>
    <row r="4" spans="1:37" x14ac:dyDescent="0.2">
      <c r="A4">
        <v>3</v>
      </c>
      <c r="B4" s="2" t="s">
        <v>27</v>
      </c>
      <c r="C4" s="3">
        <v>1</v>
      </c>
      <c r="D4" s="2" t="s">
        <v>108</v>
      </c>
      <c r="E4" s="3">
        <v>99.79</v>
      </c>
      <c r="F4" s="3">
        <v>99.79</v>
      </c>
      <c r="G4" s="3">
        <v>99.79</v>
      </c>
      <c r="H4">
        <f>_xlfn.XLOOKUP(B4,'28'!$A:$A,'28'!$G:$G,"pipino il breve")</f>
        <v>99.87</v>
      </c>
      <c r="I4">
        <f>_xlfn.XLOOKUP(B4,'29'!$A:$A,'29'!$G:$G,"pipino il breve")</f>
        <v>99.85</v>
      </c>
      <c r="J4" s="11">
        <f>_xlfn.XLOOKUP(B4,'30'!$A:$A,'30'!$G:$G,"pipino il breve")</f>
        <v>99.93</v>
      </c>
      <c r="K4" s="3">
        <f>_xlfn.XLOOKUP(B4,'30'!$A:$A,'30'!$G:$G,"pipino il breve")</f>
        <v>99.93</v>
      </c>
      <c r="L4">
        <f>_xlfn.XLOOKUP(B4,'2'!$A:$A,'2'!$G:$G,"pipino il breve")</f>
        <v>99.9</v>
      </c>
      <c r="M4">
        <f>_xlfn.XLOOKUP(B4,'2'!$A:$A,'2'!$G:$G,"pipino il breve")</f>
        <v>99.9</v>
      </c>
      <c r="N4">
        <f>_xlfn.XLOOKUP(B4,'2'!$A:$A,'2'!$G:$G,"pipino il breve")</f>
        <v>99.9</v>
      </c>
      <c r="O4">
        <f>_xlfn.XLOOKUP(B4,'5'!$A:$A,'5'!$G:$G,"pipino il breve")</f>
        <v>99.82</v>
      </c>
      <c r="P4">
        <f>_xlfn.XLOOKUP(B4,'6'!$A:$A,'6'!$G:$G,"pipino il breve")</f>
        <v>99.81</v>
      </c>
      <c r="Q4">
        <f>_xlfn.XLOOKUP(B4,'7'!$A:$A,'7'!$G:$G,"pipino il breve")</f>
        <v>99.92</v>
      </c>
      <c r="R4">
        <f>_xlfn.XLOOKUP(B4,'8'!$A:$A,'8'!$G:$G,"pipino il breve")</f>
        <v>99.84</v>
      </c>
      <c r="S4">
        <f>_xlfn.XLOOKUP(B4,'9'!$A:$A,'9'!$G:$G,"pipino il breve")</f>
        <v>99.77</v>
      </c>
      <c r="T4">
        <f>_xlfn.XLOOKUP(B4,'9'!$A:$A,'9'!$G:$G,"pipino il breve")</f>
        <v>99.77</v>
      </c>
      <c r="U4">
        <f>_xlfn.XLOOKUP(B4,'9'!$A:$A,'9'!$G:$G,"pipino il breve")</f>
        <v>99.77</v>
      </c>
      <c r="V4">
        <f>_xlfn.XLOOKUP(B4,'12'!$A:$A,'12'!$G:$G,"pipino il breve")</f>
        <v>99.47</v>
      </c>
      <c r="W4">
        <f>_xlfn.XLOOKUP(B4,'13'!$A:$A,'13'!$G:$G,"pipino il breve")</f>
        <v>99.41</v>
      </c>
      <c r="X4">
        <f>_xlfn.XLOOKUP(B4,'14'!$A:$A,'14'!$G:$G,"pipino il breve")</f>
        <v>99.45</v>
      </c>
      <c r="Y4">
        <f>_xlfn.XLOOKUP(B4,'15'!$A:$A,'15'!$G:$G,"pipino il breve")</f>
        <v>99.5</v>
      </c>
      <c r="Z4">
        <f>_xlfn.XLOOKUP(B4,'16'!$A:$A,'16'!$G:$G,"pipino il breve")</f>
        <v>99.66</v>
      </c>
      <c r="AA4">
        <f>_xlfn.XLOOKUP(B4,'16'!$A:$A,'16'!$G:$G,"pipino il breve")</f>
        <v>99.66</v>
      </c>
      <c r="AB4">
        <f>_xlfn.XLOOKUP(B4,'16'!$A:$A,'16'!$G:$G,"pipino il breve")</f>
        <v>99.66</v>
      </c>
      <c r="AC4">
        <f>_xlfn.XLOOKUP(B4,'19'!$A:$A,'19'!$G:$G,"pipino il breve")</f>
        <v>99.71</v>
      </c>
      <c r="AD4">
        <f>_xlfn.XLOOKUP(B4,'20'!$A:$A,'20'!$G:$G,"pipino il breve")</f>
        <v>99.71</v>
      </c>
      <c r="AE4">
        <f>_xlfn.XLOOKUP(B4,'21'!$A:$A,'21'!$G:$G,"pipino il breve")</f>
        <v>99.64</v>
      </c>
      <c r="AF4">
        <f>_xlfn.XLOOKUP(B4,'22'!$A:$A,'22'!$G:$G,"pipino il breve")</f>
        <v>99.68</v>
      </c>
      <c r="AG4">
        <f>_xlfn.XLOOKUP(B4,'23'!$A:$A,'23'!$G:$G,"pipino il breve")</f>
        <v>99.82</v>
      </c>
      <c r="AH4">
        <f>_xlfn.XLOOKUP(B4,'23'!$A:$A,'23'!$G:$G,"pipino il breve")</f>
        <v>99.82</v>
      </c>
      <c r="AI4">
        <f>_xlfn.XLOOKUP(B4,'23'!$A:$A,'23'!$G:$G,"pipino il breve")</f>
        <v>99.82</v>
      </c>
      <c r="AJ4">
        <f>_xlfn.XLOOKUP(B4,'26'!$A:$A,'26'!$G:$G,"pipino il breve")</f>
        <v>99.82</v>
      </c>
      <c r="AK4">
        <f>_xlfn.XLOOKUP(B4,'27'!$A:$A,'27'!$G:$G,"pipino il breve")</f>
        <v>99.79</v>
      </c>
    </row>
    <row r="5" spans="1:37" x14ac:dyDescent="0.2">
      <c r="A5">
        <v>4</v>
      </c>
      <c r="B5" s="2" t="s">
        <v>32</v>
      </c>
      <c r="C5" s="3">
        <v>1.5</v>
      </c>
      <c r="D5" s="2" t="s">
        <v>109</v>
      </c>
      <c r="E5" s="3">
        <v>102.36</v>
      </c>
      <c r="F5" s="3">
        <v>102.36</v>
      </c>
      <c r="G5" s="3">
        <v>102.36</v>
      </c>
      <c r="H5">
        <f>_xlfn.XLOOKUP(B5,'28'!$A:$A,'28'!$G:$G,"pipino il breve")</f>
        <v>102.35</v>
      </c>
      <c r="I5">
        <f>_xlfn.XLOOKUP(B5,'29'!$A:$A,'29'!$G:$G,"pipino il breve")</f>
        <v>102.28</v>
      </c>
      <c r="J5" s="11">
        <f>_xlfn.XLOOKUP(B5,'30'!$A:$A,'30'!$G:$G,"pipino il breve")</f>
        <v>102.48</v>
      </c>
      <c r="K5" s="3">
        <f>_xlfn.XLOOKUP(B5,'30'!$A:$A,'30'!$G:$G,"pipino il breve")</f>
        <v>102.48</v>
      </c>
      <c r="L5">
        <f>_xlfn.XLOOKUP(B5,'2'!$A:$A,'2'!$G:$G,"pipino il breve")</f>
        <v>102.31</v>
      </c>
      <c r="M5">
        <f>_xlfn.XLOOKUP(B5,'2'!$A:$A,'2'!$G:$G,"pipino il breve")</f>
        <v>102.31</v>
      </c>
      <c r="N5">
        <f>_xlfn.XLOOKUP(B5,'2'!$A:$A,'2'!$G:$G,"pipino il breve")</f>
        <v>102.31</v>
      </c>
      <c r="O5">
        <f>_xlfn.XLOOKUP(B5,'5'!$A:$A,'5'!$G:$G,"pipino il breve")</f>
        <v>102.3</v>
      </c>
      <c r="P5">
        <f>_xlfn.XLOOKUP(B5,'6'!$A:$A,'6'!$G:$G,"pipino il breve")</f>
        <v>102.29</v>
      </c>
      <c r="Q5">
        <f>_xlfn.XLOOKUP(B5,'7'!$A:$A,'7'!$G:$G,"pipino il breve")</f>
        <v>102.52</v>
      </c>
      <c r="R5">
        <f>_xlfn.XLOOKUP(B5,'8'!$A:$A,'8'!$G:$G,"pipino il breve")</f>
        <v>102.23</v>
      </c>
      <c r="S5">
        <f>_xlfn.XLOOKUP(B5,'9'!$A:$A,'9'!$G:$G,"pipino il breve")</f>
        <v>102.25</v>
      </c>
      <c r="T5">
        <f>_xlfn.XLOOKUP(B5,'9'!$A:$A,'9'!$G:$G,"pipino il breve")</f>
        <v>102.25</v>
      </c>
      <c r="U5">
        <f>_xlfn.XLOOKUP(B5,'9'!$A:$A,'9'!$G:$G,"pipino il breve")</f>
        <v>102.25</v>
      </c>
      <c r="V5">
        <f>_xlfn.XLOOKUP(B5,'12'!$A:$A,'12'!$G:$G,"pipino il breve")</f>
        <v>101.84</v>
      </c>
      <c r="W5">
        <f>_xlfn.XLOOKUP(B5,'13'!$A:$A,'13'!$G:$G,"pipino il breve")</f>
        <v>101.79</v>
      </c>
      <c r="X5">
        <f>_xlfn.XLOOKUP(B5,'14'!$A:$A,'14'!$G:$G,"pipino il breve")</f>
        <v>101.77</v>
      </c>
      <c r="Y5">
        <f>_xlfn.XLOOKUP(B5,'15'!$A:$A,'15'!$G:$G,"pipino il breve")</f>
        <v>102.29</v>
      </c>
      <c r="Z5">
        <f>_xlfn.XLOOKUP(B5,'16'!$A:$A,'16'!$G:$G,"pipino il breve")</f>
        <v>102.17</v>
      </c>
      <c r="AA5">
        <f>_xlfn.XLOOKUP(B5,'16'!$A:$A,'16'!$G:$G,"pipino il breve")</f>
        <v>102.17</v>
      </c>
      <c r="AB5">
        <f>_xlfn.XLOOKUP(B5,'16'!$A:$A,'16'!$G:$G,"pipino il breve")</f>
        <v>102.17</v>
      </c>
      <c r="AC5">
        <f>_xlfn.XLOOKUP(B5,'19'!$A:$A,'19'!$G:$G,"pipino il breve")</f>
        <v>102.16</v>
      </c>
      <c r="AD5">
        <f>_xlfn.XLOOKUP(B5,'20'!$A:$A,'20'!$G:$G,"pipino il breve")</f>
        <v>102.11</v>
      </c>
      <c r="AE5">
        <f>_xlfn.XLOOKUP(B5,'21'!$A:$A,'21'!$G:$G,"pipino il breve")</f>
        <v>102.04</v>
      </c>
      <c r="AF5">
        <f>_xlfn.XLOOKUP(B5,'22'!$A:$A,'22'!$G:$G,"pipino il breve")</f>
        <v>102.05</v>
      </c>
      <c r="AG5">
        <f>_xlfn.XLOOKUP(B5,'23'!$A:$A,'23'!$G:$G,"pipino il breve")</f>
        <v>102.28</v>
      </c>
      <c r="AH5">
        <f>_xlfn.XLOOKUP(B5,'23'!$A:$A,'23'!$G:$G,"pipino il breve")</f>
        <v>102.28</v>
      </c>
      <c r="AI5">
        <f>_xlfn.XLOOKUP(B5,'23'!$A:$A,'23'!$G:$G,"pipino il breve")</f>
        <v>102.28</v>
      </c>
      <c r="AJ5">
        <f>_xlfn.XLOOKUP(B5,'26'!$A:$A,'26'!$G:$G,"pipino il breve")</f>
        <v>102.29</v>
      </c>
      <c r="AK5">
        <f>_xlfn.XLOOKUP(B5,'27'!$A:$A,'27'!$G:$G,"pipino il breve")</f>
        <v>102.31</v>
      </c>
    </row>
    <row r="6" spans="1:37" x14ac:dyDescent="0.2">
      <c r="A6">
        <v>5</v>
      </c>
      <c r="B6" s="2" t="s">
        <v>83</v>
      </c>
      <c r="C6" s="3">
        <v>2.0750000000000002</v>
      </c>
      <c r="D6" s="2" t="s">
        <v>110</v>
      </c>
      <c r="E6" s="3">
        <v>102.48</v>
      </c>
      <c r="F6" s="3">
        <v>102.48</v>
      </c>
      <c r="G6" s="3">
        <v>102.48</v>
      </c>
      <c r="H6">
        <f>_xlfn.XLOOKUP(B6,'28'!$A:$A,'28'!$G:$G,"pipino il breve")</f>
        <v>102.27</v>
      </c>
      <c r="I6">
        <f>_xlfn.XLOOKUP(B6,'29'!$A:$A,'29'!$G:$G,"pipino il breve")</f>
        <v>102.21</v>
      </c>
      <c r="J6" s="11">
        <f>_xlfn.XLOOKUP(B6,'30'!$A:$A,'30'!$G:$G,"pipino il breve")</f>
        <v>102.58</v>
      </c>
      <c r="K6" s="3">
        <f>_xlfn.XLOOKUP(B6,'30'!$A:$A,'30'!$G:$G,"pipino il breve")</f>
        <v>102.58</v>
      </c>
      <c r="L6">
        <f>_xlfn.XLOOKUP(B6,'2'!$A:$A,'2'!$G:$G,"pipino il breve")</f>
        <v>102.18</v>
      </c>
      <c r="M6">
        <f>_xlfn.XLOOKUP(B6,'2'!$A:$A,'2'!$G:$G,"pipino il breve")</f>
        <v>102.18</v>
      </c>
      <c r="N6">
        <f>_xlfn.XLOOKUP(B6,'2'!$A:$A,'2'!$G:$G,"pipino il breve")</f>
        <v>102.18</v>
      </c>
      <c r="O6">
        <f>_xlfn.XLOOKUP(B6,'5'!$A:$A,'5'!$G:$G,"pipino il breve")</f>
        <v>102.15</v>
      </c>
      <c r="P6">
        <f>_xlfn.XLOOKUP(B6,'6'!$A:$A,'6'!$G:$G,"pipino il breve")</f>
        <v>101.96</v>
      </c>
      <c r="Q6">
        <f>_xlfn.XLOOKUP(B6,'7'!$A:$A,'7'!$G:$G,"pipino il breve")</f>
        <v>102.73</v>
      </c>
      <c r="R6">
        <f>_xlfn.XLOOKUP(B6,'8'!$A:$A,'8'!$G:$G,"pipino il breve")</f>
        <v>102.5</v>
      </c>
      <c r="S6">
        <f>_xlfn.XLOOKUP(B6,'9'!$A:$A,'9'!$G:$G,"pipino il breve")</f>
        <v>102.1</v>
      </c>
      <c r="T6">
        <f>_xlfn.XLOOKUP(B6,'9'!$A:$A,'9'!$G:$G,"pipino il breve")</f>
        <v>102.1</v>
      </c>
      <c r="U6">
        <f>_xlfn.XLOOKUP(B6,'9'!$A:$A,'9'!$G:$G,"pipino il breve")</f>
        <v>102.1</v>
      </c>
      <c r="V6">
        <f>_xlfn.XLOOKUP(B6,'12'!$A:$A,'12'!$G:$G,"pipino il breve")</f>
        <v>101.61</v>
      </c>
      <c r="W6">
        <f>_xlfn.XLOOKUP(B6,'13'!$A:$A,'13'!$G:$G,"pipino il breve")</f>
        <v>101.22</v>
      </c>
      <c r="X6">
        <f>_xlfn.XLOOKUP(B6,'14'!$A:$A,'14'!$G:$G,"pipino il breve")</f>
        <v>101.24</v>
      </c>
      <c r="Y6">
        <f>_xlfn.XLOOKUP(B6,'15'!$A:$A,'15'!$G:$G,"pipino il breve")</f>
        <v>101.99</v>
      </c>
      <c r="Z6">
        <f>_xlfn.XLOOKUP(B6,'16'!$A:$A,'16'!$G:$G,"pipino il breve")</f>
        <v>102.46</v>
      </c>
      <c r="AA6">
        <f>_xlfn.XLOOKUP(B6,'16'!$A:$A,'16'!$G:$G,"pipino il breve")</f>
        <v>102.46</v>
      </c>
      <c r="AB6">
        <f>_xlfn.XLOOKUP(B6,'16'!$A:$A,'16'!$G:$G,"pipino il breve")</f>
        <v>102.46</v>
      </c>
      <c r="AC6">
        <f>_xlfn.XLOOKUP(B6,'19'!$A:$A,'19'!$G:$G,"pipino il breve")</f>
        <v>102.41</v>
      </c>
      <c r="AD6">
        <f>_xlfn.XLOOKUP(B6,'20'!$A:$A,'20'!$G:$G,"pipino il breve")</f>
        <v>102.12</v>
      </c>
      <c r="AE6">
        <f>_xlfn.XLOOKUP(B6,'21'!$A:$A,'21'!$G:$G,"pipino il breve")</f>
        <v>101.84</v>
      </c>
      <c r="AF6">
        <f>_xlfn.XLOOKUP(B6,'22'!$A:$A,'22'!$G:$G,"pipino il breve")</f>
        <v>101.59</v>
      </c>
      <c r="AG6">
        <f>_xlfn.XLOOKUP(B6,'23'!$A:$A,'23'!$G:$G,"pipino il breve")</f>
        <v>102.03</v>
      </c>
      <c r="AH6">
        <f>_xlfn.XLOOKUP(B6,'23'!$A:$A,'23'!$G:$G,"pipino il breve")</f>
        <v>102.03</v>
      </c>
      <c r="AI6">
        <f>_xlfn.XLOOKUP(B6,'23'!$A:$A,'23'!$G:$G,"pipino il breve")</f>
        <v>102.03</v>
      </c>
      <c r="AJ6">
        <f>_xlfn.XLOOKUP(B6,'26'!$A:$A,'26'!$G:$G,"pipino il breve")</f>
        <v>102.56</v>
      </c>
      <c r="AK6">
        <f>_xlfn.XLOOKUP(B6,'27'!$A:$A,'27'!$G:$G,"pipino il breve")</f>
        <v>102.99</v>
      </c>
    </row>
    <row r="7" spans="1:37" x14ac:dyDescent="0.2">
      <c r="A7">
        <v>6</v>
      </c>
      <c r="B7" s="2" t="s">
        <v>49</v>
      </c>
      <c r="C7" s="3">
        <v>0.3</v>
      </c>
      <c r="D7" s="2" t="s">
        <v>111</v>
      </c>
      <c r="E7" s="3">
        <v>86.93</v>
      </c>
      <c r="F7" s="3">
        <v>86.93</v>
      </c>
      <c r="G7" s="3">
        <v>86.93</v>
      </c>
      <c r="H7">
        <f>_xlfn.XLOOKUP(B7,'28'!$A:$A,'28'!$G:$G,"pipino il breve")</f>
        <v>86.88</v>
      </c>
      <c r="I7">
        <f>_xlfn.XLOOKUP(B7,'29'!$A:$A,'29'!$G:$G,"pipino il breve")</f>
        <v>86.91</v>
      </c>
      <c r="J7" s="11">
        <f>_xlfn.XLOOKUP(B7,'30'!$A:$A,'30'!$G:$G,"pipino il breve")</f>
        <v>87.13</v>
      </c>
      <c r="K7" s="3">
        <f>_xlfn.XLOOKUP(B7,'30'!$A:$A,'30'!$G:$G,"pipino il breve")</f>
        <v>87.13</v>
      </c>
      <c r="L7">
        <f>_xlfn.XLOOKUP(B7,'2'!$A:$A,'2'!$G:$G,"pipino il breve")</f>
        <v>86.86</v>
      </c>
      <c r="M7">
        <f>_xlfn.XLOOKUP(B7,'2'!$A:$A,'2'!$G:$G,"pipino il breve")</f>
        <v>86.86</v>
      </c>
      <c r="N7">
        <f>_xlfn.XLOOKUP(B7,'2'!$A:$A,'2'!$G:$G,"pipino il breve")</f>
        <v>86.86</v>
      </c>
      <c r="O7">
        <f>_xlfn.XLOOKUP(B7,'5'!$A:$A,'5'!$G:$G,"pipino il breve")</f>
        <v>86.92</v>
      </c>
      <c r="P7">
        <f>_xlfn.XLOOKUP(B7,'6'!$A:$A,'6'!$G:$G,"pipino il breve")</f>
        <v>86.92</v>
      </c>
      <c r="Q7">
        <f>_xlfn.XLOOKUP(B7,'7'!$A:$A,'7'!$G:$G,"pipino il breve")</f>
        <v>87.2</v>
      </c>
      <c r="R7">
        <f>_xlfn.XLOOKUP(B7,'8'!$A:$A,'8'!$G:$G,"pipino il breve")</f>
        <v>87.1</v>
      </c>
      <c r="S7">
        <f>_xlfn.XLOOKUP(B7,'9'!$A:$A,'9'!$G:$G,"pipino il breve")</f>
        <v>86.94</v>
      </c>
      <c r="T7">
        <f>_xlfn.XLOOKUP(B7,'9'!$A:$A,'9'!$G:$G,"pipino il breve")</f>
        <v>86.94</v>
      </c>
      <c r="U7">
        <f>_xlfn.XLOOKUP(B7,'9'!$A:$A,'9'!$G:$G,"pipino il breve")</f>
        <v>86.94</v>
      </c>
      <c r="V7">
        <f>_xlfn.XLOOKUP(B7,'12'!$A:$A,'12'!$G:$G,"pipino il breve")</f>
        <v>86.51</v>
      </c>
      <c r="W7">
        <f>_xlfn.XLOOKUP(B7,'13'!$A:$A,'13'!$G:$G,"pipino il breve")</f>
        <v>86.4</v>
      </c>
      <c r="X7">
        <f>_xlfn.XLOOKUP(B7,'14'!$A:$A,'14'!$G:$G,"pipino il breve")</f>
        <v>86.36</v>
      </c>
      <c r="Y7">
        <f>_xlfn.XLOOKUP(B7,'15'!$A:$A,'15'!$G:$G,"pipino il breve")</f>
        <v>86.7</v>
      </c>
      <c r="Z7">
        <f>_xlfn.XLOOKUP(B7,'16'!$A:$A,'16'!$G:$G,"pipino il breve")</f>
        <v>86.91</v>
      </c>
      <c r="AA7">
        <f>_xlfn.XLOOKUP(B7,'16'!$A:$A,'16'!$G:$G,"pipino il breve")</f>
        <v>86.91</v>
      </c>
      <c r="AB7">
        <f>_xlfn.XLOOKUP(B7,'16'!$A:$A,'16'!$G:$G,"pipino il breve")</f>
        <v>86.91</v>
      </c>
      <c r="AC7">
        <f>_xlfn.XLOOKUP(B7,'19'!$A:$A,'19'!$G:$G,"pipino il breve")</f>
        <v>86.98</v>
      </c>
      <c r="AD7">
        <f>_xlfn.XLOOKUP(B7,'20'!$A:$A,'20'!$G:$G,"pipino il breve")</f>
        <v>86.97</v>
      </c>
      <c r="AE7">
        <f>_xlfn.XLOOKUP(B7,'21'!$A:$A,'21'!$G:$G,"pipino il breve")</f>
        <v>86.83</v>
      </c>
      <c r="AF7">
        <f>_xlfn.XLOOKUP(B7,'22'!$A:$A,'22'!$G:$G,"pipino il breve")</f>
        <v>86.79</v>
      </c>
      <c r="AG7">
        <f>_xlfn.XLOOKUP(B7,'23'!$A:$A,'23'!$G:$G,"pipino il breve")</f>
        <v>87.07</v>
      </c>
      <c r="AH7">
        <f>_xlfn.XLOOKUP(B7,'23'!$A:$A,'23'!$G:$G,"pipino il breve")</f>
        <v>87.07</v>
      </c>
      <c r="AI7">
        <f>_xlfn.XLOOKUP(B7,'23'!$A:$A,'23'!$G:$G,"pipino il breve")</f>
        <v>87.07</v>
      </c>
      <c r="AJ7">
        <f>_xlfn.XLOOKUP(B7,'26'!$A:$A,'26'!$G:$G,"pipino il breve")</f>
        <v>87.21</v>
      </c>
      <c r="AK7">
        <f>_xlfn.XLOOKUP(B7,'27'!$A:$A,'27'!$G:$G,"pipino il breve")</f>
        <v>87.28</v>
      </c>
    </row>
    <row r="8" spans="1:37" x14ac:dyDescent="0.2">
      <c r="A8">
        <v>7</v>
      </c>
      <c r="B8" s="2" t="s">
        <v>11</v>
      </c>
      <c r="C8" s="3">
        <v>2.375</v>
      </c>
      <c r="D8" s="2" t="s">
        <v>112</v>
      </c>
      <c r="E8" s="3">
        <v>108.74</v>
      </c>
      <c r="F8" s="3">
        <v>108.74</v>
      </c>
      <c r="G8" s="3">
        <v>108.74</v>
      </c>
      <c r="H8">
        <f>_xlfn.XLOOKUP(B8,'28'!$A:$A,'28'!$G:$G,"pipino il breve")</f>
        <v>108.57</v>
      </c>
      <c r="I8">
        <f>_xlfn.XLOOKUP(B8,'29'!$A:$A,'29'!$G:$G,"pipino il breve")</f>
        <v>108.41</v>
      </c>
      <c r="J8" s="11">
        <f>_xlfn.XLOOKUP(B8,'30'!$A:$A,'30'!$G:$G,"pipino il breve")</f>
        <v>108.82</v>
      </c>
      <c r="K8" s="3">
        <f>_xlfn.XLOOKUP(B8,'30'!$A:$A,'30'!$G:$G,"pipino il breve")</f>
        <v>108.82</v>
      </c>
      <c r="L8">
        <f>_xlfn.XLOOKUP(B8,'2'!$A:$A,'2'!$G:$G,"pipino il breve")</f>
        <v>108.14</v>
      </c>
      <c r="M8">
        <f>_xlfn.XLOOKUP(B8,'2'!$A:$A,'2'!$G:$G,"pipino il breve")</f>
        <v>108.14</v>
      </c>
      <c r="N8">
        <f>_xlfn.XLOOKUP(B8,'2'!$A:$A,'2'!$G:$G,"pipino il breve")</f>
        <v>108.14</v>
      </c>
      <c r="O8">
        <f>_xlfn.XLOOKUP(B8,'5'!$A:$A,'5'!$G:$G,"pipino il breve")</f>
        <v>108.34</v>
      </c>
      <c r="P8">
        <f>_xlfn.XLOOKUP(B8,'6'!$A:$A,'6'!$G:$G,"pipino il breve")</f>
        <v>108.05</v>
      </c>
      <c r="Q8">
        <f>_xlfn.XLOOKUP(B8,'7'!$A:$A,'7'!$G:$G,"pipino il breve")</f>
        <v>108.96</v>
      </c>
      <c r="R8">
        <f>_xlfn.XLOOKUP(B8,'8'!$A:$A,'8'!$G:$G,"pipino il breve")</f>
        <v>108.58</v>
      </c>
      <c r="S8">
        <f>_xlfn.XLOOKUP(B8,'9'!$A:$A,'9'!$G:$G,"pipino il breve")</f>
        <v>108.15</v>
      </c>
      <c r="T8">
        <f>_xlfn.XLOOKUP(B8,'9'!$A:$A,'9'!$G:$G,"pipino il breve")</f>
        <v>108.15</v>
      </c>
      <c r="U8">
        <f>_xlfn.XLOOKUP(B8,'9'!$A:$A,'9'!$G:$G,"pipino il breve")</f>
        <v>108.15</v>
      </c>
      <c r="V8">
        <f>_xlfn.XLOOKUP(B8,'12'!$A:$A,'12'!$G:$G,"pipino il breve")</f>
        <v>107.6</v>
      </c>
      <c r="W8">
        <f>_xlfn.XLOOKUP(B8,'13'!$A:$A,'13'!$G:$G,"pipino il breve")</f>
        <v>107.16</v>
      </c>
      <c r="X8">
        <f>_xlfn.XLOOKUP(B8,'14'!$A:$A,'14'!$G:$G,"pipino il breve")</f>
        <v>107.17</v>
      </c>
      <c r="Y8">
        <f>_xlfn.XLOOKUP(B8,'15'!$A:$A,'15'!$G:$G,"pipino il breve")</f>
        <v>108.08</v>
      </c>
      <c r="Z8">
        <f>_xlfn.XLOOKUP(B8,'16'!$A:$A,'16'!$G:$G,"pipino il breve")</f>
        <v>108.6</v>
      </c>
      <c r="AA8">
        <f>_xlfn.XLOOKUP(B8,'16'!$A:$A,'16'!$G:$G,"pipino il breve")</f>
        <v>108.6</v>
      </c>
      <c r="AB8">
        <f>_xlfn.XLOOKUP(B8,'16'!$A:$A,'16'!$G:$G,"pipino il breve")</f>
        <v>108.6</v>
      </c>
      <c r="AC8">
        <f>_xlfn.XLOOKUP(B8,'19'!$A:$A,'19'!$G:$G,"pipino il breve")</f>
        <v>108.6</v>
      </c>
      <c r="AD8">
        <f>_xlfn.XLOOKUP(B8,'20'!$A:$A,'20'!$G:$G,"pipino il breve")</f>
        <v>108.17</v>
      </c>
      <c r="AE8">
        <f>_xlfn.XLOOKUP(B8,'21'!$A:$A,'21'!$G:$G,"pipino il breve")</f>
        <v>107.78</v>
      </c>
      <c r="AF8">
        <f>_xlfn.XLOOKUP(B8,'22'!$A:$A,'22'!$G:$G,"pipino il breve")</f>
        <v>107.3</v>
      </c>
      <c r="AG8">
        <f>_xlfn.XLOOKUP(B8,'23'!$A:$A,'23'!$G:$G,"pipino il breve")</f>
        <v>107.98</v>
      </c>
      <c r="AH8">
        <f>_xlfn.XLOOKUP(B8,'23'!$A:$A,'23'!$G:$G,"pipino il breve")</f>
        <v>107.98</v>
      </c>
      <c r="AI8">
        <f>_xlfn.XLOOKUP(B8,'23'!$A:$A,'23'!$G:$G,"pipino il breve")</f>
        <v>107.98</v>
      </c>
      <c r="AJ8">
        <f>_xlfn.XLOOKUP(B8,'26'!$A:$A,'26'!$G:$G,"pipino il breve")</f>
        <v>108.56</v>
      </c>
      <c r="AK8">
        <f>_xlfn.XLOOKUP(B8,'27'!$A:$A,'27'!$G:$G,"pipino il breve")</f>
        <v>109.24</v>
      </c>
    </row>
    <row r="9" spans="1:37" x14ac:dyDescent="0.2">
      <c r="A9">
        <v>8</v>
      </c>
      <c r="B9" s="2" t="s">
        <v>12</v>
      </c>
      <c r="C9" s="3">
        <v>1.75</v>
      </c>
      <c r="D9" s="2" t="s">
        <v>113</v>
      </c>
      <c r="E9" s="3">
        <v>104.38</v>
      </c>
      <c r="F9" s="3">
        <v>104.38</v>
      </c>
      <c r="G9" s="3">
        <v>104.38</v>
      </c>
      <c r="H9">
        <f>_xlfn.XLOOKUP(B9,'28'!$A:$A,'28'!$G:$G,"pipino il breve")</f>
        <v>104.46</v>
      </c>
      <c r="I9">
        <f>_xlfn.XLOOKUP(B9,'29'!$A:$A,'29'!$G:$G,"pipino il breve")</f>
        <v>104.4</v>
      </c>
      <c r="J9" s="11">
        <f>_xlfn.XLOOKUP(B9,'30'!$A:$A,'30'!$G:$G,"pipino il breve")</f>
        <v>104.51</v>
      </c>
      <c r="K9" s="3">
        <f>_xlfn.XLOOKUP(B9,'30'!$A:$A,'30'!$G:$G,"pipino il breve")</f>
        <v>104.51</v>
      </c>
      <c r="L9">
        <f>_xlfn.XLOOKUP(B9,'2'!$A:$A,'2'!$G:$G,"pipino il breve")</f>
        <v>104.37</v>
      </c>
      <c r="M9">
        <f>_xlfn.XLOOKUP(B9,'2'!$A:$A,'2'!$G:$G,"pipino il breve")</f>
        <v>104.37</v>
      </c>
      <c r="N9">
        <f>_xlfn.XLOOKUP(B9,'2'!$A:$A,'2'!$G:$G,"pipino il breve")</f>
        <v>104.37</v>
      </c>
      <c r="O9">
        <f>_xlfn.XLOOKUP(B9,'5'!$A:$A,'5'!$G:$G,"pipino il breve")</f>
        <v>104.36</v>
      </c>
      <c r="P9">
        <f>_xlfn.XLOOKUP(B9,'6'!$A:$A,'6'!$G:$G,"pipino il breve")</f>
        <v>104.4</v>
      </c>
      <c r="Q9">
        <f>_xlfn.XLOOKUP(B9,'7'!$A:$A,'7'!$G:$G,"pipino il breve")</f>
        <v>104.6</v>
      </c>
      <c r="R9">
        <f>_xlfn.XLOOKUP(B9,'8'!$A:$A,'8'!$G:$G,"pipino il breve")</f>
        <v>104.45</v>
      </c>
      <c r="S9">
        <f>_xlfn.XLOOKUP(B9,'9'!$A:$A,'9'!$G:$G,"pipino il breve")</f>
        <v>104.28</v>
      </c>
      <c r="T9">
        <f>_xlfn.XLOOKUP(B9,'9'!$A:$A,'9'!$G:$G,"pipino il breve")</f>
        <v>104.28</v>
      </c>
      <c r="U9">
        <f>_xlfn.XLOOKUP(B9,'9'!$A:$A,'9'!$G:$G,"pipino il breve")</f>
        <v>104.28</v>
      </c>
      <c r="V9">
        <f>_xlfn.XLOOKUP(B9,'12'!$A:$A,'12'!$G:$G,"pipino il breve")</f>
        <v>103.84</v>
      </c>
      <c r="W9">
        <f>_xlfn.XLOOKUP(B9,'13'!$A:$A,'13'!$G:$G,"pipino il breve")</f>
        <v>103.78</v>
      </c>
      <c r="X9">
        <f>_xlfn.XLOOKUP(B9,'14'!$A:$A,'14'!$G:$G,"pipino il breve")</f>
        <v>103.75</v>
      </c>
      <c r="Y9">
        <f>_xlfn.XLOOKUP(B9,'15'!$A:$A,'15'!$G:$G,"pipino il breve")</f>
        <v>103.99</v>
      </c>
      <c r="Z9">
        <f>_xlfn.XLOOKUP(B9,'16'!$A:$A,'16'!$G:$G,"pipino il breve")</f>
        <v>104.13</v>
      </c>
      <c r="AA9">
        <f>_xlfn.XLOOKUP(B9,'16'!$A:$A,'16'!$G:$G,"pipino il breve")</f>
        <v>104.13</v>
      </c>
      <c r="AB9">
        <f>_xlfn.XLOOKUP(B9,'16'!$A:$A,'16'!$G:$G,"pipino il breve")</f>
        <v>104.13</v>
      </c>
      <c r="AC9">
        <f>_xlfn.XLOOKUP(B9,'19'!$A:$A,'19'!$G:$G,"pipino il breve")</f>
        <v>104.23</v>
      </c>
      <c r="AD9">
        <f>_xlfn.XLOOKUP(B9,'20'!$A:$A,'20'!$G:$G,"pipino il breve")</f>
        <v>104.21</v>
      </c>
      <c r="AE9">
        <f>_xlfn.XLOOKUP(B9,'21'!$A:$A,'21'!$G:$G,"pipino il breve")</f>
        <v>104.13</v>
      </c>
      <c r="AF9">
        <f>_xlfn.XLOOKUP(B9,'22'!$A:$A,'22'!$G:$G,"pipino il breve")</f>
        <v>104.1</v>
      </c>
      <c r="AG9">
        <f>_xlfn.XLOOKUP(B9,'23'!$A:$A,'23'!$G:$G,"pipino il breve")</f>
        <v>104.36</v>
      </c>
      <c r="AH9">
        <f>_xlfn.XLOOKUP(B9,'23'!$A:$A,'23'!$G:$G,"pipino il breve")</f>
        <v>104.36</v>
      </c>
      <c r="AI9">
        <f>_xlfn.XLOOKUP(B9,'23'!$A:$A,'23'!$G:$G,"pipino il breve")</f>
        <v>104.36</v>
      </c>
      <c r="AJ9">
        <f>_xlfn.XLOOKUP(B9,'26'!$A:$A,'26'!$G:$G,"pipino il breve")</f>
        <v>104.42</v>
      </c>
      <c r="AK9">
        <f>_xlfn.XLOOKUP(B9,'27'!$A:$A,'27'!$G:$G,"pipino il breve")</f>
        <v>104.4</v>
      </c>
    </row>
    <row r="10" spans="1:37" x14ac:dyDescent="0.2">
      <c r="A10">
        <v>9</v>
      </c>
      <c r="B10" s="2" t="s">
        <v>15</v>
      </c>
      <c r="C10" s="3">
        <v>0.82499999999999996</v>
      </c>
      <c r="D10" s="2" t="s">
        <v>114</v>
      </c>
      <c r="E10" s="3">
        <v>91.72</v>
      </c>
      <c r="F10" s="3">
        <v>91.72</v>
      </c>
      <c r="G10" s="3">
        <v>91.72</v>
      </c>
      <c r="H10">
        <f>_xlfn.XLOOKUP(B10,'28'!$A:$A,'28'!$G:$G,"pipino il breve")</f>
        <v>91.68</v>
      </c>
      <c r="I10">
        <f>_xlfn.XLOOKUP(B10,'29'!$A:$A,'29'!$G:$G,"pipino il breve")</f>
        <v>91.64</v>
      </c>
      <c r="J10" s="11">
        <f>_xlfn.XLOOKUP(B10,'30'!$A:$A,'30'!$G:$G,"pipino il breve")</f>
        <v>91.9</v>
      </c>
      <c r="K10" s="3">
        <f>_xlfn.XLOOKUP(B10,'30'!$A:$A,'30'!$G:$G,"pipino il breve")</f>
        <v>91.9</v>
      </c>
      <c r="L10">
        <f>_xlfn.XLOOKUP(B10,'2'!$A:$A,'2'!$G:$G,"pipino il breve")</f>
        <v>91.64</v>
      </c>
      <c r="M10">
        <f>_xlfn.XLOOKUP(B10,'2'!$A:$A,'2'!$G:$G,"pipino il breve")</f>
        <v>91.64</v>
      </c>
      <c r="N10">
        <f>_xlfn.XLOOKUP(B10,'2'!$A:$A,'2'!$G:$G,"pipino il breve")</f>
        <v>91.64</v>
      </c>
      <c r="O10">
        <f>_xlfn.XLOOKUP(B10,'5'!$A:$A,'5'!$G:$G,"pipino il breve")</f>
        <v>91.67</v>
      </c>
      <c r="P10">
        <f>_xlfn.XLOOKUP(B10,'6'!$A:$A,'6'!$G:$G,"pipino il breve")</f>
        <v>91.62</v>
      </c>
      <c r="Q10">
        <f>_xlfn.XLOOKUP(B10,'7'!$A:$A,'7'!$G:$G,"pipino il breve")</f>
        <v>92</v>
      </c>
      <c r="R10">
        <f>_xlfn.XLOOKUP(B10,'8'!$A:$A,'8'!$G:$G,"pipino il breve")</f>
        <v>91.91</v>
      </c>
      <c r="S10">
        <f>_xlfn.XLOOKUP(B10,'9'!$A:$A,'9'!$G:$G,"pipino il breve")</f>
        <v>91.66</v>
      </c>
      <c r="T10">
        <f>_xlfn.XLOOKUP(B10,'9'!$A:$A,'9'!$G:$G,"pipino il breve")</f>
        <v>91.66</v>
      </c>
      <c r="U10">
        <f>_xlfn.XLOOKUP(B10,'9'!$A:$A,'9'!$G:$G,"pipino il breve")</f>
        <v>91.66</v>
      </c>
      <c r="V10">
        <f>_xlfn.XLOOKUP(B10,'12'!$A:$A,'12'!$G:$G,"pipino il breve")</f>
        <v>91.23</v>
      </c>
      <c r="W10">
        <f>_xlfn.XLOOKUP(B10,'13'!$A:$A,'13'!$G:$G,"pipino il breve")</f>
        <v>91.1</v>
      </c>
      <c r="X10">
        <f>_xlfn.XLOOKUP(B10,'14'!$A:$A,'14'!$G:$G,"pipino il breve")</f>
        <v>91.08</v>
      </c>
      <c r="Y10">
        <f>_xlfn.XLOOKUP(B10,'15'!$A:$A,'15'!$G:$G,"pipino il breve")</f>
        <v>91.43</v>
      </c>
      <c r="Z10">
        <f>_xlfn.XLOOKUP(B10,'16'!$A:$A,'16'!$G:$G,"pipino il breve")</f>
        <v>91.72</v>
      </c>
      <c r="AA10">
        <f>_xlfn.XLOOKUP(B10,'16'!$A:$A,'16'!$G:$G,"pipino il breve")</f>
        <v>91.72</v>
      </c>
      <c r="AB10">
        <f>_xlfn.XLOOKUP(B10,'16'!$A:$A,'16'!$G:$G,"pipino il breve")</f>
        <v>91.72</v>
      </c>
      <c r="AC10">
        <f>_xlfn.XLOOKUP(B10,'19'!$A:$A,'19'!$G:$G,"pipino il breve")</f>
        <v>91.76</v>
      </c>
      <c r="AD10">
        <f>_xlfn.XLOOKUP(B10,'20'!$A:$A,'20'!$G:$G,"pipino il breve")</f>
        <v>91.72</v>
      </c>
      <c r="AE10">
        <f>_xlfn.XLOOKUP(B10,'21'!$A:$A,'21'!$G:$G,"pipino il breve")</f>
        <v>91.55</v>
      </c>
      <c r="AF10">
        <f>_xlfn.XLOOKUP(B10,'22'!$A:$A,'22'!$G:$G,"pipino il breve")</f>
        <v>91.54</v>
      </c>
      <c r="AG10">
        <f>_xlfn.XLOOKUP(B10,'23'!$A:$A,'23'!$G:$G,"pipino il breve")</f>
        <v>91.81</v>
      </c>
      <c r="AH10">
        <f>_xlfn.XLOOKUP(B10,'23'!$A:$A,'23'!$G:$G,"pipino il breve")</f>
        <v>91.81</v>
      </c>
      <c r="AI10">
        <f>_xlfn.XLOOKUP(B10,'23'!$A:$A,'23'!$G:$G,"pipino il breve")</f>
        <v>91.81</v>
      </c>
      <c r="AJ10">
        <f>_xlfn.XLOOKUP(B10,'26'!$A:$A,'26'!$G:$G,"pipino il breve")</f>
        <v>91.95</v>
      </c>
      <c r="AK10">
        <f>_xlfn.XLOOKUP(B10,'27'!$A:$A,'27'!$G:$G,"pipino il breve")</f>
        <v>92.09</v>
      </c>
    </row>
    <row r="11" spans="1:37" x14ac:dyDescent="0.2">
      <c r="A11">
        <v>10</v>
      </c>
      <c r="B11" s="2" t="s">
        <v>18</v>
      </c>
      <c r="C11" s="3">
        <v>0.8</v>
      </c>
      <c r="D11" s="2" t="s">
        <v>115</v>
      </c>
      <c r="E11" s="3">
        <v>99.72</v>
      </c>
      <c r="F11" s="3">
        <v>99.72</v>
      </c>
      <c r="G11" s="3">
        <v>99.72</v>
      </c>
      <c r="H11">
        <f>_xlfn.XLOOKUP(B11,'28'!$A:$A,'28'!$G:$G,"pipino il breve")</f>
        <v>99.75</v>
      </c>
      <c r="I11">
        <f>_xlfn.XLOOKUP(B11,'29'!$A:$A,'29'!$G:$G,"pipino il breve")</f>
        <v>99.72</v>
      </c>
      <c r="J11" s="11">
        <f>_xlfn.XLOOKUP(B11,'30'!$A:$A,'30'!$G:$G,"pipino il breve")</f>
        <v>99.76</v>
      </c>
      <c r="K11" s="3">
        <f>_xlfn.XLOOKUP(B11,'30'!$A:$A,'30'!$G:$G,"pipino il breve")</f>
        <v>99.76</v>
      </c>
      <c r="L11">
        <f>_xlfn.XLOOKUP(B11,'2'!$A:$A,'2'!$G:$G,"pipino il breve")</f>
        <v>99.68</v>
      </c>
      <c r="M11">
        <f>_xlfn.XLOOKUP(B11,'2'!$A:$A,'2'!$G:$G,"pipino il breve")</f>
        <v>99.68</v>
      </c>
      <c r="N11">
        <f>_xlfn.XLOOKUP(B11,'2'!$A:$A,'2'!$G:$G,"pipino il breve")</f>
        <v>99.68</v>
      </c>
      <c r="O11">
        <f>_xlfn.XLOOKUP(B11,'5'!$A:$A,'5'!$G:$G,"pipino il breve")</f>
        <v>99.7</v>
      </c>
      <c r="P11">
        <f>_xlfn.XLOOKUP(B11,'6'!$A:$A,'6'!$G:$G,"pipino il breve")</f>
        <v>99.71</v>
      </c>
      <c r="Q11">
        <f>_xlfn.XLOOKUP(B11,'7'!$A:$A,'7'!$G:$G,"pipino il breve")</f>
        <v>99.75</v>
      </c>
      <c r="R11">
        <f>_xlfn.XLOOKUP(B11,'8'!$A:$A,'8'!$G:$G,"pipino il breve")</f>
        <v>99.73</v>
      </c>
      <c r="S11">
        <f>_xlfn.XLOOKUP(B11,'9'!$A:$A,'9'!$G:$G,"pipino il breve")</f>
        <v>99.75</v>
      </c>
      <c r="T11">
        <f>_xlfn.XLOOKUP(B11,'9'!$A:$A,'9'!$G:$G,"pipino il breve")</f>
        <v>99.75</v>
      </c>
      <c r="U11">
        <f>_xlfn.XLOOKUP(B11,'9'!$A:$A,'9'!$G:$G,"pipino il breve")</f>
        <v>99.75</v>
      </c>
      <c r="V11">
        <f>_xlfn.XLOOKUP(B11,'12'!$A:$A,'12'!$G:$G,"pipino il breve")</f>
        <v>99.62</v>
      </c>
      <c r="W11">
        <f>_xlfn.XLOOKUP(B11,'13'!$A:$A,'13'!$G:$G,"pipino il breve")</f>
        <v>99.9</v>
      </c>
      <c r="X11">
        <f>_xlfn.XLOOKUP(B11,'14'!$A:$A,'14'!$G:$G,"pipino il breve")</f>
        <v>99.63</v>
      </c>
      <c r="Y11">
        <f>_xlfn.XLOOKUP(B11,'15'!$A:$A,'15'!$G:$G,"pipino il breve")</f>
        <v>99.64</v>
      </c>
      <c r="Z11">
        <f>_xlfn.XLOOKUP(B11,'16'!$A:$A,'16'!$G:$G,"pipino il breve")</f>
        <v>99.68</v>
      </c>
      <c r="AA11">
        <f>_xlfn.XLOOKUP(B11,'16'!$A:$A,'16'!$G:$G,"pipino il breve")</f>
        <v>99.68</v>
      </c>
      <c r="AB11">
        <f>_xlfn.XLOOKUP(B11,'16'!$A:$A,'16'!$G:$G,"pipino il breve")</f>
        <v>99.68</v>
      </c>
      <c r="AC11">
        <f>_xlfn.XLOOKUP(B11,'19'!$A:$A,'19'!$G:$G,"pipino il breve")</f>
        <v>99.67</v>
      </c>
      <c r="AD11">
        <f>_xlfn.XLOOKUP(B11,'20'!$A:$A,'20'!$G:$G,"pipino il breve")</f>
        <v>99.68</v>
      </c>
      <c r="AE11">
        <f>_xlfn.XLOOKUP(B11,'21'!$A:$A,'21'!$G:$G,"pipino il breve")</f>
        <v>99.67</v>
      </c>
      <c r="AF11">
        <f>_xlfn.XLOOKUP(B11,'22'!$A:$A,'22'!$G:$G,"pipino il breve")</f>
        <v>99.68</v>
      </c>
      <c r="AG11">
        <f>_xlfn.XLOOKUP(B11,'23'!$A:$A,'23'!$G:$G,"pipino il breve")</f>
        <v>99.74</v>
      </c>
      <c r="AH11">
        <f>_xlfn.XLOOKUP(B11,'23'!$A:$A,'23'!$G:$G,"pipino il breve")</f>
        <v>99.74</v>
      </c>
      <c r="AI11">
        <f>_xlfn.XLOOKUP(B11,'23'!$A:$A,'23'!$G:$G,"pipino il breve")</f>
        <v>99.74</v>
      </c>
      <c r="AJ11">
        <f>_xlfn.XLOOKUP(B11,'26'!$A:$A,'26'!$G:$G,"pipino il breve")</f>
        <v>99.74</v>
      </c>
      <c r="AK11">
        <f>_xlfn.XLOOKUP(B11,'27'!$A:$A,'27'!$G:$G,"pipino il breve")</f>
        <v>99.72</v>
      </c>
    </row>
    <row r="12" spans="1:37" x14ac:dyDescent="0.2">
      <c r="A12">
        <v>11</v>
      </c>
      <c r="B12" s="2" t="s">
        <v>19</v>
      </c>
      <c r="C12" s="3">
        <v>1.125</v>
      </c>
      <c r="D12" s="2" t="s">
        <v>116</v>
      </c>
      <c r="E12" s="3">
        <v>87.26</v>
      </c>
      <c r="F12" s="3">
        <v>87.26</v>
      </c>
      <c r="G12" s="3">
        <v>87.26</v>
      </c>
      <c r="H12">
        <f>_xlfn.XLOOKUP(B12,'28'!$A:$A,'28'!$G:$G,"pipino il breve")</f>
        <v>87.17</v>
      </c>
      <c r="I12">
        <f>_xlfn.XLOOKUP(B12,'29'!$A:$A,'29'!$G:$G,"pipino il breve")</f>
        <v>87.16</v>
      </c>
      <c r="J12" s="11">
        <f>_xlfn.XLOOKUP(B12,'30'!$A:$A,'30'!$G:$G,"pipino il breve")</f>
        <v>87.48</v>
      </c>
      <c r="K12" s="3">
        <f>_xlfn.XLOOKUP(B12,'30'!$A:$A,'30'!$G:$G,"pipino il breve")</f>
        <v>87.48</v>
      </c>
      <c r="L12">
        <f>_xlfn.XLOOKUP(B12,'2'!$A:$A,'2'!$G:$G,"pipino il breve")</f>
        <v>87.14</v>
      </c>
      <c r="M12">
        <f>_xlfn.XLOOKUP(B12,'2'!$A:$A,'2'!$G:$G,"pipino il breve")</f>
        <v>87.14</v>
      </c>
      <c r="N12">
        <f>_xlfn.XLOOKUP(B12,'2'!$A:$A,'2'!$G:$G,"pipino il breve")</f>
        <v>87.14</v>
      </c>
      <c r="O12">
        <f>_xlfn.XLOOKUP(B12,'5'!$A:$A,'5'!$G:$G,"pipino il breve")</f>
        <v>87.23</v>
      </c>
      <c r="P12">
        <f>_xlfn.XLOOKUP(B12,'6'!$A:$A,'6'!$G:$G,"pipino il breve")</f>
        <v>87.12</v>
      </c>
      <c r="Q12">
        <f>_xlfn.XLOOKUP(B12,'7'!$A:$A,'7'!$G:$G,"pipino il breve")</f>
        <v>87.58</v>
      </c>
      <c r="R12">
        <f>_xlfn.XLOOKUP(B12,'8'!$A:$A,'8'!$G:$G,"pipino il breve")</f>
        <v>87.54</v>
      </c>
      <c r="S12">
        <f>_xlfn.XLOOKUP(B12,'9'!$A:$A,'9'!$G:$G,"pipino il breve")</f>
        <v>87.34</v>
      </c>
      <c r="T12">
        <f>_xlfn.XLOOKUP(B12,'9'!$A:$A,'9'!$G:$G,"pipino il breve")</f>
        <v>87.34</v>
      </c>
      <c r="U12">
        <f>_xlfn.XLOOKUP(B12,'9'!$A:$A,'9'!$G:$G,"pipino il breve")</f>
        <v>87.34</v>
      </c>
      <c r="V12">
        <f>_xlfn.XLOOKUP(B12,'12'!$A:$A,'12'!$G:$G,"pipino il breve")</f>
        <v>86.82</v>
      </c>
      <c r="W12">
        <f>_xlfn.XLOOKUP(B12,'13'!$A:$A,'13'!$G:$G,"pipino il breve")</f>
        <v>86.62</v>
      </c>
      <c r="X12">
        <f>_xlfn.XLOOKUP(B12,'14'!$A:$A,'14'!$G:$G,"pipino il breve")</f>
        <v>86.51</v>
      </c>
      <c r="Y12">
        <f>_xlfn.XLOOKUP(B12,'15'!$A:$A,'15'!$G:$G,"pipino il breve")</f>
        <v>87.11</v>
      </c>
      <c r="Z12">
        <f>_xlfn.XLOOKUP(B12,'16'!$A:$A,'16'!$G:$G,"pipino il breve")</f>
        <v>87.44</v>
      </c>
      <c r="AA12">
        <f>_xlfn.XLOOKUP(B12,'16'!$A:$A,'16'!$G:$G,"pipino il breve")</f>
        <v>87.44</v>
      </c>
      <c r="AB12">
        <f>_xlfn.XLOOKUP(B12,'16'!$A:$A,'16'!$G:$G,"pipino il breve")</f>
        <v>87.44</v>
      </c>
      <c r="AC12">
        <f>_xlfn.XLOOKUP(B12,'19'!$A:$A,'19'!$G:$G,"pipino il breve")</f>
        <v>87.47</v>
      </c>
      <c r="AD12">
        <f>_xlfn.XLOOKUP(B12,'20'!$A:$A,'20'!$G:$G,"pipino il breve")</f>
        <v>87.27</v>
      </c>
      <c r="AE12">
        <f>_xlfn.XLOOKUP(B12,'21'!$A:$A,'21'!$G:$G,"pipino il breve")</f>
        <v>87.05</v>
      </c>
      <c r="AF12">
        <f>_xlfn.XLOOKUP(B12,'22'!$A:$A,'22'!$G:$G,"pipino il breve")</f>
        <v>86.85</v>
      </c>
      <c r="AG12">
        <f>_xlfn.XLOOKUP(B12,'23'!$A:$A,'23'!$G:$G,"pipino il breve")</f>
        <v>87.36</v>
      </c>
      <c r="AH12">
        <f>_xlfn.XLOOKUP(B12,'23'!$A:$A,'23'!$G:$G,"pipino il breve")</f>
        <v>87.36</v>
      </c>
      <c r="AI12">
        <f>_xlfn.XLOOKUP(B12,'23'!$A:$A,'23'!$G:$G,"pipino il breve")</f>
        <v>87.36</v>
      </c>
      <c r="AJ12">
        <f>_xlfn.XLOOKUP(B12,'26'!$A:$A,'26'!$G:$G,"pipino il breve")</f>
        <v>87.72</v>
      </c>
      <c r="AK12">
        <f>_xlfn.XLOOKUP(B12,'27'!$A:$A,'27'!$G:$G,"pipino il breve")</f>
        <v>87.89</v>
      </c>
    </row>
    <row r="13" spans="1:37" x14ac:dyDescent="0.2">
      <c r="A13">
        <v>12</v>
      </c>
      <c r="B13" s="2" t="s">
        <v>24</v>
      </c>
      <c r="C13" s="3">
        <v>1.7250000000000001</v>
      </c>
      <c r="D13" s="2" t="s">
        <v>117</v>
      </c>
      <c r="E13" s="3">
        <v>89.66</v>
      </c>
      <c r="F13" s="3">
        <v>89.66</v>
      </c>
      <c r="G13" s="3">
        <v>89.66</v>
      </c>
      <c r="H13">
        <f>_xlfn.XLOOKUP(B13,'28'!$A:$A,'28'!$G:$G,"pipino il breve")</f>
        <v>89.28</v>
      </c>
      <c r="I13">
        <f>_xlfn.XLOOKUP(B13,'29'!$A:$A,'29'!$G:$G,"pipino il breve")</f>
        <v>89.16</v>
      </c>
      <c r="J13" s="11">
        <f>_xlfn.XLOOKUP(B13,'30'!$A:$A,'30'!$G:$G,"pipino il breve")</f>
        <v>89.6</v>
      </c>
      <c r="K13" s="3">
        <f>_xlfn.XLOOKUP(B13,'30'!$A:$A,'30'!$G:$G,"pipino il breve")</f>
        <v>89.6</v>
      </c>
      <c r="L13">
        <f>_xlfn.XLOOKUP(B13,'2'!$A:$A,'2'!$G:$G,"pipino il breve")</f>
        <v>88.93</v>
      </c>
      <c r="M13">
        <f>_xlfn.XLOOKUP(B13,'2'!$A:$A,'2'!$G:$G,"pipino il breve")</f>
        <v>88.93</v>
      </c>
      <c r="N13">
        <f>_xlfn.XLOOKUP(B13,'2'!$A:$A,'2'!$G:$G,"pipino il breve")</f>
        <v>88.93</v>
      </c>
      <c r="O13">
        <f>_xlfn.XLOOKUP(B13,'5'!$A:$A,'5'!$G:$G,"pipino il breve")</f>
        <v>89</v>
      </c>
      <c r="P13">
        <f>_xlfn.XLOOKUP(B13,'6'!$A:$A,'6'!$G:$G,"pipino il breve")</f>
        <v>88.78</v>
      </c>
      <c r="Q13">
        <f>_xlfn.XLOOKUP(B13,'7'!$A:$A,'7'!$G:$G,"pipino il breve")</f>
        <v>89.65</v>
      </c>
      <c r="R13">
        <f>_xlfn.XLOOKUP(B13,'8'!$A:$A,'8'!$G:$G,"pipino il breve")</f>
        <v>89.16</v>
      </c>
      <c r="S13">
        <f>_xlfn.XLOOKUP(B13,'9'!$A:$A,'9'!$G:$G,"pipino il breve")</f>
        <v>88.85</v>
      </c>
      <c r="T13">
        <f>_xlfn.XLOOKUP(B13,'9'!$A:$A,'9'!$G:$G,"pipino il breve")</f>
        <v>88.85</v>
      </c>
      <c r="U13">
        <f>_xlfn.XLOOKUP(B13,'9'!$A:$A,'9'!$G:$G,"pipino il breve")</f>
        <v>88.85</v>
      </c>
      <c r="V13">
        <f>_xlfn.XLOOKUP(B13,'12'!$A:$A,'12'!$G:$G,"pipino il breve")</f>
        <v>88.36</v>
      </c>
      <c r="W13">
        <f>_xlfn.XLOOKUP(B13,'13'!$A:$A,'13'!$G:$G,"pipino il breve")</f>
        <v>87.93</v>
      </c>
      <c r="X13">
        <f>_xlfn.XLOOKUP(B13,'14'!$A:$A,'14'!$G:$G,"pipino il breve")</f>
        <v>87.9</v>
      </c>
      <c r="Y13">
        <f>_xlfn.XLOOKUP(B13,'15'!$A:$A,'15'!$G:$G,"pipino il breve")</f>
        <v>88.83</v>
      </c>
      <c r="Z13">
        <f>_xlfn.XLOOKUP(B13,'16'!$A:$A,'16'!$G:$G,"pipino il breve")</f>
        <v>89.34</v>
      </c>
      <c r="AA13">
        <f>_xlfn.XLOOKUP(B13,'16'!$A:$A,'16'!$G:$G,"pipino il breve")</f>
        <v>89.34</v>
      </c>
      <c r="AB13">
        <f>_xlfn.XLOOKUP(B13,'16'!$A:$A,'16'!$G:$G,"pipino il breve")</f>
        <v>89.34</v>
      </c>
      <c r="AC13">
        <f>_xlfn.XLOOKUP(B13,'19'!$A:$A,'19'!$G:$G,"pipino il breve")</f>
        <v>89.36</v>
      </c>
      <c r="AD13">
        <f>_xlfn.XLOOKUP(B13,'20'!$A:$A,'20'!$G:$G,"pipino il breve")</f>
        <v>89.02</v>
      </c>
      <c r="AE13">
        <f>_xlfn.XLOOKUP(B13,'21'!$A:$A,'21'!$G:$G,"pipino il breve")</f>
        <v>88.41</v>
      </c>
      <c r="AF13">
        <f>_xlfn.XLOOKUP(B13,'22'!$A:$A,'22'!$G:$G,"pipino il breve")</f>
        <v>88.05</v>
      </c>
      <c r="AG13">
        <f>_xlfn.XLOOKUP(B13,'23'!$A:$A,'23'!$G:$G,"pipino il breve")</f>
        <v>88.56</v>
      </c>
      <c r="AH13">
        <f>_xlfn.XLOOKUP(B13,'23'!$A:$A,'23'!$G:$G,"pipino il breve")</f>
        <v>88.56</v>
      </c>
      <c r="AI13">
        <f>_xlfn.XLOOKUP(B13,'23'!$A:$A,'23'!$G:$G,"pipino il breve")</f>
        <v>88.56</v>
      </c>
      <c r="AJ13">
        <f>_xlfn.XLOOKUP(B13,'26'!$A:$A,'26'!$G:$G,"pipino il breve")</f>
        <v>89.29</v>
      </c>
      <c r="AK13">
        <f>_xlfn.XLOOKUP(B13,'27'!$A:$A,'27'!$G:$G,"pipino il breve")</f>
        <v>89.8</v>
      </c>
    </row>
    <row r="14" spans="1:37" x14ac:dyDescent="0.2">
      <c r="A14">
        <v>13</v>
      </c>
      <c r="B14" s="2" t="s">
        <v>34</v>
      </c>
      <c r="C14" s="3">
        <v>1.55</v>
      </c>
      <c r="D14" s="2" t="s">
        <v>118</v>
      </c>
      <c r="E14" s="3">
        <v>90.84</v>
      </c>
      <c r="F14" s="3">
        <v>90.84</v>
      </c>
      <c r="G14" s="3">
        <v>90.84</v>
      </c>
      <c r="H14">
        <f>_xlfn.XLOOKUP(B14,'28'!$A:$A,'28'!$G:$G,"pipino il breve")</f>
        <v>90.67</v>
      </c>
      <c r="I14">
        <f>_xlfn.XLOOKUP(B14,'29'!$A:$A,'29'!$G:$G,"pipino il breve")</f>
        <v>90.61</v>
      </c>
      <c r="J14" s="11">
        <f>_xlfn.XLOOKUP(B14,'30'!$A:$A,'30'!$G:$G,"pipino il breve")</f>
        <v>90.94</v>
      </c>
      <c r="K14" s="3">
        <f>_xlfn.XLOOKUP(B14,'30'!$A:$A,'30'!$G:$G,"pipino il breve")</f>
        <v>90.94</v>
      </c>
      <c r="L14">
        <f>_xlfn.XLOOKUP(B14,'2'!$A:$A,'2'!$G:$G,"pipino il breve")</f>
        <v>90.51</v>
      </c>
      <c r="M14">
        <f>_xlfn.XLOOKUP(B14,'2'!$A:$A,'2'!$G:$G,"pipino il breve")</f>
        <v>90.51</v>
      </c>
      <c r="N14">
        <f>_xlfn.XLOOKUP(B14,'2'!$A:$A,'2'!$G:$G,"pipino il breve")</f>
        <v>90.51</v>
      </c>
      <c r="O14">
        <f>_xlfn.XLOOKUP(B14,'5'!$A:$A,'5'!$G:$G,"pipino il breve")</f>
        <v>90.65</v>
      </c>
      <c r="P14">
        <f>_xlfn.XLOOKUP(B14,'6'!$A:$A,'6'!$G:$G,"pipino il breve")</f>
        <v>90.44</v>
      </c>
      <c r="Q14">
        <f>_xlfn.XLOOKUP(B14,'7'!$A:$A,'7'!$G:$G,"pipino il breve")</f>
        <v>91.21</v>
      </c>
      <c r="R14">
        <f>_xlfn.XLOOKUP(B14,'8'!$A:$A,'8'!$G:$G,"pipino il breve")</f>
        <v>90.95</v>
      </c>
      <c r="S14">
        <f>_xlfn.XLOOKUP(B14,'9'!$A:$A,'9'!$G:$G,"pipino il breve")</f>
        <v>90.65</v>
      </c>
      <c r="T14">
        <f>_xlfn.XLOOKUP(B14,'9'!$A:$A,'9'!$G:$G,"pipino il breve")</f>
        <v>90.65</v>
      </c>
      <c r="U14">
        <f>_xlfn.XLOOKUP(B14,'9'!$A:$A,'9'!$G:$G,"pipino il breve")</f>
        <v>90.65</v>
      </c>
      <c r="V14">
        <f>_xlfn.XLOOKUP(B14,'12'!$A:$A,'12'!$G:$G,"pipino il breve")</f>
        <v>90.15</v>
      </c>
      <c r="W14">
        <f>_xlfn.XLOOKUP(B14,'13'!$A:$A,'13'!$G:$G,"pipino il breve")</f>
        <v>89.82</v>
      </c>
      <c r="X14">
        <f>_xlfn.XLOOKUP(B14,'14'!$A:$A,'14'!$G:$G,"pipino il breve")</f>
        <v>89.75</v>
      </c>
      <c r="Y14">
        <f>_xlfn.XLOOKUP(B14,'15'!$A:$A,'15'!$G:$G,"pipino il breve")</f>
        <v>90.55</v>
      </c>
      <c r="Z14">
        <f>_xlfn.XLOOKUP(B14,'16'!$A:$A,'16'!$G:$G,"pipino il breve")</f>
        <v>90.89</v>
      </c>
      <c r="AA14">
        <f>_xlfn.XLOOKUP(B14,'16'!$A:$A,'16'!$G:$G,"pipino il breve")</f>
        <v>90.89</v>
      </c>
      <c r="AB14">
        <f>_xlfn.XLOOKUP(B14,'16'!$A:$A,'16'!$G:$G,"pipino il breve")</f>
        <v>90.89</v>
      </c>
      <c r="AC14">
        <f>_xlfn.XLOOKUP(B14,'19'!$A:$A,'19'!$G:$G,"pipino il breve")</f>
        <v>90.89</v>
      </c>
      <c r="AD14">
        <f>_xlfn.XLOOKUP(B14,'20'!$A:$A,'20'!$G:$G,"pipino il breve")</f>
        <v>90.7</v>
      </c>
      <c r="AE14">
        <f>_xlfn.XLOOKUP(B14,'21'!$A:$A,'21'!$G:$G,"pipino il breve")</f>
        <v>90.43</v>
      </c>
      <c r="AF14">
        <f>_xlfn.XLOOKUP(B14,'22'!$A:$A,'22'!$G:$G,"pipino il breve")</f>
        <v>90.08</v>
      </c>
      <c r="AG14">
        <f>_xlfn.XLOOKUP(B14,'23'!$A:$A,'23'!$G:$G,"pipino il breve")</f>
        <v>90.61</v>
      </c>
      <c r="AH14">
        <f>_xlfn.XLOOKUP(B14,'23'!$A:$A,'23'!$G:$G,"pipino il breve")</f>
        <v>90.61</v>
      </c>
      <c r="AI14">
        <f>_xlfn.XLOOKUP(B14,'23'!$A:$A,'23'!$G:$G,"pipino il breve")</f>
        <v>90.61</v>
      </c>
      <c r="AJ14">
        <f>_xlfn.XLOOKUP(B14,'26'!$A:$A,'26'!$G:$G,"pipino il breve")</f>
        <v>91.04</v>
      </c>
      <c r="AK14">
        <f>_xlfn.XLOOKUP(B14,'27'!$A:$A,'27'!$G:$G,"pipino il breve")</f>
        <v>91.49</v>
      </c>
    </row>
    <row r="15" spans="1:37" x14ac:dyDescent="0.2">
      <c r="A15">
        <v>14</v>
      </c>
      <c r="B15" s="2" t="s">
        <v>50</v>
      </c>
      <c r="C15" s="3">
        <v>0</v>
      </c>
      <c r="D15" s="2" t="s">
        <v>119</v>
      </c>
      <c r="E15" s="3">
        <v>98.272999999999996</v>
      </c>
      <c r="F15" s="3">
        <v>98.272999999999996</v>
      </c>
      <c r="G15" s="3">
        <v>98.272999999999996</v>
      </c>
      <c r="H15">
        <f>_xlfn.XLOOKUP(B15,'28'!$A:$A,'28'!$G:$G,"pipino il breve")</f>
        <v>98.284000000000006</v>
      </c>
      <c r="I15">
        <f>_xlfn.XLOOKUP(B15,'29'!$A:$A,'29'!$G:$G,"pipino il breve")</f>
        <v>98.283000000000001</v>
      </c>
      <c r="J15" s="11">
        <f>_xlfn.XLOOKUP(B15,'30'!$A:$A,'30'!$G:$G,"pipino il breve")</f>
        <v>98.283000000000001</v>
      </c>
      <c r="K15" s="3">
        <f>_xlfn.XLOOKUP(B15,'30'!$A:$A,'30'!$G:$G,"pipino il breve")</f>
        <v>98.283000000000001</v>
      </c>
      <c r="L15">
        <f>_xlfn.XLOOKUP(B15,'2'!$A:$A,'2'!$G:$G,"pipino il breve")</f>
        <v>98.281000000000006</v>
      </c>
      <c r="M15">
        <f>_xlfn.XLOOKUP(B15,'2'!$A:$A,'2'!$G:$G,"pipino il breve")</f>
        <v>98.281000000000006</v>
      </c>
      <c r="N15">
        <f>_xlfn.XLOOKUP(B15,'2'!$A:$A,'2'!$G:$G,"pipino il breve")</f>
        <v>98.281000000000006</v>
      </c>
      <c r="O15">
        <f>_xlfn.XLOOKUP(B15,'5'!$A:$A,'5'!$G:$G,"pipino il breve")</f>
        <v>98.305999999999997</v>
      </c>
      <c r="P15">
        <f>_xlfn.XLOOKUP(B15,'6'!$A:$A,'6'!$G:$G,"pipino il breve")</f>
        <v>98.325999999999993</v>
      </c>
      <c r="Q15">
        <f>_xlfn.XLOOKUP(B15,'7'!$A:$A,'7'!$G:$G,"pipino il breve")</f>
        <v>98.353999999999999</v>
      </c>
      <c r="R15">
        <f>_xlfn.XLOOKUP(B15,'8'!$A:$A,'8'!$G:$G,"pipino il breve")</f>
        <v>98.367000000000004</v>
      </c>
      <c r="S15">
        <f>_xlfn.XLOOKUP(B15,'9'!$A:$A,'9'!$G:$G,"pipino il breve")</f>
        <v>98.343999999999994</v>
      </c>
      <c r="T15">
        <f>_xlfn.XLOOKUP(B15,'9'!$A:$A,'9'!$G:$G,"pipino il breve")</f>
        <v>98.343999999999994</v>
      </c>
      <c r="U15">
        <f>_xlfn.XLOOKUP(B15,'9'!$A:$A,'9'!$G:$G,"pipino il breve")</f>
        <v>98.343999999999994</v>
      </c>
      <c r="V15">
        <f>_xlfn.XLOOKUP(B15,'12'!$A:$A,'12'!$G:$G,"pipino il breve")</f>
        <v>98.272999999999996</v>
      </c>
      <c r="W15">
        <f>_xlfn.XLOOKUP(B15,'13'!$A:$A,'13'!$G:$G,"pipino il breve")</f>
        <v>98.284999999999997</v>
      </c>
      <c r="X15">
        <f>_xlfn.XLOOKUP(B15,'14'!$A:$A,'14'!$G:$G,"pipino il breve")</f>
        <v>98.263000000000005</v>
      </c>
      <c r="Y15">
        <f>_xlfn.XLOOKUP(B15,'15'!$A:$A,'15'!$G:$G,"pipino il breve")</f>
        <v>98.326999999999998</v>
      </c>
      <c r="Z15">
        <f>_xlfn.XLOOKUP(B15,'16'!$A:$A,'16'!$G:$G,"pipino il breve")</f>
        <v>98.322999999999993</v>
      </c>
      <c r="AA15">
        <f>_xlfn.XLOOKUP(B15,'16'!$A:$A,'16'!$G:$G,"pipino il breve")</f>
        <v>98.322999999999993</v>
      </c>
      <c r="AB15">
        <f>_xlfn.XLOOKUP(B15,'16'!$A:$A,'16'!$G:$G,"pipino il breve")</f>
        <v>98.322999999999993</v>
      </c>
      <c r="AC15">
        <f>_xlfn.XLOOKUP(B15,'19'!$A:$A,'19'!$G:$G,"pipino il breve")</f>
        <v>98.334999999999994</v>
      </c>
      <c r="AD15">
        <f>_xlfn.XLOOKUP(B15,'20'!$A:$A,'20'!$G:$G,"pipino il breve")</f>
        <v>98.343999999999994</v>
      </c>
      <c r="AE15">
        <f>_xlfn.XLOOKUP(B15,'21'!$A:$A,'21'!$G:$G,"pipino il breve")</f>
        <v>98.337999999999994</v>
      </c>
      <c r="AF15">
        <f>_xlfn.XLOOKUP(B15,'22'!$A:$A,'22'!$G:$G,"pipino il breve")</f>
        <v>98.372</v>
      </c>
      <c r="AG15">
        <f>_xlfn.XLOOKUP(B15,'23'!$A:$A,'23'!$G:$G,"pipino il breve")</f>
        <v>98.42</v>
      </c>
      <c r="AH15">
        <f>_xlfn.XLOOKUP(B15,'23'!$A:$A,'23'!$G:$G,"pipino il breve")</f>
        <v>98.42</v>
      </c>
      <c r="AI15">
        <f>_xlfn.XLOOKUP(B15,'23'!$A:$A,'23'!$G:$G,"pipino il breve")</f>
        <v>98.42</v>
      </c>
      <c r="AJ15">
        <f>_xlfn.XLOOKUP(B15,'26'!$A:$A,'26'!$G:$G,"pipino il breve")</f>
        <v>98.429000000000002</v>
      </c>
      <c r="AK15">
        <f>_xlfn.XLOOKUP(B15,'27'!$A:$A,'27'!$G:$G,"pipino il breve")</f>
        <v>98.411000000000001</v>
      </c>
    </row>
    <row r="16" spans="1:37" x14ac:dyDescent="0.2">
      <c r="A16">
        <v>15</v>
      </c>
      <c r="B16" s="2" t="s">
        <v>51</v>
      </c>
      <c r="C16" s="3">
        <v>1.075</v>
      </c>
      <c r="D16" s="2" t="s">
        <v>120</v>
      </c>
      <c r="E16" s="3">
        <v>60.45</v>
      </c>
      <c r="F16" s="3">
        <v>60.45</v>
      </c>
      <c r="G16" s="3">
        <v>60.45</v>
      </c>
      <c r="H16">
        <f>_xlfn.XLOOKUP(B16,'28'!$A:$A,'28'!$G:$G,"pipino il breve")</f>
        <v>60.04</v>
      </c>
      <c r="I16">
        <f>_xlfn.XLOOKUP(B16,'29'!$A:$A,'29'!$G:$G,"pipino il breve")</f>
        <v>59.9</v>
      </c>
      <c r="J16" s="11">
        <f>_xlfn.XLOOKUP(B16,'30'!$A:$A,'30'!$G:$G,"pipino il breve")</f>
        <v>60.48</v>
      </c>
      <c r="K16" s="3">
        <f>_xlfn.XLOOKUP(B16,'30'!$A:$A,'30'!$G:$G,"pipino il breve")</f>
        <v>60.48</v>
      </c>
      <c r="L16">
        <f>_xlfn.XLOOKUP(B16,'2'!$A:$A,'2'!$G:$G,"pipino il breve")</f>
        <v>59.71</v>
      </c>
      <c r="M16">
        <f>_xlfn.XLOOKUP(B16,'2'!$A:$A,'2'!$G:$G,"pipino il breve")</f>
        <v>59.71</v>
      </c>
      <c r="N16">
        <f>_xlfn.XLOOKUP(B16,'2'!$A:$A,'2'!$G:$G,"pipino il breve")</f>
        <v>59.71</v>
      </c>
      <c r="O16">
        <f>_xlfn.XLOOKUP(B16,'5'!$A:$A,'5'!$G:$G,"pipino il breve")</f>
        <v>59.44</v>
      </c>
      <c r="P16">
        <f>_xlfn.XLOOKUP(B16,'6'!$A:$A,'6'!$G:$G,"pipino il breve")</f>
        <v>59.3</v>
      </c>
      <c r="Q16">
        <f>_xlfn.XLOOKUP(B16,'7'!$A:$A,'7'!$G:$G,"pipino il breve")</f>
        <v>60.16</v>
      </c>
      <c r="R16">
        <f>_xlfn.XLOOKUP(B16,'8'!$A:$A,'8'!$G:$G,"pipino il breve")</f>
        <v>59.87</v>
      </c>
      <c r="S16">
        <f>_xlfn.XLOOKUP(B16,'9'!$A:$A,'9'!$G:$G,"pipino il breve")</f>
        <v>59.46</v>
      </c>
      <c r="T16">
        <f>_xlfn.XLOOKUP(B16,'9'!$A:$A,'9'!$G:$G,"pipino il breve")</f>
        <v>59.46</v>
      </c>
      <c r="U16">
        <f>_xlfn.XLOOKUP(B16,'9'!$A:$A,'9'!$G:$G,"pipino il breve")</f>
        <v>59.46</v>
      </c>
      <c r="V16">
        <f>_xlfn.XLOOKUP(B16,'12'!$A:$A,'12'!$G:$G,"pipino il breve")</f>
        <v>59.12</v>
      </c>
      <c r="W16">
        <f>_xlfn.XLOOKUP(B16,'13'!$A:$A,'13'!$G:$G,"pipino il breve")</f>
        <v>58.77</v>
      </c>
      <c r="X16">
        <f>_xlfn.XLOOKUP(B16,'14'!$A:$A,'14'!$G:$G,"pipino il breve")</f>
        <v>58.7</v>
      </c>
      <c r="Y16">
        <f>_xlfn.XLOOKUP(B16,'15'!$A:$A,'15'!$G:$G,"pipino il breve")</f>
        <v>59.49</v>
      </c>
      <c r="Z16">
        <f>_xlfn.XLOOKUP(B16,'16'!$A:$A,'16'!$G:$G,"pipino il breve")</f>
        <v>59.97</v>
      </c>
      <c r="AA16">
        <f>_xlfn.XLOOKUP(B16,'16'!$A:$A,'16'!$G:$G,"pipino il breve")</f>
        <v>59.97</v>
      </c>
      <c r="AB16">
        <f>_xlfn.XLOOKUP(B16,'16'!$A:$A,'16'!$G:$G,"pipino il breve")</f>
        <v>59.97</v>
      </c>
      <c r="AC16">
        <f>_xlfn.XLOOKUP(B16,'19'!$A:$A,'19'!$G:$G,"pipino il breve")</f>
        <v>59.85</v>
      </c>
      <c r="AD16">
        <f>_xlfn.XLOOKUP(B16,'20'!$A:$A,'20'!$G:$G,"pipino il breve")</f>
        <v>59.1</v>
      </c>
      <c r="AE16">
        <f>_xlfn.XLOOKUP(B16,'21'!$A:$A,'21'!$G:$G,"pipino il breve")</f>
        <v>58.28</v>
      </c>
      <c r="AF16">
        <f>_xlfn.XLOOKUP(B16,'22'!$A:$A,'22'!$G:$G,"pipino il breve")</f>
        <v>57.9</v>
      </c>
      <c r="AG16">
        <f>_xlfn.XLOOKUP(B16,'23'!$A:$A,'23'!$G:$G,"pipino il breve")</f>
        <v>58.4</v>
      </c>
      <c r="AH16">
        <f>_xlfn.XLOOKUP(B16,'23'!$A:$A,'23'!$G:$G,"pipino il breve")</f>
        <v>58.4</v>
      </c>
      <c r="AI16">
        <f>_xlfn.XLOOKUP(B16,'23'!$A:$A,'23'!$G:$G,"pipino il breve")</f>
        <v>58.4</v>
      </c>
      <c r="AJ16">
        <f>_xlfn.XLOOKUP(B16,'26'!$A:$A,'26'!$G:$G,"pipino il breve")</f>
        <v>59.09</v>
      </c>
      <c r="AK16">
        <f>_xlfn.XLOOKUP(B16,'27'!$A:$A,'27'!$G:$G,"pipino il breve")</f>
        <v>59.8</v>
      </c>
    </row>
    <row r="17" spans="1:37" x14ac:dyDescent="0.2">
      <c r="A17">
        <v>16</v>
      </c>
      <c r="B17" s="2" t="s">
        <v>62</v>
      </c>
      <c r="C17" s="3">
        <v>1.625</v>
      </c>
      <c r="D17" s="2" t="s">
        <v>121</v>
      </c>
      <c r="E17" s="3">
        <v>94.4</v>
      </c>
      <c r="F17" s="3">
        <v>94.4</v>
      </c>
      <c r="G17" s="3">
        <v>94.4</v>
      </c>
      <c r="H17">
        <f>_xlfn.XLOOKUP(B17,'28'!$A:$A,'28'!$G:$G,"pipino il breve")</f>
        <v>94.41</v>
      </c>
      <c r="I17">
        <f>_xlfn.XLOOKUP(B17,'29'!$A:$A,'29'!$G:$G,"pipino il breve")</f>
        <v>94.31</v>
      </c>
      <c r="J17" s="11">
        <f>_xlfn.XLOOKUP(B17,'30'!$A:$A,'30'!$G:$G,"pipino il breve")</f>
        <v>94.64</v>
      </c>
      <c r="K17" s="3">
        <f>_xlfn.XLOOKUP(B17,'30'!$A:$A,'30'!$G:$G,"pipino il breve")</f>
        <v>94.64</v>
      </c>
      <c r="L17">
        <f>_xlfn.XLOOKUP(B17,'2'!$A:$A,'2'!$G:$G,"pipino il breve")</f>
        <v>94.23</v>
      </c>
      <c r="M17">
        <f>_xlfn.XLOOKUP(B17,'2'!$A:$A,'2'!$G:$G,"pipino il breve")</f>
        <v>94.23</v>
      </c>
      <c r="N17">
        <f>_xlfn.XLOOKUP(B17,'2'!$A:$A,'2'!$G:$G,"pipino il breve")</f>
        <v>94.23</v>
      </c>
      <c r="O17">
        <f>_xlfn.XLOOKUP(B17,'5'!$A:$A,'5'!$G:$G,"pipino il breve")</f>
        <v>94.32</v>
      </c>
      <c r="P17">
        <f>_xlfn.XLOOKUP(B17,'6'!$A:$A,'6'!$G:$G,"pipino il breve")</f>
        <v>94.18</v>
      </c>
      <c r="Q17">
        <f>_xlfn.XLOOKUP(B17,'7'!$A:$A,'7'!$G:$G,"pipino il breve")</f>
        <v>94.75</v>
      </c>
      <c r="R17">
        <f>_xlfn.XLOOKUP(B17,'8'!$A:$A,'8'!$G:$G,"pipino il breve")</f>
        <v>94.64</v>
      </c>
      <c r="S17">
        <f>_xlfn.XLOOKUP(B17,'9'!$A:$A,'9'!$G:$G,"pipino il breve")</f>
        <v>94.29</v>
      </c>
      <c r="T17">
        <f>_xlfn.XLOOKUP(B17,'9'!$A:$A,'9'!$G:$G,"pipino il breve")</f>
        <v>94.29</v>
      </c>
      <c r="U17">
        <f>_xlfn.XLOOKUP(B17,'9'!$A:$A,'9'!$G:$G,"pipino il breve")</f>
        <v>94.29</v>
      </c>
      <c r="V17">
        <f>_xlfn.XLOOKUP(B17,'12'!$A:$A,'12'!$G:$G,"pipino il breve")</f>
        <v>93.82</v>
      </c>
      <c r="W17">
        <f>_xlfn.XLOOKUP(B17,'13'!$A:$A,'13'!$G:$G,"pipino il breve")</f>
        <v>93.5</v>
      </c>
      <c r="X17">
        <f>_xlfn.XLOOKUP(B17,'14'!$A:$A,'14'!$G:$G,"pipino il breve")</f>
        <v>93.59</v>
      </c>
      <c r="Y17">
        <f>_xlfn.XLOOKUP(B17,'15'!$A:$A,'15'!$G:$G,"pipino il breve")</f>
        <v>94.11</v>
      </c>
      <c r="Z17">
        <f>_xlfn.XLOOKUP(B17,'16'!$A:$A,'16'!$G:$G,"pipino il breve")</f>
        <v>94.54</v>
      </c>
      <c r="AA17">
        <f>_xlfn.XLOOKUP(B17,'16'!$A:$A,'16'!$G:$G,"pipino il breve")</f>
        <v>94.54</v>
      </c>
      <c r="AB17">
        <f>_xlfn.XLOOKUP(B17,'16'!$A:$A,'16'!$G:$G,"pipino il breve")</f>
        <v>94.54</v>
      </c>
      <c r="AC17">
        <f>_xlfn.XLOOKUP(B17,'19'!$A:$A,'19'!$G:$G,"pipino il breve")</f>
        <v>94.5</v>
      </c>
      <c r="AD17">
        <f>_xlfn.XLOOKUP(B17,'20'!$A:$A,'20'!$G:$G,"pipino il breve")</f>
        <v>94.3</v>
      </c>
      <c r="AE17">
        <f>_xlfn.XLOOKUP(B17,'21'!$A:$A,'21'!$G:$G,"pipino il breve")</f>
        <v>94.02</v>
      </c>
      <c r="AF17">
        <f>_xlfn.XLOOKUP(B17,'22'!$A:$A,'22'!$G:$G,"pipino il breve")</f>
        <v>93.84</v>
      </c>
      <c r="AG17">
        <f>_xlfn.XLOOKUP(B17,'23'!$A:$A,'23'!$G:$G,"pipino il breve")</f>
        <v>94.3</v>
      </c>
      <c r="AH17">
        <f>_xlfn.XLOOKUP(B17,'23'!$A:$A,'23'!$G:$G,"pipino il breve")</f>
        <v>94.3</v>
      </c>
      <c r="AI17">
        <f>_xlfn.XLOOKUP(B17,'23'!$A:$A,'23'!$G:$G,"pipino il breve")</f>
        <v>94.3</v>
      </c>
      <c r="AJ17">
        <f>_xlfn.XLOOKUP(B17,'26'!$A:$A,'26'!$G:$G,"pipino il breve")</f>
        <v>94.76</v>
      </c>
      <c r="AK17">
        <f>_xlfn.XLOOKUP(B17,'27'!$A:$A,'27'!$G:$G,"pipino il breve")</f>
        <v>95.07</v>
      </c>
    </row>
    <row r="18" spans="1:37" x14ac:dyDescent="0.2">
      <c r="A18">
        <v>17</v>
      </c>
      <c r="B18" s="2" t="s">
        <v>58</v>
      </c>
      <c r="C18" s="3">
        <v>0.55000000000000004</v>
      </c>
      <c r="D18" s="2" t="s">
        <v>122</v>
      </c>
      <c r="E18" s="3">
        <v>98.44</v>
      </c>
      <c r="F18" s="3">
        <v>98.44</v>
      </c>
      <c r="G18" s="3">
        <v>98.44</v>
      </c>
      <c r="H18">
        <f>_xlfn.XLOOKUP(B18,'28'!$A:$A,'28'!$G:$G,"pipino il breve")</f>
        <v>98.48</v>
      </c>
      <c r="I18">
        <f>_xlfn.XLOOKUP(B18,'29'!$A:$A,'29'!$G:$G,"pipino il breve")</f>
        <v>98.45</v>
      </c>
      <c r="J18" s="11">
        <f>_xlfn.XLOOKUP(B18,'30'!$A:$A,'30'!$G:$G,"pipino il breve")</f>
        <v>98.49</v>
      </c>
      <c r="K18" s="3">
        <f>_xlfn.XLOOKUP(B18,'30'!$A:$A,'30'!$G:$G,"pipino il breve")</f>
        <v>98.49</v>
      </c>
      <c r="L18">
        <f>_xlfn.XLOOKUP(B18,'2'!$A:$A,'2'!$G:$G,"pipino il breve")</f>
        <v>98.5</v>
      </c>
      <c r="M18">
        <f>_xlfn.XLOOKUP(B18,'2'!$A:$A,'2'!$G:$G,"pipino il breve")</f>
        <v>98.5</v>
      </c>
      <c r="N18">
        <f>_xlfn.XLOOKUP(B18,'2'!$A:$A,'2'!$G:$G,"pipino il breve")</f>
        <v>98.5</v>
      </c>
      <c r="O18">
        <f>_xlfn.XLOOKUP(B18,'5'!$A:$A,'5'!$G:$G,"pipino il breve")</f>
        <v>98.43</v>
      </c>
      <c r="P18">
        <f>_xlfn.XLOOKUP(B18,'6'!$A:$A,'6'!$G:$G,"pipino il breve")</f>
        <v>98.44</v>
      </c>
      <c r="Q18">
        <f>_xlfn.XLOOKUP(B18,'7'!$A:$A,'7'!$G:$G,"pipino il breve")</f>
        <v>98.56</v>
      </c>
      <c r="R18">
        <f>_xlfn.XLOOKUP(B18,'8'!$A:$A,'8'!$G:$G,"pipino il breve")</f>
        <v>98.49</v>
      </c>
      <c r="S18">
        <f>_xlfn.XLOOKUP(B18,'9'!$A:$A,'9'!$G:$G,"pipino il breve")</f>
        <v>98.45</v>
      </c>
      <c r="T18">
        <f>_xlfn.XLOOKUP(B18,'9'!$A:$A,'9'!$G:$G,"pipino il breve")</f>
        <v>98.45</v>
      </c>
      <c r="U18">
        <f>_xlfn.XLOOKUP(B18,'9'!$A:$A,'9'!$G:$G,"pipino il breve")</f>
        <v>98.45</v>
      </c>
      <c r="V18">
        <f>_xlfn.XLOOKUP(B18,'12'!$A:$A,'12'!$G:$G,"pipino il breve")</f>
        <v>98.23</v>
      </c>
      <c r="W18">
        <f>_xlfn.XLOOKUP(B18,'13'!$A:$A,'13'!$G:$G,"pipino il breve")</f>
        <v>98.23</v>
      </c>
      <c r="X18">
        <f>_xlfn.XLOOKUP(B18,'14'!$A:$A,'14'!$G:$G,"pipino il breve")</f>
        <v>98.25</v>
      </c>
      <c r="Y18">
        <f>_xlfn.XLOOKUP(B18,'15'!$A:$A,'15'!$G:$G,"pipino il breve")</f>
        <v>98.32</v>
      </c>
      <c r="Z18">
        <f>_xlfn.XLOOKUP(B18,'16'!$A:$A,'16'!$G:$G,"pipino il breve")</f>
        <v>98.36</v>
      </c>
      <c r="AA18">
        <f>_xlfn.XLOOKUP(B18,'16'!$A:$A,'16'!$G:$G,"pipino il breve")</f>
        <v>98.36</v>
      </c>
      <c r="AB18">
        <f>_xlfn.XLOOKUP(B18,'16'!$A:$A,'16'!$G:$G,"pipino il breve")</f>
        <v>98.36</v>
      </c>
      <c r="AC18">
        <f>_xlfn.XLOOKUP(B18,'19'!$A:$A,'19'!$G:$G,"pipino il breve")</f>
        <v>98.4</v>
      </c>
      <c r="AD18">
        <f>_xlfn.XLOOKUP(B18,'20'!$A:$A,'20'!$G:$G,"pipino il breve")</f>
        <v>98.38</v>
      </c>
      <c r="AE18">
        <f>_xlfn.XLOOKUP(B18,'21'!$A:$A,'21'!$G:$G,"pipino il breve")</f>
        <v>98.48</v>
      </c>
      <c r="AF18">
        <f>_xlfn.XLOOKUP(B18,'22'!$A:$A,'22'!$G:$G,"pipino il breve")</f>
        <v>98.41</v>
      </c>
      <c r="AG18">
        <f>_xlfn.XLOOKUP(B18,'23'!$A:$A,'23'!$G:$G,"pipino il breve")</f>
        <v>98.45</v>
      </c>
      <c r="AH18">
        <f>_xlfn.XLOOKUP(B18,'23'!$A:$A,'23'!$G:$G,"pipino il breve")</f>
        <v>98.45</v>
      </c>
      <c r="AI18">
        <f>_xlfn.XLOOKUP(B18,'23'!$A:$A,'23'!$G:$G,"pipino il breve")</f>
        <v>98.45</v>
      </c>
      <c r="AJ18">
        <f>_xlfn.XLOOKUP(B18,'26'!$A:$A,'26'!$G:$G,"pipino il breve")</f>
        <v>98.47</v>
      </c>
      <c r="AK18">
        <f>_xlfn.XLOOKUP(B18,'27'!$A:$A,'27'!$G:$G,"pipino il breve")</f>
        <v>98.46</v>
      </c>
    </row>
    <row r="19" spans="1:37" x14ac:dyDescent="0.2">
      <c r="A19">
        <v>18</v>
      </c>
      <c r="B19" s="2" t="s">
        <v>86</v>
      </c>
      <c r="C19" s="3">
        <v>1.675</v>
      </c>
      <c r="D19" s="2" t="s">
        <v>123</v>
      </c>
      <c r="E19" s="3">
        <v>103.37</v>
      </c>
      <c r="F19" s="3">
        <v>103.37</v>
      </c>
      <c r="G19" s="3">
        <v>103.37</v>
      </c>
      <c r="H19">
        <f>_xlfn.XLOOKUP(B19,'28'!$A:$A,'28'!$G:$G,"pipino il breve")</f>
        <v>103.43</v>
      </c>
      <c r="I19">
        <f>_xlfn.XLOOKUP(B19,'29'!$A:$A,'29'!$G:$G,"pipino il breve")</f>
        <v>103.35</v>
      </c>
      <c r="J19" s="11">
        <f>_xlfn.XLOOKUP(B19,'30'!$A:$A,'30'!$G:$G,"pipino il breve")</f>
        <v>103.51</v>
      </c>
      <c r="K19" s="3">
        <f>_xlfn.XLOOKUP(B19,'30'!$A:$A,'30'!$G:$G,"pipino il breve")</f>
        <v>103.51</v>
      </c>
      <c r="L19">
        <f>_xlfn.XLOOKUP(B19,'2'!$A:$A,'2'!$G:$G,"pipino il breve")</f>
        <v>103.33</v>
      </c>
      <c r="M19">
        <f>_xlfn.XLOOKUP(B19,'2'!$A:$A,'2'!$G:$G,"pipino il breve")</f>
        <v>103.33</v>
      </c>
      <c r="N19">
        <f>_xlfn.XLOOKUP(B19,'2'!$A:$A,'2'!$G:$G,"pipino il breve")</f>
        <v>103.33</v>
      </c>
      <c r="O19">
        <f>_xlfn.XLOOKUP(B19,'5'!$A:$A,'5'!$G:$G,"pipino il breve")</f>
        <v>103.36</v>
      </c>
      <c r="P19">
        <f>_xlfn.XLOOKUP(B19,'6'!$A:$A,'6'!$G:$G,"pipino il breve")</f>
        <v>103.36</v>
      </c>
      <c r="Q19">
        <f>_xlfn.XLOOKUP(B19,'7'!$A:$A,'7'!$G:$G,"pipino il breve")</f>
        <v>103.51</v>
      </c>
      <c r="R19">
        <f>_xlfn.XLOOKUP(B19,'8'!$A:$A,'8'!$G:$G,"pipino il breve")</f>
        <v>103.4</v>
      </c>
      <c r="S19">
        <f>_xlfn.XLOOKUP(B19,'9'!$A:$A,'9'!$G:$G,"pipino il breve")</f>
        <v>103.27</v>
      </c>
      <c r="T19">
        <f>_xlfn.XLOOKUP(B19,'9'!$A:$A,'9'!$G:$G,"pipino il breve")</f>
        <v>103.27</v>
      </c>
      <c r="U19">
        <f>_xlfn.XLOOKUP(B19,'9'!$A:$A,'9'!$G:$G,"pipino il breve")</f>
        <v>103.27</v>
      </c>
      <c r="V19">
        <f>_xlfn.XLOOKUP(B19,'12'!$A:$A,'12'!$G:$G,"pipino il breve")</f>
        <v>102.9</v>
      </c>
      <c r="W19">
        <f>_xlfn.XLOOKUP(B19,'13'!$A:$A,'13'!$G:$G,"pipino il breve")</f>
        <v>102.81</v>
      </c>
      <c r="X19">
        <f>_xlfn.XLOOKUP(B19,'14'!$A:$A,'14'!$G:$G,"pipino il breve")</f>
        <v>102.77</v>
      </c>
      <c r="Y19">
        <f>_xlfn.XLOOKUP(B19,'15'!$A:$A,'15'!$G:$G,"pipino il breve")</f>
        <v>103.02</v>
      </c>
      <c r="Z19">
        <f>_xlfn.XLOOKUP(B19,'16'!$A:$A,'16'!$G:$G,"pipino il breve")</f>
        <v>103.15</v>
      </c>
      <c r="AA19">
        <f>_xlfn.XLOOKUP(B19,'16'!$A:$A,'16'!$G:$G,"pipino il breve")</f>
        <v>103.15</v>
      </c>
      <c r="AB19">
        <f>_xlfn.XLOOKUP(B19,'16'!$A:$A,'16'!$G:$G,"pipino il breve")</f>
        <v>103.15</v>
      </c>
      <c r="AC19">
        <f>_xlfn.XLOOKUP(B19,'19'!$A:$A,'19'!$G:$G,"pipino il breve")</f>
        <v>103.19</v>
      </c>
      <c r="AD19">
        <f>_xlfn.XLOOKUP(B19,'20'!$A:$A,'20'!$G:$G,"pipino il breve")</f>
        <v>103.2</v>
      </c>
      <c r="AE19">
        <f>_xlfn.XLOOKUP(B19,'21'!$A:$A,'21'!$G:$G,"pipino il breve")</f>
        <v>103.06</v>
      </c>
      <c r="AF19">
        <f>_xlfn.XLOOKUP(B19,'22'!$A:$A,'22'!$G:$G,"pipino il breve")</f>
        <v>103.06</v>
      </c>
      <c r="AG19">
        <f>_xlfn.XLOOKUP(B19,'23'!$A:$A,'23'!$G:$G,"pipino il breve")</f>
        <v>103.32</v>
      </c>
      <c r="AH19">
        <f>_xlfn.XLOOKUP(B19,'23'!$A:$A,'23'!$G:$G,"pipino il breve")</f>
        <v>103.32</v>
      </c>
      <c r="AI19">
        <f>_xlfn.XLOOKUP(B19,'23'!$A:$A,'23'!$G:$G,"pipino il breve")</f>
        <v>103.32</v>
      </c>
      <c r="AJ19">
        <f>_xlfn.XLOOKUP(B19,'26'!$A:$A,'26'!$G:$G,"pipino il breve")</f>
        <v>103.34</v>
      </c>
      <c r="AK19">
        <f>_xlfn.XLOOKUP(B19,'27'!$A:$A,'27'!$G:$G,"pipino il breve")</f>
        <v>103.36</v>
      </c>
    </row>
    <row r="20" spans="1:37" x14ac:dyDescent="0.2">
      <c r="A20">
        <v>19</v>
      </c>
      <c r="B20" s="2" t="s">
        <v>87</v>
      </c>
      <c r="C20" s="3">
        <v>1.925</v>
      </c>
      <c r="D20" s="2" t="s">
        <v>124</v>
      </c>
      <c r="E20" s="3">
        <v>103.41</v>
      </c>
      <c r="F20" s="3">
        <v>103.41</v>
      </c>
      <c r="G20" s="3">
        <v>103.41</v>
      </c>
      <c r="H20">
        <f>_xlfn.XLOOKUP(B20,'28'!$A:$A,'28'!$G:$G,"pipino il breve")</f>
        <v>103.34</v>
      </c>
      <c r="I20">
        <f>_xlfn.XLOOKUP(B20,'29'!$A:$A,'29'!$G:$G,"pipino il breve")</f>
        <v>103.29</v>
      </c>
      <c r="J20" s="11">
        <f>_xlfn.XLOOKUP(B20,'30'!$A:$A,'30'!$G:$G,"pipino il breve")</f>
        <v>103.61</v>
      </c>
      <c r="K20" s="3">
        <f>_xlfn.XLOOKUP(B20,'30'!$A:$A,'30'!$G:$G,"pipino il breve")</f>
        <v>103.61</v>
      </c>
      <c r="L20">
        <f>_xlfn.XLOOKUP(B20,'2'!$A:$A,'2'!$G:$G,"pipino il breve")</f>
        <v>103.2</v>
      </c>
      <c r="M20">
        <f>_xlfn.XLOOKUP(B20,'2'!$A:$A,'2'!$G:$G,"pipino il breve")</f>
        <v>103.2</v>
      </c>
      <c r="N20">
        <f>_xlfn.XLOOKUP(B20,'2'!$A:$A,'2'!$G:$G,"pipino il breve")</f>
        <v>103.2</v>
      </c>
      <c r="O20">
        <f>_xlfn.XLOOKUP(B20,'5'!$A:$A,'5'!$G:$G,"pipino il breve")</f>
        <v>103.3</v>
      </c>
      <c r="P20">
        <f>_xlfn.XLOOKUP(B20,'6'!$A:$A,'6'!$G:$G,"pipino il breve")</f>
        <v>103.21</v>
      </c>
      <c r="Q20">
        <f>_xlfn.XLOOKUP(B20,'7'!$A:$A,'7'!$G:$G,"pipino il breve")</f>
        <v>103.76</v>
      </c>
      <c r="R20">
        <f>_xlfn.XLOOKUP(B20,'8'!$A:$A,'8'!$G:$G,"pipino il breve")</f>
        <v>103.6</v>
      </c>
      <c r="S20">
        <f>_xlfn.XLOOKUP(B20,'9'!$A:$A,'9'!$G:$G,"pipino il breve")</f>
        <v>103.33</v>
      </c>
      <c r="T20">
        <f>_xlfn.XLOOKUP(B20,'9'!$A:$A,'9'!$G:$G,"pipino il breve")</f>
        <v>103.33</v>
      </c>
      <c r="U20">
        <f>_xlfn.XLOOKUP(B20,'9'!$A:$A,'9'!$G:$G,"pipino il breve")</f>
        <v>103.33</v>
      </c>
      <c r="V20">
        <f>_xlfn.XLOOKUP(B20,'12'!$A:$A,'12'!$G:$G,"pipino il breve")</f>
        <v>102.83</v>
      </c>
      <c r="W20">
        <f>_xlfn.XLOOKUP(B20,'13'!$A:$A,'13'!$G:$G,"pipino il breve")</f>
        <v>102.67</v>
      </c>
      <c r="X20">
        <f>_xlfn.XLOOKUP(B20,'14'!$A:$A,'14'!$G:$G,"pipino il breve")</f>
        <v>102.5</v>
      </c>
      <c r="Y20">
        <f>_xlfn.XLOOKUP(B20,'15'!$A:$A,'15'!$G:$G,"pipino il breve")</f>
        <v>103.09</v>
      </c>
      <c r="Z20">
        <f>_xlfn.XLOOKUP(B20,'16'!$A:$A,'16'!$G:$G,"pipino il breve")</f>
        <v>103.35</v>
      </c>
      <c r="AA20">
        <f>_xlfn.XLOOKUP(B20,'16'!$A:$A,'16'!$G:$G,"pipino il breve")</f>
        <v>103.35</v>
      </c>
      <c r="AB20">
        <f>_xlfn.XLOOKUP(B20,'16'!$A:$A,'16'!$G:$G,"pipino il breve")</f>
        <v>103.35</v>
      </c>
      <c r="AC20">
        <f>_xlfn.XLOOKUP(B20,'19'!$A:$A,'19'!$G:$G,"pipino il breve")</f>
        <v>103.37</v>
      </c>
      <c r="AD20">
        <f>_xlfn.XLOOKUP(B20,'20'!$A:$A,'20'!$G:$G,"pipino il breve")</f>
        <v>103.26</v>
      </c>
      <c r="AE20">
        <f>_xlfn.XLOOKUP(B20,'21'!$A:$A,'21'!$G:$G,"pipino il breve")</f>
        <v>103.11</v>
      </c>
      <c r="AF20">
        <f>_xlfn.XLOOKUP(B20,'22'!$A:$A,'22'!$G:$G,"pipino il breve")</f>
        <v>102.96</v>
      </c>
      <c r="AG20">
        <f>_xlfn.XLOOKUP(B20,'23'!$A:$A,'23'!$G:$G,"pipino il breve")</f>
        <v>103.44</v>
      </c>
      <c r="AH20">
        <f>_xlfn.XLOOKUP(B20,'23'!$A:$A,'23'!$G:$G,"pipino il breve")</f>
        <v>103.44</v>
      </c>
      <c r="AI20">
        <f>_xlfn.XLOOKUP(B20,'23'!$A:$A,'23'!$G:$G,"pipino il breve")</f>
        <v>103.44</v>
      </c>
      <c r="AJ20">
        <f>_xlfn.XLOOKUP(B20,'26'!$A:$A,'26'!$G:$G,"pipino il breve")</f>
        <v>103.71</v>
      </c>
      <c r="AK20">
        <f>_xlfn.XLOOKUP(B20,'27'!$A:$A,'27'!$G:$G,"pipino il breve")</f>
        <v>103.96</v>
      </c>
    </row>
    <row r="21" spans="1:37" x14ac:dyDescent="0.2">
      <c r="A21">
        <v>20</v>
      </c>
      <c r="B21" s="2" t="s">
        <v>41</v>
      </c>
      <c r="C21" s="3">
        <v>0.82499999999999996</v>
      </c>
      <c r="D21" s="2" t="s">
        <v>125</v>
      </c>
      <c r="E21" s="3">
        <v>94.26</v>
      </c>
      <c r="F21" s="3">
        <v>94.26</v>
      </c>
      <c r="G21" s="3">
        <v>94.26</v>
      </c>
      <c r="H21">
        <f>_xlfn.XLOOKUP(B21,'28'!$A:$A,'28'!$G:$G,"pipino il breve")</f>
        <v>94.24</v>
      </c>
      <c r="I21">
        <f>_xlfn.XLOOKUP(B21,'29'!$A:$A,'29'!$G:$G,"pipino il breve")</f>
        <v>94.25</v>
      </c>
      <c r="J21" s="11">
        <f>_xlfn.XLOOKUP(B21,'30'!$A:$A,'30'!$G:$G,"pipino il breve")</f>
        <v>94.45</v>
      </c>
      <c r="K21" s="3">
        <f>_xlfn.XLOOKUP(B21,'30'!$A:$A,'30'!$G:$G,"pipino il breve")</f>
        <v>94.45</v>
      </c>
      <c r="L21">
        <f>_xlfn.XLOOKUP(B21,'2'!$A:$A,'2'!$G:$G,"pipino il breve")</f>
        <v>94.19</v>
      </c>
      <c r="M21">
        <f>_xlfn.XLOOKUP(B21,'2'!$A:$A,'2'!$G:$G,"pipino il breve")</f>
        <v>94.19</v>
      </c>
      <c r="N21">
        <f>_xlfn.XLOOKUP(B21,'2'!$A:$A,'2'!$G:$G,"pipino il breve")</f>
        <v>94.19</v>
      </c>
      <c r="O21">
        <f>_xlfn.XLOOKUP(B21,'5'!$A:$A,'5'!$G:$G,"pipino il breve")</f>
        <v>94.21</v>
      </c>
      <c r="P21">
        <f>_xlfn.XLOOKUP(B21,'6'!$A:$A,'6'!$G:$G,"pipino il breve")</f>
        <v>94.23</v>
      </c>
      <c r="Q21">
        <f>_xlfn.XLOOKUP(B21,'7'!$A:$A,'7'!$G:$G,"pipino il breve")</f>
        <v>94.51</v>
      </c>
      <c r="R21">
        <f>_xlfn.XLOOKUP(B21,'8'!$A:$A,'8'!$G:$G,"pipino il breve")</f>
        <v>94.4</v>
      </c>
      <c r="S21">
        <f>_xlfn.XLOOKUP(B21,'9'!$A:$A,'9'!$G:$G,"pipino il breve")</f>
        <v>94.26</v>
      </c>
      <c r="T21">
        <f>_xlfn.XLOOKUP(B21,'9'!$A:$A,'9'!$G:$G,"pipino il breve")</f>
        <v>94.26</v>
      </c>
      <c r="U21">
        <f>_xlfn.XLOOKUP(B21,'9'!$A:$A,'9'!$G:$G,"pipino il breve")</f>
        <v>94.26</v>
      </c>
      <c r="V21">
        <f>_xlfn.XLOOKUP(B21,'12'!$A:$A,'12'!$G:$G,"pipino il breve")</f>
        <v>93.8</v>
      </c>
      <c r="W21">
        <f>_xlfn.XLOOKUP(B21,'13'!$A:$A,'13'!$G:$G,"pipino il breve")</f>
        <v>93.71</v>
      </c>
      <c r="X21">
        <f>_xlfn.XLOOKUP(B21,'14'!$A:$A,'14'!$G:$G,"pipino il breve")</f>
        <v>93.63</v>
      </c>
      <c r="Y21">
        <f>_xlfn.XLOOKUP(B21,'15'!$A:$A,'15'!$G:$G,"pipino il breve")</f>
        <v>93.99</v>
      </c>
      <c r="Z21">
        <f>_xlfn.XLOOKUP(B21,'16'!$A:$A,'16'!$G:$G,"pipino il breve")</f>
        <v>94.18</v>
      </c>
      <c r="AA21">
        <f>_xlfn.XLOOKUP(B21,'16'!$A:$A,'16'!$G:$G,"pipino il breve")</f>
        <v>94.18</v>
      </c>
      <c r="AB21">
        <f>_xlfn.XLOOKUP(B21,'16'!$A:$A,'16'!$G:$G,"pipino il breve")</f>
        <v>94.18</v>
      </c>
      <c r="AC21">
        <f>_xlfn.XLOOKUP(B21,'19'!$A:$A,'19'!$G:$G,"pipino il breve")</f>
        <v>94.24</v>
      </c>
      <c r="AD21">
        <f>_xlfn.XLOOKUP(B21,'20'!$A:$A,'20'!$G:$G,"pipino il breve")</f>
        <v>94.25</v>
      </c>
      <c r="AE21">
        <f>_xlfn.XLOOKUP(B21,'21'!$A:$A,'21'!$G:$G,"pipino il breve")</f>
        <v>94.07</v>
      </c>
      <c r="AF21">
        <f>_xlfn.XLOOKUP(B21,'22'!$A:$A,'22'!$G:$G,"pipino il breve")</f>
        <v>94.09</v>
      </c>
      <c r="AG21">
        <f>_xlfn.XLOOKUP(B21,'23'!$A:$A,'23'!$G:$G,"pipino il breve")</f>
        <v>94.32</v>
      </c>
      <c r="AH21">
        <f>_xlfn.XLOOKUP(B21,'23'!$A:$A,'23'!$G:$G,"pipino il breve")</f>
        <v>94.32</v>
      </c>
      <c r="AI21">
        <f>_xlfn.XLOOKUP(B21,'23'!$A:$A,'23'!$G:$G,"pipino il breve")</f>
        <v>94.32</v>
      </c>
      <c r="AJ21">
        <f>_xlfn.XLOOKUP(B21,'26'!$A:$A,'26'!$G:$G,"pipino il breve")</f>
        <v>94.45</v>
      </c>
      <c r="AK21">
        <f>_xlfn.XLOOKUP(B21,'27'!$A:$A,'27'!$G:$G,"pipino il breve")</f>
        <v>94.49</v>
      </c>
    </row>
    <row r="22" spans="1:37" x14ac:dyDescent="0.2">
      <c r="A22">
        <v>21</v>
      </c>
      <c r="B22" s="2" t="s">
        <v>53</v>
      </c>
      <c r="C22" s="3">
        <v>0.47499999999999998</v>
      </c>
      <c r="D22" s="2" t="s">
        <v>126</v>
      </c>
      <c r="E22" s="3">
        <v>88.03</v>
      </c>
      <c r="F22" s="3">
        <v>88.03</v>
      </c>
      <c r="G22" s="3">
        <v>88.03</v>
      </c>
      <c r="H22">
        <f>_xlfn.XLOOKUP(B22,'28'!$A:$A,'28'!$G:$G,"pipino il breve")</f>
        <v>88</v>
      </c>
      <c r="I22">
        <f>_xlfn.XLOOKUP(B22,'29'!$A:$A,'29'!$G:$G,"pipino il breve")</f>
        <v>88</v>
      </c>
      <c r="J22" s="11">
        <f>_xlfn.XLOOKUP(B22,'30'!$A:$A,'30'!$G:$G,"pipino il breve")</f>
        <v>88.25</v>
      </c>
      <c r="K22" s="3">
        <f>_xlfn.XLOOKUP(B22,'30'!$A:$A,'30'!$G:$G,"pipino il breve")</f>
        <v>88.25</v>
      </c>
      <c r="L22">
        <f>_xlfn.XLOOKUP(B22,'2'!$A:$A,'2'!$G:$G,"pipino il breve")</f>
        <v>87.95</v>
      </c>
      <c r="M22">
        <f>_xlfn.XLOOKUP(B22,'2'!$A:$A,'2'!$G:$G,"pipino il breve")</f>
        <v>87.95</v>
      </c>
      <c r="N22">
        <f>_xlfn.XLOOKUP(B22,'2'!$A:$A,'2'!$G:$G,"pipino il breve")</f>
        <v>87.95</v>
      </c>
      <c r="O22">
        <f>_xlfn.XLOOKUP(B22,'5'!$A:$A,'5'!$G:$G,"pipino il breve")</f>
        <v>87.97</v>
      </c>
      <c r="P22">
        <f>_xlfn.XLOOKUP(B22,'6'!$A:$A,'6'!$G:$G,"pipino il breve")</f>
        <v>87.98</v>
      </c>
      <c r="Q22">
        <f>_xlfn.XLOOKUP(B22,'7'!$A:$A,'7'!$G:$G,"pipino il breve")</f>
        <v>88.29</v>
      </c>
      <c r="R22">
        <f>_xlfn.XLOOKUP(B22,'8'!$A:$A,'8'!$G:$G,"pipino il breve")</f>
        <v>88.22</v>
      </c>
      <c r="S22">
        <f>_xlfn.XLOOKUP(B22,'9'!$A:$A,'9'!$G:$G,"pipino il breve")</f>
        <v>88.02</v>
      </c>
      <c r="T22">
        <f>_xlfn.XLOOKUP(B22,'9'!$A:$A,'9'!$G:$G,"pipino il breve")</f>
        <v>88.02</v>
      </c>
      <c r="U22">
        <f>_xlfn.XLOOKUP(B22,'9'!$A:$A,'9'!$G:$G,"pipino il breve")</f>
        <v>88.02</v>
      </c>
      <c r="V22">
        <f>_xlfn.XLOOKUP(B22,'12'!$A:$A,'12'!$G:$G,"pipino il breve")</f>
        <v>87.6</v>
      </c>
      <c r="W22">
        <f>_xlfn.XLOOKUP(B22,'13'!$A:$A,'13'!$G:$G,"pipino il breve")</f>
        <v>87.48</v>
      </c>
      <c r="X22">
        <f>_xlfn.XLOOKUP(B22,'14'!$A:$A,'14'!$G:$G,"pipino il breve")</f>
        <v>87.42</v>
      </c>
      <c r="Y22">
        <f>_xlfn.XLOOKUP(B22,'15'!$A:$A,'15'!$G:$G,"pipino il breve")</f>
        <v>87.8</v>
      </c>
      <c r="Z22">
        <f>_xlfn.XLOOKUP(B22,'16'!$A:$A,'16'!$G:$G,"pipino il breve")</f>
        <v>88.04</v>
      </c>
      <c r="AA22">
        <f>_xlfn.XLOOKUP(B22,'16'!$A:$A,'16'!$G:$G,"pipino il breve")</f>
        <v>88.04</v>
      </c>
      <c r="AB22">
        <f>_xlfn.XLOOKUP(B22,'16'!$A:$A,'16'!$G:$G,"pipino il breve")</f>
        <v>88.04</v>
      </c>
      <c r="AC22">
        <f>_xlfn.XLOOKUP(B22,'19'!$A:$A,'19'!$G:$G,"pipino il breve")</f>
        <v>88.1</v>
      </c>
      <c r="AD22">
        <f>_xlfn.XLOOKUP(B22,'20'!$A:$A,'20'!$G:$G,"pipino il breve")</f>
        <v>88.09</v>
      </c>
      <c r="AE22">
        <f>_xlfn.XLOOKUP(B22,'21'!$A:$A,'21'!$G:$G,"pipino il breve")</f>
        <v>87.93</v>
      </c>
      <c r="AF22">
        <f>_xlfn.XLOOKUP(B22,'22'!$A:$A,'22'!$G:$G,"pipino il breve")</f>
        <v>87.9</v>
      </c>
      <c r="AG22">
        <f>_xlfn.XLOOKUP(B22,'23'!$A:$A,'23'!$G:$G,"pipino il breve")</f>
        <v>88.17</v>
      </c>
      <c r="AH22">
        <f>_xlfn.XLOOKUP(B22,'23'!$A:$A,'23'!$G:$G,"pipino il breve")</f>
        <v>88.17</v>
      </c>
      <c r="AI22">
        <f>_xlfn.XLOOKUP(B22,'23'!$A:$A,'23'!$G:$G,"pipino il breve")</f>
        <v>88.17</v>
      </c>
      <c r="AJ22">
        <f>_xlfn.XLOOKUP(B22,'26'!$A:$A,'26'!$G:$G,"pipino il breve")</f>
        <v>88.33</v>
      </c>
      <c r="AK22">
        <f>_xlfn.XLOOKUP(B22,'27'!$A:$A,'27'!$G:$G,"pipino il breve")</f>
        <v>88.42</v>
      </c>
    </row>
    <row r="23" spans="1:37" x14ac:dyDescent="0.2">
      <c r="A23">
        <v>22</v>
      </c>
      <c r="B23" s="2" t="s">
        <v>74</v>
      </c>
      <c r="C23" s="3">
        <v>1.9</v>
      </c>
      <c r="D23" s="2" t="s">
        <v>127</v>
      </c>
      <c r="E23" s="3">
        <v>104.87</v>
      </c>
      <c r="F23" s="3">
        <v>104.87</v>
      </c>
      <c r="G23" s="3">
        <v>104.87</v>
      </c>
      <c r="H23">
        <f>_xlfn.XLOOKUP(B23,'28'!$A:$A,'28'!$G:$G,"pipino il breve")</f>
        <v>104.9</v>
      </c>
      <c r="I23">
        <f>_xlfn.XLOOKUP(B23,'29'!$A:$A,'29'!$G:$G,"pipino il breve")</f>
        <v>104.84</v>
      </c>
      <c r="J23" s="11">
        <f>_xlfn.XLOOKUP(B23,'30'!$A:$A,'30'!$G:$G,"pipino il breve")</f>
        <v>104.91</v>
      </c>
      <c r="K23" s="3">
        <f>_xlfn.XLOOKUP(B23,'30'!$A:$A,'30'!$G:$G,"pipino il breve")</f>
        <v>104.91</v>
      </c>
      <c r="L23">
        <f>_xlfn.XLOOKUP(B23,'2'!$A:$A,'2'!$G:$G,"pipino il breve")</f>
        <v>104.82</v>
      </c>
      <c r="M23">
        <f>_xlfn.XLOOKUP(B23,'2'!$A:$A,'2'!$G:$G,"pipino il breve")</f>
        <v>104.82</v>
      </c>
      <c r="N23">
        <f>_xlfn.XLOOKUP(B23,'2'!$A:$A,'2'!$G:$G,"pipino il breve")</f>
        <v>104.82</v>
      </c>
      <c r="O23">
        <f>_xlfn.XLOOKUP(B23,'5'!$A:$A,'5'!$G:$G,"pipino il breve")</f>
        <v>104.8</v>
      </c>
      <c r="P23">
        <f>_xlfn.XLOOKUP(B23,'6'!$A:$A,'6'!$G:$G,"pipino il breve")</f>
        <v>104.99</v>
      </c>
      <c r="Q23">
        <f>_xlfn.XLOOKUP(B23,'7'!$A:$A,'7'!$G:$G,"pipino il breve")</f>
        <v>104.93</v>
      </c>
      <c r="R23">
        <f>_xlfn.XLOOKUP(B23,'8'!$A:$A,'8'!$G:$G,"pipino il breve")</f>
        <v>104.82</v>
      </c>
      <c r="S23">
        <f>_xlfn.XLOOKUP(B23,'9'!$A:$A,'9'!$G:$G,"pipino il breve")</f>
        <v>104.76</v>
      </c>
      <c r="T23">
        <f>_xlfn.XLOOKUP(B23,'9'!$A:$A,'9'!$G:$G,"pipino il breve")</f>
        <v>104.76</v>
      </c>
      <c r="U23">
        <f>_xlfn.XLOOKUP(B23,'9'!$A:$A,'9'!$G:$G,"pipino il breve")</f>
        <v>104.76</v>
      </c>
      <c r="V23">
        <f>_xlfn.XLOOKUP(B23,'12'!$A:$A,'12'!$G:$G,"pipino il breve")</f>
        <v>104.37</v>
      </c>
      <c r="W23">
        <f>_xlfn.XLOOKUP(B23,'13'!$A:$A,'13'!$G:$G,"pipino il breve")</f>
        <v>104.34</v>
      </c>
      <c r="X23">
        <f>_xlfn.XLOOKUP(B23,'14'!$A:$A,'14'!$G:$G,"pipino il breve")</f>
        <v>104.33</v>
      </c>
      <c r="Y23">
        <f>_xlfn.XLOOKUP(B23,'15'!$A:$A,'15'!$G:$G,"pipino il breve")</f>
        <v>104.48</v>
      </c>
      <c r="Z23">
        <f>_xlfn.XLOOKUP(B23,'16'!$A:$A,'16'!$G:$G,"pipino il breve")</f>
        <v>104.57</v>
      </c>
      <c r="AA23">
        <f>_xlfn.XLOOKUP(B23,'16'!$A:$A,'16'!$G:$G,"pipino il breve")</f>
        <v>104.57</v>
      </c>
      <c r="AB23">
        <f>_xlfn.XLOOKUP(B23,'16'!$A:$A,'16'!$G:$G,"pipino il breve")</f>
        <v>104.57</v>
      </c>
      <c r="AC23">
        <f>_xlfn.XLOOKUP(B23,'19'!$A:$A,'19'!$G:$G,"pipino il breve")</f>
        <v>104.62</v>
      </c>
      <c r="AD23">
        <f>_xlfn.XLOOKUP(B23,'20'!$A:$A,'20'!$G:$G,"pipino il breve")</f>
        <v>104.6</v>
      </c>
      <c r="AE23">
        <f>_xlfn.XLOOKUP(B23,'21'!$A:$A,'21'!$G:$G,"pipino il breve")</f>
        <v>104.58</v>
      </c>
      <c r="AF23">
        <f>_xlfn.XLOOKUP(B23,'22'!$A:$A,'22'!$G:$G,"pipino il breve")</f>
        <v>104.6</v>
      </c>
      <c r="AG23">
        <f>_xlfn.XLOOKUP(B23,'23'!$A:$A,'23'!$G:$G,"pipino il breve")</f>
        <v>104.75</v>
      </c>
      <c r="AH23">
        <f>_xlfn.XLOOKUP(B23,'23'!$A:$A,'23'!$G:$G,"pipino il breve")</f>
        <v>104.75</v>
      </c>
      <c r="AI23">
        <f>_xlfn.XLOOKUP(B23,'23'!$A:$A,'23'!$G:$G,"pipino il breve")</f>
        <v>104.75</v>
      </c>
      <c r="AJ23">
        <f>_xlfn.XLOOKUP(B23,'26'!$A:$A,'26'!$G:$G,"pipino il breve")</f>
        <v>104.72</v>
      </c>
      <c r="AK23">
        <f>_xlfn.XLOOKUP(B23,'27'!$A:$A,'27'!$G:$G,"pipino il breve")</f>
        <v>104.75</v>
      </c>
    </row>
    <row r="24" spans="1:37" x14ac:dyDescent="0.2">
      <c r="A24">
        <v>23</v>
      </c>
      <c r="B24" s="2" t="s">
        <v>5</v>
      </c>
      <c r="C24" s="3">
        <v>2.5</v>
      </c>
      <c r="D24" s="2" t="s">
        <v>128</v>
      </c>
      <c r="E24" s="3">
        <v>112.74</v>
      </c>
      <c r="F24" s="3">
        <v>112.74</v>
      </c>
      <c r="G24" s="3">
        <v>112.74</v>
      </c>
      <c r="H24">
        <f>_xlfn.XLOOKUP(B24,'28'!$A:$A,'28'!$G:$G,"pipino il breve")</f>
        <v>112.65</v>
      </c>
      <c r="I24">
        <f>_xlfn.XLOOKUP(B24,'29'!$A:$A,'29'!$G:$G,"pipino il breve")</f>
        <v>112.64</v>
      </c>
      <c r="J24" s="11">
        <f>_xlfn.XLOOKUP(B24,'30'!$A:$A,'30'!$G:$G,"pipino il breve")</f>
        <v>113</v>
      </c>
      <c r="K24" s="3">
        <f>_xlfn.XLOOKUP(B24,'30'!$A:$A,'30'!$G:$G,"pipino il breve")</f>
        <v>113</v>
      </c>
      <c r="L24">
        <f>_xlfn.XLOOKUP(B24,'2'!$A:$A,'2'!$G:$G,"pipino il breve")</f>
        <v>112.53</v>
      </c>
      <c r="M24">
        <f>_xlfn.XLOOKUP(B24,'2'!$A:$A,'2'!$G:$G,"pipino il breve")</f>
        <v>112.53</v>
      </c>
      <c r="N24">
        <f>_xlfn.XLOOKUP(B24,'2'!$A:$A,'2'!$G:$G,"pipino il breve")</f>
        <v>112.53</v>
      </c>
      <c r="O24">
        <f>_xlfn.XLOOKUP(B24,'5'!$A:$A,'5'!$G:$G,"pipino il breve")</f>
        <v>112.58</v>
      </c>
      <c r="P24">
        <f>_xlfn.XLOOKUP(B24,'6'!$A:$A,'6'!$G:$G,"pipino il breve")</f>
        <v>112.54</v>
      </c>
      <c r="Q24">
        <f>_xlfn.XLOOKUP(B24,'7'!$A:$A,'7'!$G:$G,"pipino il breve")</f>
        <v>113.04</v>
      </c>
      <c r="R24">
        <f>_xlfn.XLOOKUP(B24,'8'!$A:$A,'8'!$G:$G,"pipino il breve")</f>
        <v>112.88</v>
      </c>
      <c r="S24">
        <f>_xlfn.XLOOKUP(B24,'9'!$A:$A,'9'!$G:$G,"pipino il breve")</f>
        <v>112.57</v>
      </c>
      <c r="T24">
        <f>_xlfn.XLOOKUP(B24,'9'!$A:$A,'9'!$G:$G,"pipino il breve")</f>
        <v>112.57</v>
      </c>
      <c r="U24">
        <f>_xlfn.XLOOKUP(B24,'9'!$A:$A,'9'!$G:$G,"pipino il breve")</f>
        <v>112.57</v>
      </c>
      <c r="V24">
        <f>_xlfn.XLOOKUP(B24,'12'!$A:$A,'12'!$G:$G,"pipino il breve")</f>
        <v>112.04</v>
      </c>
      <c r="W24">
        <f>_xlfn.XLOOKUP(B24,'13'!$A:$A,'13'!$G:$G,"pipino il breve")</f>
        <v>111.92</v>
      </c>
      <c r="X24">
        <f>_xlfn.XLOOKUP(B24,'14'!$A:$A,'14'!$G:$G,"pipino il breve")</f>
        <v>111.74</v>
      </c>
      <c r="Y24">
        <f>_xlfn.XLOOKUP(B24,'15'!$A:$A,'15'!$G:$G,"pipino il breve")</f>
        <v>112.21</v>
      </c>
      <c r="Z24">
        <f>_xlfn.XLOOKUP(B24,'16'!$A:$A,'16'!$G:$G,"pipino il breve")</f>
        <v>112.62</v>
      </c>
      <c r="AA24">
        <f>_xlfn.XLOOKUP(B24,'16'!$A:$A,'16'!$G:$G,"pipino il breve")</f>
        <v>112.62</v>
      </c>
      <c r="AB24">
        <f>_xlfn.XLOOKUP(B24,'16'!$A:$A,'16'!$G:$G,"pipino il breve")</f>
        <v>112.62</v>
      </c>
      <c r="AC24">
        <f>_xlfn.XLOOKUP(B24,'19'!$A:$A,'19'!$G:$G,"pipino il breve")</f>
        <v>112.68</v>
      </c>
      <c r="AD24">
        <f>_xlfn.XLOOKUP(B24,'20'!$A:$A,'20'!$G:$G,"pipino il breve")</f>
        <v>112.53</v>
      </c>
      <c r="AE24">
        <f>_xlfn.XLOOKUP(B24,'21'!$A:$A,'21'!$G:$G,"pipino il breve")</f>
        <v>112.39</v>
      </c>
      <c r="AF24">
        <f>_xlfn.XLOOKUP(B24,'22'!$A:$A,'22'!$G:$G,"pipino il breve")</f>
        <v>112.21</v>
      </c>
      <c r="AG24">
        <f>_xlfn.XLOOKUP(B24,'23'!$A:$A,'23'!$G:$G,"pipino il breve")</f>
        <v>112.68</v>
      </c>
      <c r="AH24">
        <f>_xlfn.XLOOKUP(B24,'23'!$A:$A,'23'!$G:$G,"pipino il breve")</f>
        <v>112.68</v>
      </c>
      <c r="AI24">
        <f>_xlfn.XLOOKUP(B24,'23'!$A:$A,'23'!$G:$G,"pipino il breve")</f>
        <v>112.68</v>
      </c>
      <c r="AJ24">
        <f>_xlfn.XLOOKUP(B24,'26'!$A:$A,'26'!$G:$G,"pipino il breve")</f>
        <v>112.98</v>
      </c>
      <c r="AK24">
        <f>_xlfn.XLOOKUP(B24,'27'!$A:$A,'27'!$G:$G,"pipino il breve")</f>
        <v>113.24</v>
      </c>
    </row>
    <row r="25" spans="1:37" x14ac:dyDescent="0.2">
      <c r="A25">
        <v>24</v>
      </c>
      <c r="B25" s="2" t="s">
        <v>6</v>
      </c>
      <c r="C25" s="3">
        <v>2</v>
      </c>
      <c r="D25" s="2" t="s">
        <v>129</v>
      </c>
      <c r="E25" s="3">
        <v>103.46</v>
      </c>
      <c r="F25" s="3">
        <v>103.46</v>
      </c>
      <c r="G25" s="3">
        <v>103.46</v>
      </c>
      <c r="H25">
        <f>_xlfn.XLOOKUP(B25,'28'!$A:$A,'28'!$G:$G,"pipino il breve")</f>
        <v>103.31</v>
      </c>
      <c r="I25">
        <f>_xlfn.XLOOKUP(B25,'29'!$A:$A,'29'!$G:$G,"pipino il breve")</f>
        <v>103.35</v>
      </c>
      <c r="J25" s="11">
        <f>_xlfn.XLOOKUP(B25,'30'!$A:$A,'30'!$G:$G,"pipino il breve")</f>
        <v>103.64</v>
      </c>
      <c r="K25" s="3">
        <f>_xlfn.XLOOKUP(B25,'30'!$A:$A,'30'!$G:$G,"pipino il breve")</f>
        <v>103.64</v>
      </c>
      <c r="L25">
        <f>_xlfn.XLOOKUP(B25,'2'!$A:$A,'2'!$G:$G,"pipino il breve")</f>
        <v>103.21</v>
      </c>
      <c r="M25">
        <f>_xlfn.XLOOKUP(B25,'2'!$A:$A,'2'!$G:$G,"pipino il breve")</f>
        <v>103.21</v>
      </c>
      <c r="N25">
        <f>_xlfn.XLOOKUP(B25,'2'!$A:$A,'2'!$G:$G,"pipino il breve")</f>
        <v>103.21</v>
      </c>
      <c r="O25">
        <f>_xlfn.XLOOKUP(B25,'5'!$A:$A,'5'!$G:$G,"pipino il breve")</f>
        <v>103.35</v>
      </c>
      <c r="P25">
        <f>_xlfn.XLOOKUP(B25,'6'!$A:$A,'6'!$G:$G,"pipino il breve")</f>
        <v>103.14</v>
      </c>
      <c r="Q25">
        <f>_xlfn.XLOOKUP(B25,'7'!$A:$A,'7'!$G:$G,"pipino il breve")</f>
        <v>103.74</v>
      </c>
      <c r="R25">
        <f>_xlfn.XLOOKUP(B25,'8'!$A:$A,'8'!$G:$G,"pipino il breve")</f>
        <v>103.71</v>
      </c>
      <c r="S25">
        <f>_xlfn.XLOOKUP(B25,'9'!$A:$A,'9'!$G:$G,"pipino il breve")</f>
        <v>103.41</v>
      </c>
      <c r="T25">
        <f>_xlfn.XLOOKUP(B25,'9'!$A:$A,'9'!$G:$G,"pipino il breve")</f>
        <v>103.41</v>
      </c>
      <c r="U25">
        <f>_xlfn.XLOOKUP(B25,'9'!$A:$A,'9'!$G:$G,"pipino il breve")</f>
        <v>103.41</v>
      </c>
      <c r="V25">
        <f>_xlfn.XLOOKUP(B25,'12'!$A:$A,'12'!$G:$G,"pipino il breve")</f>
        <v>102.83</v>
      </c>
      <c r="W25">
        <f>_xlfn.XLOOKUP(B25,'13'!$A:$A,'13'!$G:$G,"pipino il breve")</f>
        <v>102.54</v>
      </c>
      <c r="X25">
        <f>_xlfn.XLOOKUP(B25,'14'!$A:$A,'14'!$G:$G,"pipino il breve")</f>
        <v>102.43</v>
      </c>
      <c r="Y25">
        <f>_xlfn.XLOOKUP(B25,'15'!$A:$A,'15'!$G:$G,"pipino il breve")</f>
        <v>103.07</v>
      </c>
      <c r="Z25">
        <f>_xlfn.XLOOKUP(B25,'16'!$A:$A,'16'!$G:$G,"pipino il breve")</f>
        <v>103.56</v>
      </c>
      <c r="AA25">
        <f>_xlfn.XLOOKUP(B25,'16'!$A:$A,'16'!$G:$G,"pipino il breve")</f>
        <v>103.56</v>
      </c>
      <c r="AB25">
        <f>_xlfn.XLOOKUP(B25,'16'!$A:$A,'16'!$G:$G,"pipino il breve")</f>
        <v>103.56</v>
      </c>
      <c r="AC25">
        <f>_xlfn.XLOOKUP(B25,'19'!$A:$A,'19'!$G:$G,"pipino il breve")</f>
        <v>103.54</v>
      </c>
      <c r="AD25">
        <f>_xlfn.XLOOKUP(B25,'20'!$A:$A,'20'!$G:$G,"pipino il breve")</f>
        <v>103.34</v>
      </c>
      <c r="AE25">
        <f>_xlfn.XLOOKUP(B25,'21'!$A:$A,'21'!$G:$G,"pipino il breve")</f>
        <v>103.07</v>
      </c>
      <c r="AF25">
        <f>_xlfn.XLOOKUP(B25,'22'!$A:$A,'22'!$G:$G,"pipino il breve")</f>
        <v>102.86</v>
      </c>
      <c r="AG25">
        <f>_xlfn.XLOOKUP(B25,'23'!$A:$A,'23'!$G:$G,"pipino il breve")</f>
        <v>103.36</v>
      </c>
      <c r="AH25">
        <f>_xlfn.XLOOKUP(B25,'23'!$A:$A,'23'!$G:$G,"pipino il breve")</f>
        <v>103.36</v>
      </c>
      <c r="AI25">
        <f>_xlfn.XLOOKUP(B25,'23'!$A:$A,'23'!$G:$G,"pipino il breve")</f>
        <v>103.36</v>
      </c>
      <c r="AJ25">
        <f>_xlfn.XLOOKUP(B25,'26'!$A:$A,'26'!$G:$G,"pipino il breve")</f>
        <v>103.75</v>
      </c>
      <c r="AK25">
        <f>_xlfn.XLOOKUP(B25,'27'!$A:$A,'27'!$G:$G,"pipino il breve")</f>
        <v>104.1</v>
      </c>
    </row>
    <row r="26" spans="1:37" x14ac:dyDescent="0.2">
      <c r="A26">
        <v>25</v>
      </c>
      <c r="B26" s="2" t="s">
        <v>7</v>
      </c>
      <c r="C26" s="3">
        <v>2.5</v>
      </c>
      <c r="D26" s="2" t="s">
        <v>130</v>
      </c>
      <c r="E26" s="3">
        <v>112.17</v>
      </c>
      <c r="F26" s="3">
        <v>112.17</v>
      </c>
      <c r="G26" s="3">
        <v>112.17</v>
      </c>
      <c r="H26">
        <f>_xlfn.XLOOKUP(B26,'28'!$A:$A,'28'!$G:$G,"pipino il breve")</f>
        <v>111.96</v>
      </c>
      <c r="I26">
        <f>_xlfn.XLOOKUP(B26,'29'!$A:$A,'29'!$G:$G,"pipino il breve")</f>
        <v>111.87</v>
      </c>
      <c r="J26" s="11">
        <f>_xlfn.XLOOKUP(B26,'30'!$A:$A,'30'!$G:$G,"pipino il breve")</f>
        <v>112.36</v>
      </c>
      <c r="K26" s="3">
        <f>_xlfn.XLOOKUP(B26,'30'!$A:$A,'30'!$G:$G,"pipino il breve")</f>
        <v>112.36</v>
      </c>
      <c r="L26">
        <f>_xlfn.XLOOKUP(B26,'2'!$A:$A,'2'!$G:$G,"pipino il breve")</f>
        <v>111.84</v>
      </c>
      <c r="M26">
        <f>_xlfn.XLOOKUP(B26,'2'!$A:$A,'2'!$G:$G,"pipino il breve")</f>
        <v>111.84</v>
      </c>
      <c r="N26">
        <f>_xlfn.XLOOKUP(B26,'2'!$A:$A,'2'!$G:$G,"pipino il breve")</f>
        <v>111.84</v>
      </c>
      <c r="O26">
        <f>_xlfn.XLOOKUP(B26,'5'!$A:$A,'5'!$G:$G,"pipino il breve")</f>
        <v>111.87</v>
      </c>
      <c r="P26">
        <f>_xlfn.XLOOKUP(B26,'6'!$A:$A,'6'!$G:$G,"pipino il breve")</f>
        <v>111.79</v>
      </c>
      <c r="Q26">
        <f>_xlfn.XLOOKUP(B26,'7'!$A:$A,'7'!$G:$G,"pipino il breve")</f>
        <v>112.63</v>
      </c>
      <c r="R26">
        <f>_xlfn.XLOOKUP(B26,'8'!$A:$A,'8'!$G:$G,"pipino il breve")</f>
        <v>112.37</v>
      </c>
      <c r="S26">
        <f>_xlfn.XLOOKUP(B26,'9'!$A:$A,'9'!$G:$G,"pipino il breve")</f>
        <v>112.01</v>
      </c>
      <c r="T26">
        <f>_xlfn.XLOOKUP(B26,'9'!$A:$A,'9'!$G:$G,"pipino il breve")</f>
        <v>112.01</v>
      </c>
      <c r="U26">
        <f>_xlfn.XLOOKUP(B26,'9'!$A:$A,'9'!$G:$G,"pipino il breve")</f>
        <v>112.01</v>
      </c>
      <c r="V26">
        <f>_xlfn.XLOOKUP(B26,'12'!$A:$A,'12'!$G:$G,"pipino il breve")</f>
        <v>111.45</v>
      </c>
      <c r="W26">
        <f>_xlfn.XLOOKUP(B26,'13'!$A:$A,'13'!$G:$G,"pipino il breve")</f>
        <v>111.11</v>
      </c>
      <c r="X26">
        <f>_xlfn.XLOOKUP(B26,'14'!$A:$A,'14'!$G:$G,"pipino il breve")</f>
        <v>111.04</v>
      </c>
      <c r="Y26">
        <f>_xlfn.XLOOKUP(B26,'15'!$A:$A,'15'!$G:$G,"pipino il breve")</f>
        <v>111.79</v>
      </c>
      <c r="Z26">
        <f>_xlfn.XLOOKUP(B26,'16'!$A:$A,'16'!$G:$G,"pipino il breve")</f>
        <v>112.27</v>
      </c>
      <c r="AA26">
        <f>_xlfn.XLOOKUP(B26,'16'!$A:$A,'16'!$G:$G,"pipino il breve")</f>
        <v>112.27</v>
      </c>
      <c r="AB26">
        <f>_xlfn.XLOOKUP(B26,'16'!$A:$A,'16'!$G:$G,"pipino il breve")</f>
        <v>112.27</v>
      </c>
      <c r="AC26">
        <f>_xlfn.XLOOKUP(B26,'19'!$A:$A,'19'!$G:$G,"pipino il breve")</f>
        <v>112.24</v>
      </c>
      <c r="AD26">
        <f>_xlfn.XLOOKUP(B26,'20'!$A:$A,'20'!$G:$G,"pipino il breve")</f>
        <v>111.88</v>
      </c>
      <c r="AE26">
        <f>_xlfn.XLOOKUP(B26,'21'!$A:$A,'21'!$G:$G,"pipino il breve")</f>
        <v>111.65</v>
      </c>
      <c r="AF26">
        <f>_xlfn.XLOOKUP(B26,'22'!$A:$A,'22'!$G:$G,"pipino il breve")</f>
        <v>111.4</v>
      </c>
      <c r="AG26">
        <f>_xlfn.XLOOKUP(B26,'23'!$A:$A,'23'!$G:$G,"pipino il breve")</f>
        <v>111.94</v>
      </c>
      <c r="AH26">
        <f>_xlfn.XLOOKUP(B26,'23'!$A:$A,'23'!$G:$G,"pipino il breve")</f>
        <v>111.94</v>
      </c>
      <c r="AI26">
        <f>_xlfn.XLOOKUP(B26,'23'!$A:$A,'23'!$G:$G,"pipino il breve")</f>
        <v>111.94</v>
      </c>
      <c r="AJ26">
        <f>_xlfn.XLOOKUP(B26,'26'!$A:$A,'26'!$G:$G,"pipino il breve")</f>
        <v>112.52</v>
      </c>
      <c r="AK26">
        <f>_xlfn.XLOOKUP(B26,'27'!$A:$A,'27'!$G:$G,"pipino il breve")</f>
        <v>112.9</v>
      </c>
    </row>
    <row r="27" spans="1:37" x14ac:dyDescent="0.2">
      <c r="A27">
        <v>26</v>
      </c>
      <c r="B27" s="2" t="s">
        <v>20</v>
      </c>
      <c r="C27" s="3">
        <v>0.625</v>
      </c>
      <c r="D27" s="2" t="s">
        <v>131</v>
      </c>
      <c r="E27" s="3">
        <v>99.08</v>
      </c>
      <c r="F27" s="3">
        <v>99.08</v>
      </c>
      <c r="G27" s="3">
        <v>99.08</v>
      </c>
      <c r="H27">
        <f>_xlfn.XLOOKUP(B27,'28'!$A:$A,'28'!$G:$G,"pipino il breve")</f>
        <v>99.06</v>
      </c>
      <c r="I27">
        <f>_xlfn.XLOOKUP(B27,'29'!$A:$A,'29'!$G:$G,"pipino il breve")</f>
        <v>99.04</v>
      </c>
      <c r="J27" s="11">
        <f>_xlfn.XLOOKUP(B27,'30'!$A:$A,'30'!$G:$G,"pipino il breve")</f>
        <v>99.09</v>
      </c>
      <c r="K27" s="3">
        <f>_xlfn.XLOOKUP(B27,'30'!$A:$A,'30'!$G:$G,"pipino il breve")</f>
        <v>99.09</v>
      </c>
      <c r="L27">
        <f>_xlfn.XLOOKUP(B27,'2'!$A:$A,'2'!$G:$G,"pipino il breve")</f>
        <v>99.01</v>
      </c>
      <c r="M27">
        <f>_xlfn.XLOOKUP(B27,'2'!$A:$A,'2'!$G:$G,"pipino il breve")</f>
        <v>99.01</v>
      </c>
      <c r="N27">
        <f>_xlfn.XLOOKUP(B27,'2'!$A:$A,'2'!$G:$G,"pipino il breve")</f>
        <v>99.01</v>
      </c>
      <c r="O27">
        <f>_xlfn.XLOOKUP(B27,'5'!$A:$A,'5'!$G:$G,"pipino il breve")</f>
        <v>99.08</v>
      </c>
      <c r="P27">
        <f>_xlfn.XLOOKUP(B27,'6'!$A:$A,'6'!$G:$G,"pipino il breve")</f>
        <v>99.07</v>
      </c>
      <c r="Q27">
        <f>_xlfn.XLOOKUP(B27,'7'!$A:$A,'7'!$G:$G,"pipino il breve")</f>
        <v>99.15</v>
      </c>
      <c r="R27">
        <f>_xlfn.XLOOKUP(B27,'8'!$A:$A,'8'!$G:$G,"pipino il breve")</f>
        <v>99.07</v>
      </c>
      <c r="S27">
        <f>_xlfn.XLOOKUP(B27,'9'!$A:$A,'9'!$G:$G,"pipino il breve")</f>
        <v>99.09</v>
      </c>
      <c r="T27">
        <f>_xlfn.XLOOKUP(B27,'9'!$A:$A,'9'!$G:$G,"pipino il breve")</f>
        <v>99.09</v>
      </c>
      <c r="U27">
        <f>_xlfn.XLOOKUP(B27,'9'!$A:$A,'9'!$G:$G,"pipino il breve")</f>
        <v>99.09</v>
      </c>
      <c r="V27">
        <f>_xlfn.XLOOKUP(B27,'12'!$A:$A,'12'!$G:$G,"pipino il breve")</f>
        <v>98.9</v>
      </c>
      <c r="W27">
        <f>_xlfn.XLOOKUP(B27,'13'!$A:$A,'13'!$G:$G,"pipino il breve")</f>
        <v>98.92</v>
      </c>
      <c r="X27">
        <f>_xlfn.XLOOKUP(B27,'14'!$A:$A,'14'!$G:$G,"pipino il breve")</f>
        <v>98.9</v>
      </c>
      <c r="Y27">
        <f>_xlfn.XLOOKUP(B27,'15'!$A:$A,'15'!$G:$G,"pipino il breve")</f>
        <v>98.94</v>
      </c>
      <c r="Z27">
        <f>_xlfn.XLOOKUP(B27,'16'!$A:$A,'16'!$G:$G,"pipino il breve")</f>
        <v>98.98</v>
      </c>
      <c r="AA27">
        <f>_xlfn.XLOOKUP(B27,'16'!$A:$A,'16'!$G:$G,"pipino il breve")</f>
        <v>98.98</v>
      </c>
      <c r="AB27">
        <f>_xlfn.XLOOKUP(B27,'16'!$A:$A,'16'!$G:$G,"pipino il breve")</f>
        <v>98.98</v>
      </c>
      <c r="AC27">
        <f>_xlfn.XLOOKUP(B27,'19'!$A:$A,'19'!$G:$G,"pipino il breve")</f>
        <v>99.02</v>
      </c>
      <c r="AD27">
        <f>_xlfn.XLOOKUP(B27,'20'!$A:$A,'20'!$G:$G,"pipino il breve")</f>
        <v>99.01</v>
      </c>
      <c r="AE27">
        <f>_xlfn.XLOOKUP(B27,'21'!$A:$A,'21'!$G:$G,"pipino il breve")</f>
        <v>99.01</v>
      </c>
      <c r="AF27">
        <f>_xlfn.XLOOKUP(B27,'22'!$A:$A,'22'!$G:$G,"pipino il breve")</f>
        <v>99.01</v>
      </c>
      <c r="AG27">
        <f>_xlfn.XLOOKUP(B27,'23'!$A:$A,'23'!$G:$G,"pipino il breve")</f>
        <v>99.09</v>
      </c>
      <c r="AH27">
        <f>_xlfn.XLOOKUP(B27,'23'!$A:$A,'23'!$G:$G,"pipino il breve")</f>
        <v>99.09</v>
      </c>
      <c r="AI27">
        <f>_xlfn.XLOOKUP(B27,'23'!$A:$A,'23'!$G:$G,"pipino il breve")</f>
        <v>99.09</v>
      </c>
      <c r="AJ27">
        <f>_xlfn.XLOOKUP(B27,'26'!$A:$A,'26'!$G:$G,"pipino il breve")</f>
        <v>99.1</v>
      </c>
      <c r="AK27">
        <f>_xlfn.XLOOKUP(B27,'27'!$A:$A,'27'!$G:$G,"pipino il breve")</f>
        <v>99</v>
      </c>
    </row>
    <row r="28" spans="1:37" x14ac:dyDescent="0.2">
      <c r="A28">
        <v>27</v>
      </c>
      <c r="B28" s="2" t="s">
        <v>28</v>
      </c>
      <c r="C28" s="3">
        <v>1.4</v>
      </c>
      <c r="D28" s="2" t="s">
        <v>132</v>
      </c>
      <c r="E28" s="3">
        <v>101.95</v>
      </c>
      <c r="F28" s="3">
        <v>101.95</v>
      </c>
      <c r="G28" s="3">
        <v>101.95</v>
      </c>
      <c r="H28">
        <f>_xlfn.XLOOKUP(B28,'28'!$A:$A,'28'!$G:$G,"pipino il breve")</f>
        <v>102</v>
      </c>
      <c r="I28">
        <f>_xlfn.XLOOKUP(B28,'29'!$A:$A,'29'!$G:$G,"pipino il breve")</f>
        <v>101.9</v>
      </c>
      <c r="J28" s="11">
        <f>_xlfn.XLOOKUP(B28,'30'!$A:$A,'30'!$G:$G,"pipino il breve")</f>
        <v>102.04</v>
      </c>
      <c r="K28" s="3">
        <f>_xlfn.XLOOKUP(B28,'30'!$A:$A,'30'!$G:$G,"pipino il breve")</f>
        <v>102.04</v>
      </c>
      <c r="L28">
        <f>_xlfn.XLOOKUP(B28,'2'!$A:$A,'2'!$G:$G,"pipino il breve")</f>
        <v>101.86</v>
      </c>
      <c r="M28">
        <f>_xlfn.XLOOKUP(B28,'2'!$A:$A,'2'!$G:$G,"pipino il breve")</f>
        <v>101.86</v>
      </c>
      <c r="N28">
        <f>_xlfn.XLOOKUP(B28,'2'!$A:$A,'2'!$G:$G,"pipino il breve")</f>
        <v>101.86</v>
      </c>
      <c r="O28">
        <f>_xlfn.XLOOKUP(B28,'5'!$A:$A,'5'!$G:$G,"pipino il breve")</f>
        <v>101.94</v>
      </c>
      <c r="P28">
        <f>_xlfn.XLOOKUP(B28,'6'!$A:$A,'6'!$G:$G,"pipino il breve")</f>
        <v>101.91</v>
      </c>
      <c r="Q28">
        <f>_xlfn.XLOOKUP(B28,'7'!$A:$A,'7'!$G:$G,"pipino il breve")</f>
        <v>102.07</v>
      </c>
      <c r="R28">
        <f>_xlfn.XLOOKUP(B28,'8'!$A:$A,'8'!$G:$G,"pipino il breve")</f>
        <v>101.93</v>
      </c>
      <c r="S28">
        <f>_xlfn.XLOOKUP(B28,'9'!$A:$A,'9'!$G:$G,"pipino il breve")</f>
        <v>101.82</v>
      </c>
      <c r="T28">
        <f>_xlfn.XLOOKUP(B28,'9'!$A:$A,'9'!$G:$G,"pipino il breve")</f>
        <v>101.82</v>
      </c>
      <c r="U28">
        <f>_xlfn.XLOOKUP(B28,'9'!$A:$A,'9'!$G:$G,"pipino il breve")</f>
        <v>101.82</v>
      </c>
      <c r="V28">
        <f>_xlfn.XLOOKUP(B28,'12'!$A:$A,'12'!$G:$G,"pipino il breve")</f>
        <v>101.44</v>
      </c>
      <c r="W28">
        <f>_xlfn.XLOOKUP(B28,'13'!$A:$A,'13'!$G:$G,"pipino il breve")</f>
        <v>101.45</v>
      </c>
      <c r="X28">
        <f>_xlfn.XLOOKUP(B28,'14'!$A:$A,'14'!$G:$G,"pipino il breve")</f>
        <v>101.39</v>
      </c>
      <c r="Y28">
        <f>_xlfn.XLOOKUP(B28,'15'!$A:$A,'15'!$G:$G,"pipino il breve")</f>
        <v>101.53</v>
      </c>
      <c r="Z28">
        <f>_xlfn.XLOOKUP(B28,'16'!$A:$A,'16'!$G:$G,"pipino il breve")</f>
        <v>101.67</v>
      </c>
      <c r="AA28">
        <f>_xlfn.XLOOKUP(B28,'16'!$A:$A,'16'!$G:$G,"pipino il breve")</f>
        <v>101.67</v>
      </c>
      <c r="AB28">
        <f>_xlfn.XLOOKUP(B28,'16'!$A:$A,'16'!$G:$G,"pipino il breve")</f>
        <v>101.67</v>
      </c>
      <c r="AC28">
        <f>_xlfn.XLOOKUP(B28,'19'!$A:$A,'19'!$G:$G,"pipino il breve")</f>
        <v>101.77</v>
      </c>
      <c r="AD28">
        <f>_xlfn.XLOOKUP(B28,'20'!$A:$A,'20'!$G:$G,"pipino il breve")</f>
        <v>101.73</v>
      </c>
      <c r="AE28">
        <f>_xlfn.XLOOKUP(B28,'21'!$A:$A,'21'!$G:$G,"pipino il breve")</f>
        <v>101.67</v>
      </c>
      <c r="AF28">
        <f>_xlfn.XLOOKUP(B28,'22'!$A:$A,'22'!$G:$G,"pipino il breve")</f>
        <v>101.71</v>
      </c>
      <c r="AG28">
        <f>_xlfn.XLOOKUP(B28,'23'!$A:$A,'23'!$G:$G,"pipino il breve")</f>
        <v>101.7</v>
      </c>
      <c r="AH28">
        <f>_xlfn.XLOOKUP(B28,'23'!$A:$A,'23'!$G:$G,"pipino il breve")</f>
        <v>101.7</v>
      </c>
      <c r="AI28">
        <f>_xlfn.XLOOKUP(B28,'23'!$A:$A,'23'!$G:$G,"pipino il breve")</f>
        <v>101.7</v>
      </c>
      <c r="AJ28">
        <f>_xlfn.XLOOKUP(B28,'26'!$A:$A,'26'!$G:$G,"pipino il breve")</f>
        <v>101.85</v>
      </c>
      <c r="AK28">
        <f>_xlfn.XLOOKUP(B28,'27'!$A:$A,'27'!$G:$G,"pipino il breve")</f>
        <v>101.88</v>
      </c>
    </row>
    <row r="29" spans="1:37" x14ac:dyDescent="0.2">
      <c r="A29">
        <v>28</v>
      </c>
      <c r="B29" s="2" t="s">
        <v>43</v>
      </c>
      <c r="C29" s="3">
        <v>0.25</v>
      </c>
      <c r="D29" s="2" t="s">
        <v>133</v>
      </c>
      <c r="E29" s="3">
        <v>98.93</v>
      </c>
      <c r="F29" s="3">
        <v>98.93</v>
      </c>
      <c r="G29" s="3">
        <v>98.93</v>
      </c>
      <c r="H29">
        <f>_xlfn.XLOOKUP(B29,'28'!$A:$A,'28'!$G:$G,"pipino il breve")</f>
        <v>98.944999999999993</v>
      </c>
      <c r="I29">
        <f>_xlfn.XLOOKUP(B29,'29'!$A:$A,'29'!$G:$G,"pipino il breve")</f>
        <v>98.932000000000002</v>
      </c>
      <c r="J29" s="11">
        <f>_xlfn.XLOOKUP(B29,'30'!$A:$A,'30'!$G:$G,"pipino il breve")</f>
        <v>98.971000000000004</v>
      </c>
      <c r="K29" s="3">
        <f>_xlfn.XLOOKUP(B29,'30'!$A:$A,'30'!$G:$G,"pipino il breve")</f>
        <v>98.971000000000004</v>
      </c>
      <c r="L29">
        <f>_xlfn.XLOOKUP(B29,'2'!$A:$A,'2'!$G:$G,"pipino il breve")</f>
        <v>98.938000000000002</v>
      </c>
      <c r="M29">
        <f>_xlfn.XLOOKUP(B29,'2'!$A:$A,'2'!$G:$G,"pipino il breve")</f>
        <v>98.938000000000002</v>
      </c>
      <c r="N29">
        <f>_xlfn.XLOOKUP(B29,'2'!$A:$A,'2'!$G:$G,"pipino il breve")</f>
        <v>98.938000000000002</v>
      </c>
      <c r="O29">
        <f>_xlfn.XLOOKUP(B29,'5'!$A:$A,'5'!$G:$G,"pipino il breve")</f>
        <v>98.948999999999998</v>
      </c>
      <c r="P29">
        <f>_xlfn.XLOOKUP(B29,'6'!$A:$A,'6'!$G:$G,"pipino il breve")</f>
        <v>98.974999999999994</v>
      </c>
      <c r="Q29">
        <f>_xlfn.XLOOKUP(B29,'7'!$A:$A,'7'!$G:$G,"pipino il breve")</f>
        <v>98.995999999999995</v>
      </c>
      <c r="R29">
        <f>_xlfn.XLOOKUP(B29,'8'!$A:$A,'8'!$G:$G,"pipino il breve")</f>
        <v>98.998999999999995</v>
      </c>
      <c r="S29">
        <f>_xlfn.XLOOKUP(B29,'9'!$A:$A,'9'!$G:$G,"pipino il breve")</f>
        <v>98.988</v>
      </c>
      <c r="T29">
        <f>_xlfn.XLOOKUP(B29,'9'!$A:$A,'9'!$G:$G,"pipino il breve")</f>
        <v>98.988</v>
      </c>
      <c r="U29">
        <f>_xlfn.XLOOKUP(B29,'9'!$A:$A,'9'!$G:$G,"pipino il breve")</f>
        <v>98.988</v>
      </c>
      <c r="V29">
        <f>_xlfn.XLOOKUP(B29,'12'!$A:$A,'12'!$G:$G,"pipino il breve")</f>
        <v>98.947999999999993</v>
      </c>
      <c r="W29">
        <f>_xlfn.XLOOKUP(B29,'13'!$A:$A,'13'!$G:$G,"pipino il breve")</f>
        <v>98.951999999999998</v>
      </c>
      <c r="X29">
        <f>_xlfn.XLOOKUP(B29,'14'!$A:$A,'14'!$G:$G,"pipino il breve")</f>
        <v>98.968999999999994</v>
      </c>
      <c r="Y29">
        <f>_xlfn.XLOOKUP(B29,'15'!$A:$A,'15'!$G:$G,"pipino il breve")</f>
        <v>98.989000000000004</v>
      </c>
      <c r="Z29">
        <f>_xlfn.XLOOKUP(B29,'16'!$A:$A,'16'!$G:$G,"pipino il breve")</f>
        <v>99</v>
      </c>
      <c r="AA29">
        <f>_xlfn.XLOOKUP(B29,'16'!$A:$A,'16'!$G:$G,"pipino il breve")</f>
        <v>99</v>
      </c>
      <c r="AB29">
        <f>_xlfn.XLOOKUP(B29,'16'!$A:$A,'16'!$G:$G,"pipino il breve")</f>
        <v>99</v>
      </c>
      <c r="AC29">
        <f>_xlfn.XLOOKUP(B29,'19'!$A:$A,'19'!$G:$G,"pipino il breve")</f>
        <v>99</v>
      </c>
      <c r="AD29">
        <f>_xlfn.XLOOKUP(B29,'20'!$A:$A,'20'!$G:$G,"pipino il breve")</f>
        <v>99.02</v>
      </c>
      <c r="AE29">
        <f>_xlfn.XLOOKUP(B29,'21'!$A:$A,'21'!$G:$G,"pipino il breve")</f>
        <v>99.022000000000006</v>
      </c>
      <c r="AF29">
        <f>_xlfn.XLOOKUP(B29,'22'!$A:$A,'22'!$G:$G,"pipino il breve")</f>
        <v>99.052000000000007</v>
      </c>
      <c r="AG29">
        <f>_xlfn.XLOOKUP(B29,'23'!$A:$A,'23'!$G:$G,"pipino il breve")</f>
        <v>99.088999999999999</v>
      </c>
      <c r="AH29">
        <f>_xlfn.XLOOKUP(B29,'23'!$A:$A,'23'!$G:$G,"pipino il breve")</f>
        <v>99.088999999999999</v>
      </c>
      <c r="AI29">
        <f>_xlfn.XLOOKUP(B29,'23'!$A:$A,'23'!$G:$G,"pipino il breve")</f>
        <v>99.088999999999999</v>
      </c>
      <c r="AJ29">
        <f>_xlfn.XLOOKUP(B29,'26'!$A:$A,'26'!$G:$G,"pipino il breve")</f>
        <v>99.075000000000003</v>
      </c>
      <c r="AK29">
        <f>_xlfn.XLOOKUP(B29,'27'!$A:$A,'27'!$G:$G,"pipino il breve")</f>
        <v>99.08</v>
      </c>
    </row>
    <row r="30" spans="1:37" x14ac:dyDescent="0.2">
      <c r="A30">
        <v>29</v>
      </c>
      <c r="B30" s="2" t="s">
        <v>54</v>
      </c>
      <c r="C30" s="3">
        <v>0</v>
      </c>
      <c r="D30" s="2" t="s">
        <v>134</v>
      </c>
      <c r="E30" s="3">
        <v>97.74</v>
      </c>
      <c r="F30" s="3">
        <v>97.74</v>
      </c>
      <c r="G30" s="3">
        <v>97.74</v>
      </c>
      <c r="H30">
        <f>_xlfn.XLOOKUP(B30,'28'!$A:$A,'28'!$G:$G,"pipino il breve")</f>
        <v>97.77</v>
      </c>
      <c r="I30">
        <f>_xlfn.XLOOKUP(B30,'29'!$A:$A,'29'!$G:$G,"pipino il breve")</f>
        <v>97.76</v>
      </c>
      <c r="J30" s="11">
        <f>_xlfn.XLOOKUP(B30,'30'!$A:$A,'30'!$G:$G,"pipino il breve")</f>
        <v>97.77</v>
      </c>
      <c r="K30" s="3">
        <f>_xlfn.XLOOKUP(B30,'30'!$A:$A,'30'!$G:$G,"pipino il breve")</f>
        <v>97.77</v>
      </c>
      <c r="L30">
        <f>_xlfn.XLOOKUP(B30,'2'!$A:$A,'2'!$G:$G,"pipino il breve")</f>
        <v>97.76</v>
      </c>
      <c r="M30">
        <f>_xlfn.XLOOKUP(B30,'2'!$A:$A,'2'!$G:$G,"pipino il breve")</f>
        <v>97.76</v>
      </c>
      <c r="N30">
        <f>_xlfn.XLOOKUP(B30,'2'!$A:$A,'2'!$G:$G,"pipino il breve")</f>
        <v>97.76</v>
      </c>
      <c r="O30">
        <f>_xlfn.XLOOKUP(B30,'5'!$A:$A,'5'!$G:$G,"pipino il breve")</f>
        <v>97.75</v>
      </c>
      <c r="P30">
        <f>_xlfn.XLOOKUP(B30,'6'!$A:$A,'6'!$G:$G,"pipino il breve")</f>
        <v>97.79</v>
      </c>
      <c r="Q30">
        <f>_xlfn.XLOOKUP(B30,'7'!$A:$A,'7'!$G:$G,"pipino il breve")</f>
        <v>97.83</v>
      </c>
      <c r="R30">
        <f>_xlfn.XLOOKUP(B30,'8'!$A:$A,'8'!$G:$G,"pipino il breve")</f>
        <v>97.83</v>
      </c>
      <c r="S30">
        <f>_xlfn.XLOOKUP(B30,'9'!$A:$A,'9'!$G:$G,"pipino il breve")</f>
        <v>97.85</v>
      </c>
      <c r="T30">
        <f>_xlfn.XLOOKUP(B30,'9'!$A:$A,'9'!$G:$G,"pipino il breve")</f>
        <v>97.85</v>
      </c>
      <c r="U30">
        <f>_xlfn.XLOOKUP(B30,'9'!$A:$A,'9'!$G:$G,"pipino il breve")</f>
        <v>97.85</v>
      </c>
      <c r="V30">
        <f>_xlfn.XLOOKUP(B30,'12'!$A:$A,'12'!$G:$G,"pipino il breve")</f>
        <v>97.69</v>
      </c>
      <c r="W30">
        <f>_xlfn.XLOOKUP(B30,'13'!$A:$A,'13'!$G:$G,"pipino il breve")</f>
        <v>97.68</v>
      </c>
      <c r="X30">
        <f>_xlfn.XLOOKUP(B30,'14'!$A:$A,'14'!$G:$G,"pipino il breve")</f>
        <v>97.7</v>
      </c>
      <c r="Y30">
        <f>_xlfn.XLOOKUP(B30,'15'!$A:$A,'15'!$G:$G,"pipino il breve")</f>
        <v>97.76</v>
      </c>
      <c r="Z30">
        <f>_xlfn.XLOOKUP(B30,'16'!$A:$A,'16'!$G:$G,"pipino il breve")</f>
        <v>97.77</v>
      </c>
      <c r="AA30">
        <f>_xlfn.XLOOKUP(B30,'16'!$A:$A,'16'!$G:$G,"pipino il breve")</f>
        <v>97.77</v>
      </c>
      <c r="AB30">
        <f>_xlfn.XLOOKUP(B30,'16'!$A:$A,'16'!$G:$G,"pipino il breve")</f>
        <v>97.77</v>
      </c>
      <c r="AC30">
        <f>_xlfn.XLOOKUP(B30,'19'!$A:$A,'19'!$G:$G,"pipino il breve")</f>
        <v>97.82</v>
      </c>
      <c r="AD30">
        <f>_xlfn.XLOOKUP(B30,'20'!$A:$A,'20'!$G:$G,"pipino il breve")</f>
        <v>97.79</v>
      </c>
      <c r="AE30">
        <f>_xlfn.XLOOKUP(B30,'21'!$A:$A,'21'!$G:$G,"pipino il breve")</f>
        <v>97.76</v>
      </c>
      <c r="AF30">
        <f>_xlfn.XLOOKUP(B30,'22'!$A:$A,'22'!$G:$G,"pipino il breve")</f>
        <v>97.8</v>
      </c>
      <c r="AG30">
        <f>_xlfn.XLOOKUP(B30,'23'!$A:$A,'23'!$G:$G,"pipino il breve")</f>
        <v>97.9</v>
      </c>
      <c r="AH30">
        <f>_xlfn.XLOOKUP(B30,'23'!$A:$A,'23'!$G:$G,"pipino il breve")</f>
        <v>97.9</v>
      </c>
      <c r="AI30">
        <f>_xlfn.XLOOKUP(B30,'23'!$A:$A,'23'!$G:$G,"pipino il breve")</f>
        <v>97.9</v>
      </c>
      <c r="AJ30">
        <f>_xlfn.XLOOKUP(B30,'26'!$A:$A,'26'!$G:$G,"pipino il breve")</f>
        <v>97.86</v>
      </c>
      <c r="AK30">
        <f>_xlfn.XLOOKUP(B30,'27'!$A:$A,'27'!$G:$G,"pipino il breve")</f>
        <v>97.88</v>
      </c>
    </row>
    <row r="31" spans="1:37" x14ac:dyDescent="0.2">
      <c r="A31">
        <v>30</v>
      </c>
      <c r="B31" s="2" t="s">
        <v>92</v>
      </c>
      <c r="C31" s="3">
        <v>1.925</v>
      </c>
      <c r="D31" s="2" t="s">
        <v>135</v>
      </c>
      <c r="E31" s="3">
        <v>102.91</v>
      </c>
      <c r="F31" s="3">
        <v>102.91</v>
      </c>
      <c r="G31" s="3">
        <v>102.91</v>
      </c>
      <c r="H31">
        <f>_xlfn.XLOOKUP(B31,'28'!$A:$A,'28'!$G:$G,"pipino il breve")</f>
        <v>102.81</v>
      </c>
      <c r="I31">
        <f>_xlfn.XLOOKUP(B31,'29'!$A:$A,'29'!$G:$G,"pipino il breve")</f>
        <v>102.77</v>
      </c>
      <c r="J31" s="11">
        <f>_xlfn.XLOOKUP(B31,'30'!$A:$A,'30'!$G:$G,"pipino il breve")</f>
        <v>103.12</v>
      </c>
      <c r="K31" s="3">
        <f>_xlfn.XLOOKUP(B31,'30'!$A:$A,'30'!$G:$G,"pipino il breve")</f>
        <v>103.12</v>
      </c>
      <c r="L31">
        <f>_xlfn.XLOOKUP(B31,'2'!$A:$A,'2'!$G:$G,"pipino il breve")</f>
        <v>102.69</v>
      </c>
      <c r="M31">
        <f>_xlfn.XLOOKUP(B31,'2'!$A:$A,'2'!$G:$G,"pipino il breve")</f>
        <v>102.69</v>
      </c>
      <c r="N31">
        <f>_xlfn.XLOOKUP(B31,'2'!$A:$A,'2'!$G:$G,"pipino il breve")</f>
        <v>102.69</v>
      </c>
      <c r="O31">
        <f>_xlfn.XLOOKUP(B31,'5'!$A:$A,'5'!$G:$G,"pipino il breve")</f>
        <v>102.76</v>
      </c>
      <c r="P31">
        <f>_xlfn.XLOOKUP(B31,'6'!$A:$A,'6'!$G:$G,"pipino il breve")</f>
        <v>102.69</v>
      </c>
      <c r="Q31">
        <f>_xlfn.XLOOKUP(B31,'7'!$A:$A,'7'!$G:$G,"pipino il breve")</f>
        <v>103.21</v>
      </c>
      <c r="R31">
        <f>_xlfn.XLOOKUP(B31,'8'!$A:$A,'8'!$G:$G,"pipino il breve")</f>
        <v>103.1</v>
      </c>
      <c r="S31">
        <f>_xlfn.XLOOKUP(B31,'9'!$A:$A,'9'!$G:$G,"pipino il breve")</f>
        <v>102.82</v>
      </c>
      <c r="T31">
        <f>_xlfn.XLOOKUP(B31,'9'!$A:$A,'9'!$G:$G,"pipino il breve")</f>
        <v>102.82</v>
      </c>
      <c r="U31">
        <f>_xlfn.XLOOKUP(B31,'9'!$A:$A,'9'!$G:$G,"pipino il breve")</f>
        <v>102.82</v>
      </c>
      <c r="V31">
        <f>_xlfn.XLOOKUP(B31,'12'!$A:$A,'12'!$G:$G,"pipino il breve")</f>
        <v>102.27</v>
      </c>
      <c r="W31">
        <f>_xlfn.XLOOKUP(B31,'13'!$A:$A,'13'!$G:$G,"pipino il breve")</f>
        <v>102.1</v>
      </c>
      <c r="X31">
        <f>_xlfn.XLOOKUP(B31,'14'!$A:$A,'14'!$G:$G,"pipino il breve")</f>
        <v>101.97</v>
      </c>
      <c r="Y31">
        <f>_xlfn.XLOOKUP(B31,'15'!$A:$A,'15'!$G:$G,"pipino il breve")</f>
        <v>102.59</v>
      </c>
      <c r="Z31">
        <f>_xlfn.XLOOKUP(B31,'16'!$A:$A,'16'!$G:$G,"pipino il breve")</f>
        <v>102.86</v>
      </c>
      <c r="AA31">
        <f>_xlfn.XLOOKUP(B31,'16'!$A:$A,'16'!$G:$G,"pipino il breve")</f>
        <v>102.86</v>
      </c>
      <c r="AB31">
        <f>_xlfn.XLOOKUP(B31,'16'!$A:$A,'16'!$G:$G,"pipino il breve")</f>
        <v>102.86</v>
      </c>
      <c r="AC31">
        <f>_xlfn.XLOOKUP(B31,'19'!$A:$A,'19'!$G:$G,"pipino il breve")</f>
        <v>102.95</v>
      </c>
      <c r="AD31">
        <f>_xlfn.XLOOKUP(B31,'20'!$A:$A,'20'!$G:$G,"pipino il breve")</f>
        <v>102.7</v>
      </c>
      <c r="AE31">
        <f>_xlfn.XLOOKUP(B31,'21'!$A:$A,'21'!$G:$G,"pipino il breve")</f>
        <v>102.56</v>
      </c>
      <c r="AF31">
        <f>_xlfn.XLOOKUP(B31,'22'!$A:$A,'22'!$G:$G,"pipino il breve")</f>
        <v>102.39</v>
      </c>
      <c r="AG31">
        <f>_xlfn.XLOOKUP(B31,'23'!$A:$A,'23'!$G:$G,"pipino il breve")</f>
        <v>102.89</v>
      </c>
      <c r="AH31">
        <f>_xlfn.XLOOKUP(B31,'23'!$A:$A,'23'!$G:$G,"pipino il breve")</f>
        <v>102.89</v>
      </c>
      <c r="AI31">
        <f>_xlfn.XLOOKUP(B31,'23'!$A:$A,'23'!$G:$G,"pipino il breve")</f>
        <v>102.89</v>
      </c>
      <c r="AJ31">
        <f>_xlfn.XLOOKUP(B31,'26'!$A:$A,'26'!$G:$G,"pipino il breve")</f>
        <v>103.24</v>
      </c>
      <c r="AK31">
        <f>_xlfn.XLOOKUP(B31,'27'!$A:$A,'27'!$G:$G,"pipino il breve")</f>
        <v>103.37</v>
      </c>
    </row>
    <row r="32" spans="1:37" x14ac:dyDescent="0.2">
      <c r="A32">
        <v>31</v>
      </c>
      <c r="B32" s="2" t="s">
        <v>8</v>
      </c>
      <c r="C32" s="3">
        <v>2.5</v>
      </c>
      <c r="D32" s="2" t="s">
        <v>136</v>
      </c>
      <c r="E32" s="3">
        <v>111.84</v>
      </c>
      <c r="F32" s="3">
        <v>111.84</v>
      </c>
      <c r="G32" s="3">
        <v>111.84</v>
      </c>
      <c r="H32">
        <f>_xlfn.XLOOKUP(B32,'28'!$A:$A,'28'!$G:$G,"pipino il breve")</f>
        <v>111.68</v>
      </c>
      <c r="I32">
        <f>_xlfn.XLOOKUP(B32,'29'!$A:$A,'29'!$G:$G,"pipino il breve")</f>
        <v>111.65</v>
      </c>
      <c r="J32" s="11">
        <f>_xlfn.XLOOKUP(B32,'30'!$A:$A,'30'!$G:$G,"pipino il breve")</f>
        <v>111.9</v>
      </c>
      <c r="K32" s="3">
        <f>_xlfn.XLOOKUP(B32,'30'!$A:$A,'30'!$G:$G,"pipino il breve")</f>
        <v>111.9</v>
      </c>
      <c r="L32">
        <f>_xlfn.XLOOKUP(B32,'2'!$A:$A,'2'!$G:$G,"pipino il breve")</f>
        <v>111.44</v>
      </c>
      <c r="M32">
        <f>_xlfn.XLOOKUP(B32,'2'!$A:$A,'2'!$G:$G,"pipino il breve")</f>
        <v>111.44</v>
      </c>
      <c r="N32">
        <f>_xlfn.XLOOKUP(B32,'2'!$A:$A,'2'!$G:$G,"pipino il breve")</f>
        <v>111.44</v>
      </c>
      <c r="O32">
        <f>_xlfn.XLOOKUP(B32,'5'!$A:$A,'5'!$G:$G,"pipino il breve")</f>
        <v>111.44</v>
      </c>
      <c r="P32">
        <f>_xlfn.XLOOKUP(B32,'6'!$A:$A,'6'!$G:$G,"pipino il breve")</f>
        <v>111.32</v>
      </c>
      <c r="Q32">
        <f>_xlfn.XLOOKUP(B32,'7'!$A:$A,'7'!$G:$G,"pipino il breve")</f>
        <v>112.19</v>
      </c>
      <c r="R32">
        <f>_xlfn.XLOOKUP(B32,'8'!$A:$A,'8'!$G:$G,"pipino il breve")</f>
        <v>111.97</v>
      </c>
      <c r="S32">
        <f>_xlfn.XLOOKUP(B32,'9'!$A:$A,'9'!$G:$G,"pipino il breve")</f>
        <v>111.52</v>
      </c>
      <c r="T32">
        <f>_xlfn.XLOOKUP(B32,'9'!$A:$A,'9'!$G:$G,"pipino il breve")</f>
        <v>111.52</v>
      </c>
      <c r="U32">
        <f>_xlfn.XLOOKUP(B32,'9'!$A:$A,'9'!$G:$G,"pipino il breve")</f>
        <v>111.52</v>
      </c>
      <c r="V32">
        <f>_xlfn.XLOOKUP(B32,'12'!$A:$A,'12'!$G:$G,"pipino il breve")</f>
        <v>110.99</v>
      </c>
      <c r="W32">
        <f>_xlfn.XLOOKUP(B32,'13'!$A:$A,'13'!$G:$G,"pipino il breve")</f>
        <v>110.61</v>
      </c>
      <c r="X32">
        <f>_xlfn.XLOOKUP(B32,'14'!$A:$A,'14'!$G:$G,"pipino il breve")</f>
        <v>110.54</v>
      </c>
      <c r="Y32">
        <f>_xlfn.XLOOKUP(B32,'15'!$A:$A,'15'!$G:$G,"pipino il breve")</f>
        <v>111.4</v>
      </c>
      <c r="Z32">
        <f>_xlfn.XLOOKUP(B32,'16'!$A:$A,'16'!$G:$G,"pipino il breve")</f>
        <v>111.86</v>
      </c>
      <c r="AA32">
        <f>_xlfn.XLOOKUP(B32,'16'!$A:$A,'16'!$G:$G,"pipino il breve")</f>
        <v>111.86</v>
      </c>
      <c r="AB32">
        <f>_xlfn.XLOOKUP(B32,'16'!$A:$A,'16'!$G:$G,"pipino il breve")</f>
        <v>111.86</v>
      </c>
      <c r="AC32">
        <f>_xlfn.XLOOKUP(B32,'19'!$A:$A,'19'!$G:$G,"pipino il breve")</f>
        <v>111.91</v>
      </c>
      <c r="AD32">
        <f>_xlfn.XLOOKUP(B32,'20'!$A:$A,'20'!$G:$G,"pipino il breve")</f>
        <v>111.59</v>
      </c>
      <c r="AE32">
        <f>_xlfn.XLOOKUP(B32,'21'!$A:$A,'21'!$G:$G,"pipino il breve")</f>
        <v>111.2</v>
      </c>
      <c r="AF32">
        <f>_xlfn.XLOOKUP(B32,'22'!$A:$A,'22'!$G:$G,"pipino il breve")</f>
        <v>110.93</v>
      </c>
      <c r="AG32">
        <f>_xlfn.XLOOKUP(B32,'23'!$A:$A,'23'!$G:$G,"pipino il breve")</f>
        <v>111.64</v>
      </c>
      <c r="AH32">
        <f>_xlfn.XLOOKUP(B32,'23'!$A:$A,'23'!$G:$G,"pipino il breve")</f>
        <v>111.64</v>
      </c>
      <c r="AI32">
        <f>_xlfn.XLOOKUP(B32,'23'!$A:$A,'23'!$G:$G,"pipino il breve")</f>
        <v>111.64</v>
      </c>
      <c r="AJ32">
        <f>_xlfn.XLOOKUP(B32,'26'!$A:$A,'26'!$G:$G,"pipino il breve")</f>
        <v>112.05</v>
      </c>
      <c r="AK32">
        <f>_xlfn.XLOOKUP(B32,'27'!$A:$A,'27'!$G:$G,"pipino il breve")</f>
        <v>112.54</v>
      </c>
    </row>
    <row r="33" spans="1:37" x14ac:dyDescent="0.2">
      <c r="A33">
        <v>32</v>
      </c>
      <c r="B33" s="2" t="s">
        <v>9</v>
      </c>
      <c r="C33" s="3">
        <v>2.25</v>
      </c>
      <c r="D33" s="2" t="s">
        <v>137</v>
      </c>
      <c r="E33" s="3">
        <v>102.10299999999999</v>
      </c>
      <c r="F33" s="3">
        <v>102.10299999999999</v>
      </c>
      <c r="G33" s="3">
        <v>102.10299999999999</v>
      </c>
      <c r="H33">
        <f>_xlfn.XLOOKUP(B33,'28'!$A:$A,'28'!$G:$G,"pipino il breve")</f>
        <v>102.071</v>
      </c>
      <c r="I33">
        <f>_xlfn.XLOOKUP(B33,'29'!$A:$A,'29'!$G:$G,"pipino il breve")</f>
        <v>102.078</v>
      </c>
      <c r="J33" s="11">
        <f>_xlfn.XLOOKUP(B33,'30'!$A:$A,'30'!$G:$G,"pipino il breve")</f>
        <v>102.048</v>
      </c>
      <c r="K33" s="3">
        <f>_xlfn.XLOOKUP(B33,'30'!$A:$A,'30'!$G:$G,"pipino il breve")</f>
        <v>102.048</v>
      </c>
      <c r="L33">
        <f>_xlfn.XLOOKUP(B33,'2'!$A:$A,'2'!$G:$G,"pipino il breve")</f>
        <v>102.026</v>
      </c>
      <c r="M33">
        <f>_xlfn.XLOOKUP(B33,'2'!$A:$A,'2'!$G:$G,"pipino il breve")</f>
        <v>102.026</v>
      </c>
      <c r="N33">
        <f>_xlfn.XLOOKUP(B33,'2'!$A:$A,'2'!$G:$G,"pipino il breve")</f>
        <v>102.026</v>
      </c>
      <c r="O33">
        <f>_xlfn.XLOOKUP(B33,'5'!$A:$A,'5'!$G:$G,"pipino il breve")</f>
        <v>102.027</v>
      </c>
      <c r="P33">
        <f>_xlfn.XLOOKUP(B33,'6'!$A:$A,'6'!$G:$G,"pipino il breve")</f>
        <v>102.062</v>
      </c>
      <c r="Q33">
        <f>_xlfn.XLOOKUP(B33,'7'!$A:$A,'7'!$G:$G,"pipino il breve")</f>
        <v>102.041</v>
      </c>
      <c r="R33">
        <f>_xlfn.XLOOKUP(B33,'8'!$A:$A,'8'!$G:$G,"pipino il breve")</f>
        <v>102.024</v>
      </c>
      <c r="S33">
        <f>_xlfn.XLOOKUP(B33,'9'!$A:$A,'9'!$G:$G,"pipino il breve")</f>
        <v>101.979</v>
      </c>
      <c r="T33">
        <f>_xlfn.XLOOKUP(B33,'9'!$A:$A,'9'!$G:$G,"pipino il breve")</f>
        <v>101.979</v>
      </c>
      <c r="U33">
        <f>_xlfn.XLOOKUP(B33,'9'!$A:$A,'9'!$G:$G,"pipino il breve")</f>
        <v>101.979</v>
      </c>
      <c r="V33">
        <f>_xlfn.XLOOKUP(B33,'12'!$A:$A,'12'!$G:$G,"pipino il breve")</f>
        <v>101.91500000000001</v>
      </c>
      <c r="W33">
        <f>_xlfn.XLOOKUP(B33,'13'!$A:$A,'13'!$G:$G,"pipino il breve")</f>
        <v>101.93</v>
      </c>
      <c r="X33">
        <f>_xlfn.XLOOKUP(B33,'14'!$A:$A,'14'!$G:$G,"pipino il breve")</f>
        <v>101.91</v>
      </c>
      <c r="Y33">
        <f>_xlfn.XLOOKUP(B33,'15'!$A:$A,'15'!$G:$G,"pipino il breve")</f>
        <v>101.923</v>
      </c>
      <c r="Z33">
        <f>_xlfn.XLOOKUP(B33,'16'!$A:$A,'16'!$G:$G,"pipino il breve")</f>
        <v>101.91</v>
      </c>
      <c r="AA33">
        <f>_xlfn.XLOOKUP(B33,'16'!$A:$A,'16'!$G:$G,"pipino il breve")</f>
        <v>101.91</v>
      </c>
      <c r="AB33">
        <f>_xlfn.XLOOKUP(B33,'16'!$A:$A,'16'!$G:$G,"pipino il breve")</f>
        <v>101.91</v>
      </c>
      <c r="AC33">
        <f>_xlfn.XLOOKUP(B33,'19'!$A:$A,'19'!$G:$G,"pipino il breve")</f>
        <v>101.90300000000001</v>
      </c>
      <c r="AD33">
        <f>_xlfn.XLOOKUP(B33,'20'!$A:$A,'20'!$G:$G,"pipino il breve")</f>
        <v>101.9</v>
      </c>
      <c r="AE33">
        <f>_xlfn.XLOOKUP(B33,'21'!$A:$A,'21'!$G:$G,"pipino il breve")</f>
        <v>101.872</v>
      </c>
      <c r="AF33">
        <f>_xlfn.XLOOKUP(B33,'22'!$A:$A,'22'!$G:$G,"pipino il breve")</f>
        <v>101.886</v>
      </c>
      <c r="AG33">
        <f>_xlfn.XLOOKUP(B33,'23'!$A:$A,'23'!$G:$G,"pipino il breve")</f>
        <v>101.93</v>
      </c>
      <c r="AH33">
        <f>_xlfn.XLOOKUP(B33,'23'!$A:$A,'23'!$G:$G,"pipino il breve")</f>
        <v>101.93</v>
      </c>
      <c r="AI33">
        <f>_xlfn.XLOOKUP(B33,'23'!$A:$A,'23'!$G:$G,"pipino il breve")</f>
        <v>101.93</v>
      </c>
      <c r="AJ33">
        <f>_xlfn.XLOOKUP(B33,'26'!$A:$A,'26'!$G:$G,"pipino il breve")</f>
        <v>101.899</v>
      </c>
      <c r="AK33">
        <f>_xlfn.XLOOKUP(B33,'27'!$A:$A,'27'!$G:$G,"pipino il breve")</f>
        <v>101.88</v>
      </c>
    </row>
    <row r="34" spans="1:37" x14ac:dyDescent="0.2">
      <c r="A34">
        <v>33</v>
      </c>
      <c r="B34" s="2" t="s">
        <v>13</v>
      </c>
      <c r="C34" s="3">
        <v>1.625</v>
      </c>
      <c r="D34" s="2" t="s">
        <v>138</v>
      </c>
      <c r="E34" s="3">
        <v>87.55</v>
      </c>
      <c r="F34" s="3">
        <v>87.55</v>
      </c>
      <c r="G34" s="3">
        <v>87.55</v>
      </c>
      <c r="H34">
        <f>_xlfn.XLOOKUP(B34,'28'!$A:$A,'28'!$G:$G,"pipino il breve")</f>
        <v>87.33</v>
      </c>
      <c r="I34">
        <f>_xlfn.XLOOKUP(B34,'29'!$A:$A,'29'!$G:$G,"pipino il breve")</f>
        <v>87.29</v>
      </c>
      <c r="J34" s="11">
        <f>_xlfn.XLOOKUP(B34,'30'!$A:$A,'30'!$G:$G,"pipino il breve")</f>
        <v>87.56</v>
      </c>
      <c r="K34" s="3">
        <f>_xlfn.XLOOKUP(B34,'30'!$A:$A,'30'!$G:$G,"pipino il breve")</f>
        <v>87.56</v>
      </c>
      <c r="L34">
        <f>_xlfn.XLOOKUP(B34,'2'!$A:$A,'2'!$G:$G,"pipino il breve")</f>
        <v>87.01</v>
      </c>
      <c r="M34">
        <f>_xlfn.XLOOKUP(B34,'2'!$A:$A,'2'!$G:$G,"pipino il breve")</f>
        <v>87.01</v>
      </c>
      <c r="N34">
        <f>_xlfn.XLOOKUP(B34,'2'!$A:$A,'2'!$G:$G,"pipino il breve")</f>
        <v>87.01</v>
      </c>
      <c r="O34">
        <f>_xlfn.XLOOKUP(B34,'5'!$A:$A,'5'!$G:$G,"pipino il breve")</f>
        <v>87</v>
      </c>
      <c r="P34">
        <f>_xlfn.XLOOKUP(B34,'6'!$A:$A,'6'!$G:$G,"pipino il breve")</f>
        <v>86.71</v>
      </c>
      <c r="Q34">
        <f>_xlfn.XLOOKUP(B34,'7'!$A:$A,'7'!$G:$G,"pipino il breve")</f>
        <v>87.71</v>
      </c>
      <c r="R34">
        <f>_xlfn.XLOOKUP(B34,'8'!$A:$A,'8'!$G:$G,"pipino il breve")</f>
        <v>87.31</v>
      </c>
      <c r="S34">
        <f>_xlfn.XLOOKUP(B34,'9'!$A:$A,'9'!$G:$G,"pipino il breve")</f>
        <v>86.93</v>
      </c>
      <c r="T34">
        <f>_xlfn.XLOOKUP(B34,'9'!$A:$A,'9'!$G:$G,"pipino il breve")</f>
        <v>86.93</v>
      </c>
      <c r="U34">
        <f>_xlfn.XLOOKUP(B34,'9'!$A:$A,'9'!$G:$G,"pipino il breve")</f>
        <v>86.93</v>
      </c>
      <c r="V34">
        <f>_xlfn.XLOOKUP(B34,'12'!$A:$A,'12'!$G:$G,"pipino il breve")</f>
        <v>86.46</v>
      </c>
      <c r="W34">
        <f>_xlfn.XLOOKUP(B34,'13'!$A:$A,'13'!$G:$G,"pipino il breve")</f>
        <v>86.06</v>
      </c>
      <c r="X34">
        <f>_xlfn.XLOOKUP(B34,'14'!$A:$A,'14'!$G:$G,"pipino il breve")</f>
        <v>86.02</v>
      </c>
      <c r="Y34">
        <f>_xlfn.XLOOKUP(B34,'15'!$A:$A,'15'!$G:$G,"pipino il breve")</f>
        <v>86.79</v>
      </c>
      <c r="Z34">
        <f>_xlfn.XLOOKUP(B34,'16'!$A:$A,'16'!$G:$G,"pipino il breve")</f>
        <v>87.39</v>
      </c>
      <c r="AA34">
        <f>_xlfn.XLOOKUP(B34,'16'!$A:$A,'16'!$G:$G,"pipino il breve")</f>
        <v>87.39</v>
      </c>
      <c r="AB34">
        <f>_xlfn.XLOOKUP(B34,'16'!$A:$A,'16'!$G:$G,"pipino il breve")</f>
        <v>87.39</v>
      </c>
      <c r="AC34">
        <f>_xlfn.XLOOKUP(B34,'19'!$A:$A,'19'!$G:$G,"pipino il breve")</f>
        <v>87.12</v>
      </c>
      <c r="AD34">
        <f>_xlfn.XLOOKUP(B34,'20'!$A:$A,'20'!$G:$G,"pipino il breve")</f>
        <v>86.99</v>
      </c>
      <c r="AE34">
        <f>_xlfn.XLOOKUP(B34,'21'!$A:$A,'21'!$G:$G,"pipino il breve")</f>
        <v>86.54</v>
      </c>
      <c r="AF34">
        <f>_xlfn.XLOOKUP(B34,'22'!$A:$A,'22'!$G:$G,"pipino il breve")</f>
        <v>86.14</v>
      </c>
      <c r="AG34">
        <f>_xlfn.XLOOKUP(B34,'23'!$A:$A,'23'!$G:$G,"pipino il breve")</f>
        <v>86.72</v>
      </c>
      <c r="AH34">
        <f>_xlfn.XLOOKUP(B34,'23'!$A:$A,'23'!$G:$G,"pipino il breve")</f>
        <v>86.72</v>
      </c>
      <c r="AI34">
        <f>_xlfn.XLOOKUP(B34,'23'!$A:$A,'23'!$G:$G,"pipino il breve")</f>
        <v>86.72</v>
      </c>
      <c r="AJ34">
        <f>_xlfn.XLOOKUP(B34,'26'!$A:$A,'26'!$G:$G,"pipino il breve")</f>
        <v>87.31</v>
      </c>
      <c r="AK34">
        <f>_xlfn.XLOOKUP(B34,'27'!$A:$A,'27'!$G:$G,"pipino il breve")</f>
        <v>87.99</v>
      </c>
    </row>
    <row r="35" spans="1:37" x14ac:dyDescent="0.2">
      <c r="A35">
        <v>34</v>
      </c>
      <c r="B35" s="2" t="s">
        <v>16</v>
      </c>
      <c r="C35" s="3">
        <v>1</v>
      </c>
      <c r="D35" s="2" t="s">
        <v>139</v>
      </c>
      <c r="E35" s="3">
        <v>100.05</v>
      </c>
      <c r="F35" s="3">
        <v>100.05</v>
      </c>
      <c r="G35" s="3">
        <v>100.05</v>
      </c>
      <c r="H35">
        <f>_xlfn.XLOOKUP(B35,'28'!$A:$A,'28'!$G:$G,"pipino il breve")</f>
        <v>100.057</v>
      </c>
      <c r="I35">
        <f>_xlfn.XLOOKUP(B35,'29'!$A:$A,'29'!$G:$G,"pipino il breve")</f>
        <v>100.07</v>
      </c>
      <c r="J35" s="11">
        <f>_xlfn.XLOOKUP(B35,'30'!$A:$A,'30'!$G:$G,"pipino il breve")</f>
        <v>100.063</v>
      </c>
      <c r="K35" s="3">
        <f>_xlfn.XLOOKUP(B35,'30'!$A:$A,'30'!$G:$G,"pipino il breve")</f>
        <v>100.063</v>
      </c>
      <c r="L35">
        <f>_xlfn.XLOOKUP(B35,'2'!$A:$A,'2'!$G:$G,"pipino il breve")</f>
        <v>100.03700000000001</v>
      </c>
      <c r="M35">
        <f>_xlfn.XLOOKUP(B35,'2'!$A:$A,'2'!$G:$G,"pipino il breve")</f>
        <v>100.03700000000001</v>
      </c>
      <c r="N35">
        <f>_xlfn.XLOOKUP(B35,'2'!$A:$A,'2'!$G:$G,"pipino il breve")</f>
        <v>100.03700000000001</v>
      </c>
      <c r="O35">
        <f>_xlfn.XLOOKUP(B35,'5'!$A:$A,'5'!$G:$G,"pipino il breve")</f>
        <v>100.057</v>
      </c>
      <c r="P35">
        <f>_xlfn.XLOOKUP(B35,'6'!$A:$A,'6'!$G:$G,"pipino il breve")</f>
        <v>100.06</v>
      </c>
      <c r="Q35">
        <f>_xlfn.XLOOKUP(B35,'7'!$A:$A,'7'!$G:$G,"pipino il breve")</f>
        <v>100.07</v>
      </c>
      <c r="R35">
        <f>_xlfn.XLOOKUP(B35,'8'!$A:$A,'8'!$G:$G,"pipino il breve")</f>
        <v>100.051</v>
      </c>
      <c r="S35">
        <f>_xlfn.XLOOKUP(B35,'9'!$A:$A,'9'!$G:$G,"pipino il breve")</f>
        <v>100.05800000000001</v>
      </c>
      <c r="T35">
        <f>_xlfn.XLOOKUP(B35,'9'!$A:$A,'9'!$G:$G,"pipino il breve")</f>
        <v>100.05800000000001</v>
      </c>
      <c r="U35">
        <f>_xlfn.XLOOKUP(B35,'9'!$A:$A,'9'!$G:$G,"pipino il breve")</f>
        <v>100.05800000000001</v>
      </c>
      <c r="V35">
        <f>_xlfn.XLOOKUP(B35,'12'!$A:$A,'12'!$G:$G,"pipino il breve")</f>
        <v>100.021</v>
      </c>
      <c r="W35">
        <f>_xlfn.XLOOKUP(B35,'13'!$A:$A,'13'!$G:$G,"pipino il breve")</f>
        <v>100.01900000000001</v>
      </c>
      <c r="X35">
        <f>_xlfn.XLOOKUP(B35,'14'!$A:$A,'14'!$G:$G,"pipino il breve")</f>
        <v>100.01300000000001</v>
      </c>
      <c r="Y35">
        <f>_xlfn.XLOOKUP(B35,'15'!$A:$A,'15'!$G:$G,"pipino il breve")</f>
        <v>100.035</v>
      </c>
      <c r="Z35">
        <f>_xlfn.XLOOKUP(B35,'16'!$A:$A,'16'!$G:$G,"pipino il breve")</f>
        <v>100.05</v>
      </c>
      <c r="AA35">
        <f>_xlfn.XLOOKUP(B35,'16'!$A:$A,'16'!$G:$G,"pipino il breve")</f>
        <v>100.05</v>
      </c>
      <c r="AB35">
        <f>_xlfn.XLOOKUP(B35,'16'!$A:$A,'16'!$G:$G,"pipino il breve")</f>
        <v>100.05</v>
      </c>
      <c r="AC35">
        <f>_xlfn.XLOOKUP(B35,'19'!$A:$A,'19'!$G:$G,"pipino il breve")</f>
        <v>100.039</v>
      </c>
      <c r="AD35">
        <f>_xlfn.XLOOKUP(B35,'20'!$A:$A,'20'!$G:$G,"pipino il breve")</f>
        <v>100.05</v>
      </c>
      <c r="AE35">
        <f>_xlfn.XLOOKUP(B35,'21'!$A:$A,'21'!$G:$G,"pipino il breve")</f>
        <v>100.04300000000001</v>
      </c>
      <c r="AF35">
        <f>_xlfn.XLOOKUP(B35,'22'!$A:$A,'22'!$G:$G,"pipino il breve")</f>
        <v>100.05800000000001</v>
      </c>
      <c r="AG35">
        <f>_xlfn.XLOOKUP(B35,'23'!$A:$A,'23'!$G:$G,"pipino il breve")</f>
        <v>100.102</v>
      </c>
      <c r="AH35">
        <f>_xlfn.XLOOKUP(B35,'23'!$A:$A,'23'!$G:$G,"pipino il breve")</f>
        <v>100.102</v>
      </c>
      <c r="AI35">
        <f>_xlfn.XLOOKUP(B35,'23'!$A:$A,'23'!$G:$G,"pipino il breve")</f>
        <v>100.102</v>
      </c>
      <c r="AJ35">
        <f>_xlfn.XLOOKUP(B35,'26'!$A:$A,'26'!$G:$G,"pipino il breve")</f>
        <v>100.066</v>
      </c>
      <c r="AK35">
        <f>_xlfn.XLOOKUP(B35,'27'!$A:$A,'27'!$G:$G,"pipino il breve")</f>
        <v>100.05500000000001</v>
      </c>
    </row>
    <row r="36" spans="1:37" x14ac:dyDescent="0.2">
      <c r="A36">
        <v>35</v>
      </c>
      <c r="B36" s="2" t="s">
        <v>21</v>
      </c>
      <c r="C36" s="3">
        <v>1.4</v>
      </c>
      <c r="D36" s="2" t="s">
        <v>140</v>
      </c>
      <c r="E36" s="3">
        <v>71.989999999999995</v>
      </c>
      <c r="F36" s="3">
        <v>71.989999999999995</v>
      </c>
      <c r="G36" s="3">
        <v>71.989999999999995</v>
      </c>
      <c r="H36">
        <f>_xlfn.XLOOKUP(B36,'28'!$A:$A,'28'!$G:$G,"pipino il breve")</f>
        <v>71.84</v>
      </c>
      <c r="I36">
        <f>_xlfn.XLOOKUP(B36,'29'!$A:$A,'29'!$G:$G,"pipino il breve")</f>
        <v>71.67</v>
      </c>
      <c r="J36" s="11">
        <f>_xlfn.XLOOKUP(B36,'30'!$A:$A,'30'!$G:$G,"pipino il breve")</f>
        <v>71.900000000000006</v>
      </c>
      <c r="K36" s="3">
        <f>_xlfn.XLOOKUP(B36,'30'!$A:$A,'30'!$G:$G,"pipino il breve")</f>
        <v>71.900000000000006</v>
      </c>
      <c r="L36">
        <f>_xlfn.XLOOKUP(B36,'2'!$A:$A,'2'!$G:$G,"pipino il breve")</f>
        <v>71.319999999999993</v>
      </c>
      <c r="M36">
        <f>_xlfn.XLOOKUP(B36,'2'!$A:$A,'2'!$G:$G,"pipino il breve")</f>
        <v>71.319999999999993</v>
      </c>
      <c r="N36">
        <f>_xlfn.XLOOKUP(B36,'2'!$A:$A,'2'!$G:$G,"pipino il breve")</f>
        <v>71.319999999999993</v>
      </c>
      <c r="O36">
        <f>_xlfn.XLOOKUP(B36,'5'!$A:$A,'5'!$G:$G,"pipino il breve")</f>
        <v>71.22</v>
      </c>
      <c r="P36">
        <f>_xlfn.XLOOKUP(B36,'6'!$A:$A,'6'!$G:$G,"pipino il breve")</f>
        <v>70.98</v>
      </c>
      <c r="Q36">
        <f>_xlfn.XLOOKUP(B36,'7'!$A:$A,'7'!$G:$G,"pipino il breve")</f>
        <v>72.010000000000005</v>
      </c>
      <c r="R36">
        <f>_xlfn.XLOOKUP(B36,'8'!$A:$A,'8'!$G:$G,"pipino il breve")</f>
        <v>71.5</v>
      </c>
      <c r="S36">
        <f>_xlfn.XLOOKUP(B36,'9'!$A:$A,'9'!$G:$G,"pipino il breve")</f>
        <v>71.099999999999994</v>
      </c>
      <c r="T36">
        <f>_xlfn.XLOOKUP(B36,'9'!$A:$A,'9'!$G:$G,"pipino il breve")</f>
        <v>71.099999999999994</v>
      </c>
      <c r="U36">
        <f>_xlfn.XLOOKUP(B36,'9'!$A:$A,'9'!$G:$G,"pipino il breve")</f>
        <v>71.099999999999994</v>
      </c>
      <c r="V36">
        <f>_xlfn.XLOOKUP(B36,'12'!$A:$A,'12'!$G:$G,"pipino il breve")</f>
        <v>70.599999999999994</v>
      </c>
      <c r="W36">
        <f>_xlfn.XLOOKUP(B36,'13'!$A:$A,'13'!$G:$G,"pipino il breve")</f>
        <v>70.17</v>
      </c>
      <c r="X36">
        <f>_xlfn.XLOOKUP(B36,'14'!$A:$A,'14'!$G:$G,"pipino il breve")</f>
        <v>70.040000000000006</v>
      </c>
      <c r="Y36">
        <f>_xlfn.XLOOKUP(B36,'15'!$A:$A,'15'!$G:$G,"pipino il breve")</f>
        <v>70.88</v>
      </c>
      <c r="Z36">
        <f>_xlfn.XLOOKUP(B36,'16'!$A:$A,'16'!$G:$G,"pipino il breve")</f>
        <v>71.42</v>
      </c>
      <c r="AA36">
        <f>_xlfn.XLOOKUP(B36,'16'!$A:$A,'16'!$G:$G,"pipino il breve")</f>
        <v>71.42</v>
      </c>
      <c r="AB36">
        <f>_xlfn.XLOOKUP(B36,'16'!$A:$A,'16'!$G:$G,"pipino il breve")</f>
        <v>71.42</v>
      </c>
      <c r="AC36">
        <f>_xlfn.XLOOKUP(B36,'19'!$A:$A,'19'!$G:$G,"pipino il breve")</f>
        <v>71.39</v>
      </c>
      <c r="AD36">
        <f>_xlfn.XLOOKUP(B36,'20'!$A:$A,'20'!$G:$G,"pipino il breve")</f>
        <v>70.62</v>
      </c>
      <c r="AE36">
        <f>_xlfn.XLOOKUP(B36,'21'!$A:$A,'21'!$G:$G,"pipino il breve")</f>
        <v>69.92</v>
      </c>
      <c r="AF36">
        <f>_xlfn.XLOOKUP(B36,'22'!$A:$A,'22'!$G:$G,"pipino il breve")</f>
        <v>69.540000000000006</v>
      </c>
      <c r="AG36">
        <f>_xlfn.XLOOKUP(B36,'23'!$A:$A,'23'!$G:$G,"pipino il breve")</f>
        <v>70.150000000000006</v>
      </c>
      <c r="AH36">
        <f>_xlfn.XLOOKUP(B36,'23'!$A:$A,'23'!$G:$G,"pipino il breve")</f>
        <v>70.150000000000006</v>
      </c>
      <c r="AI36">
        <f>_xlfn.XLOOKUP(B36,'23'!$A:$A,'23'!$G:$G,"pipino il breve")</f>
        <v>70.150000000000006</v>
      </c>
      <c r="AJ36">
        <f>_xlfn.XLOOKUP(B36,'26'!$A:$A,'26'!$G:$G,"pipino il breve")</f>
        <v>70.83</v>
      </c>
      <c r="AK36">
        <f>_xlfn.XLOOKUP(B36,'27'!$A:$A,'27'!$G:$G,"pipino il breve")</f>
        <v>71.59</v>
      </c>
    </row>
    <row r="37" spans="1:37" x14ac:dyDescent="0.2">
      <c r="A37">
        <v>36</v>
      </c>
      <c r="B37" s="2" t="s">
        <v>22</v>
      </c>
      <c r="C37" s="3">
        <v>1.2250000000000001</v>
      </c>
      <c r="D37" s="2" t="s">
        <v>141</v>
      </c>
      <c r="E37" s="3">
        <v>94.28</v>
      </c>
      <c r="F37" s="3">
        <v>94.28</v>
      </c>
      <c r="G37" s="3">
        <v>94.28</v>
      </c>
      <c r="H37">
        <f>_xlfn.XLOOKUP(B37,'28'!$A:$A,'28'!$G:$G,"pipino il breve")</f>
        <v>94.13</v>
      </c>
      <c r="I37">
        <f>_xlfn.XLOOKUP(B37,'29'!$A:$A,'29'!$G:$G,"pipino il breve")</f>
        <v>94.18</v>
      </c>
      <c r="J37" s="11">
        <f>_xlfn.XLOOKUP(B37,'30'!$A:$A,'30'!$G:$G,"pipino il breve")</f>
        <v>94.41</v>
      </c>
      <c r="K37" s="3">
        <f>_xlfn.XLOOKUP(B37,'30'!$A:$A,'30'!$G:$G,"pipino il breve")</f>
        <v>94.41</v>
      </c>
      <c r="L37">
        <f>_xlfn.XLOOKUP(B37,'2'!$A:$A,'2'!$G:$G,"pipino il breve")</f>
        <v>94.05</v>
      </c>
      <c r="M37">
        <f>_xlfn.XLOOKUP(B37,'2'!$A:$A,'2'!$G:$G,"pipino il breve")</f>
        <v>94.05</v>
      </c>
      <c r="N37">
        <f>_xlfn.XLOOKUP(B37,'2'!$A:$A,'2'!$G:$G,"pipino il breve")</f>
        <v>94.05</v>
      </c>
      <c r="O37">
        <f>_xlfn.XLOOKUP(B37,'5'!$A:$A,'5'!$G:$G,"pipino il breve")</f>
        <v>94.17</v>
      </c>
      <c r="P37">
        <f>_xlfn.XLOOKUP(B37,'6'!$A:$A,'6'!$G:$G,"pipino il breve")</f>
        <v>94.09</v>
      </c>
      <c r="Q37">
        <f>_xlfn.XLOOKUP(B37,'7'!$A:$A,'7'!$G:$G,"pipino il breve")</f>
        <v>94.53</v>
      </c>
      <c r="R37">
        <f>_xlfn.XLOOKUP(B37,'8'!$A:$A,'8'!$G:$G,"pipino il breve")</f>
        <v>94.4</v>
      </c>
      <c r="S37">
        <f>_xlfn.XLOOKUP(B37,'9'!$A:$A,'9'!$G:$G,"pipino il breve")</f>
        <v>94.18</v>
      </c>
      <c r="T37">
        <f>_xlfn.XLOOKUP(B37,'9'!$A:$A,'9'!$G:$G,"pipino il breve")</f>
        <v>94.18</v>
      </c>
      <c r="U37">
        <f>_xlfn.XLOOKUP(B37,'9'!$A:$A,'9'!$G:$G,"pipino il breve")</f>
        <v>94.18</v>
      </c>
      <c r="V37">
        <f>_xlfn.XLOOKUP(B37,'12'!$A:$A,'12'!$G:$G,"pipino il breve")</f>
        <v>93.67</v>
      </c>
      <c r="W37">
        <f>_xlfn.XLOOKUP(B37,'13'!$A:$A,'13'!$G:$G,"pipino il breve")</f>
        <v>93.6</v>
      </c>
      <c r="X37">
        <f>_xlfn.XLOOKUP(B37,'14'!$A:$A,'14'!$G:$G,"pipino il breve")</f>
        <v>93.44</v>
      </c>
      <c r="Y37">
        <f>_xlfn.XLOOKUP(B37,'15'!$A:$A,'15'!$G:$G,"pipino il breve")</f>
        <v>93.81</v>
      </c>
      <c r="Z37">
        <f>_xlfn.XLOOKUP(B37,'16'!$A:$A,'16'!$G:$G,"pipino il breve")</f>
        <v>94.23</v>
      </c>
      <c r="AA37">
        <f>_xlfn.XLOOKUP(B37,'16'!$A:$A,'16'!$G:$G,"pipino il breve")</f>
        <v>94.23</v>
      </c>
      <c r="AB37">
        <f>_xlfn.XLOOKUP(B37,'16'!$A:$A,'16'!$G:$G,"pipino il breve")</f>
        <v>94.23</v>
      </c>
      <c r="AC37">
        <f>_xlfn.XLOOKUP(B37,'19'!$A:$A,'19'!$G:$G,"pipino il breve")</f>
        <v>94.29</v>
      </c>
      <c r="AD37">
        <f>_xlfn.XLOOKUP(B37,'20'!$A:$A,'20'!$G:$G,"pipino il breve")</f>
        <v>94.19</v>
      </c>
      <c r="AE37">
        <f>_xlfn.XLOOKUP(B37,'21'!$A:$A,'21'!$G:$G,"pipino il breve")</f>
        <v>94.15</v>
      </c>
      <c r="AF37">
        <f>_xlfn.XLOOKUP(B37,'22'!$A:$A,'22'!$G:$G,"pipino il breve")</f>
        <v>93.94</v>
      </c>
      <c r="AG37">
        <f>_xlfn.XLOOKUP(B37,'23'!$A:$A,'23'!$G:$G,"pipino il breve")</f>
        <v>94.31</v>
      </c>
      <c r="AH37">
        <f>_xlfn.XLOOKUP(B37,'23'!$A:$A,'23'!$G:$G,"pipino il breve")</f>
        <v>94.31</v>
      </c>
      <c r="AI37">
        <f>_xlfn.XLOOKUP(B37,'23'!$A:$A,'23'!$G:$G,"pipino il breve")</f>
        <v>94.31</v>
      </c>
      <c r="AJ37">
        <f>_xlfn.XLOOKUP(B37,'26'!$A:$A,'26'!$G:$G,"pipino il breve")</f>
        <v>94.58</v>
      </c>
      <c r="AK37">
        <f>_xlfn.XLOOKUP(B37,'27'!$A:$A,'27'!$G:$G,"pipino il breve")</f>
        <v>94.78</v>
      </c>
    </row>
    <row r="38" spans="1:37" x14ac:dyDescent="0.2">
      <c r="A38">
        <v>37</v>
      </c>
      <c r="B38" s="2" t="s">
        <v>26</v>
      </c>
      <c r="C38" s="3">
        <v>1.4750000000000001</v>
      </c>
      <c r="D38" s="2" t="s">
        <v>142</v>
      </c>
      <c r="E38" s="3">
        <v>91.01</v>
      </c>
      <c r="F38" s="3">
        <v>91.01</v>
      </c>
      <c r="G38" s="3">
        <v>91.01</v>
      </c>
      <c r="H38">
        <f>_xlfn.XLOOKUP(B38,'28'!$A:$A,'28'!$G:$G,"pipino il breve")</f>
        <v>90.9</v>
      </c>
      <c r="I38">
        <f>_xlfn.XLOOKUP(B38,'29'!$A:$A,'29'!$G:$G,"pipino il breve")</f>
        <v>90.84</v>
      </c>
      <c r="J38" s="11">
        <f>_xlfn.XLOOKUP(B38,'30'!$A:$A,'30'!$G:$G,"pipino il breve")</f>
        <v>91.13</v>
      </c>
      <c r="K38" s="3">
        <f>_xlfn.XLOOKUP(B38,'30'!$A:$A,'30'!$G:$G,"pipino il breve")</f>
        <v>91.13</v>
      </c>
      <c r="L38">
        <f>_xlfn.XLOOKUP(B38,'2'!$A:$A,'2'!$G:$G,"pipino il breve")</f>
        <v>90.85</v>
      </c>
      <c r="M38">
        <f>_xlfn.XLOOKUP(B38,'2'!$A:$A,'2'!$G:$G,"pipino il breve")</f>
        <v>90.85</v>
      </c>
      <c r="N38">
        <f>_xlfn.XLOOKUP(B38,'2'!$A:$A,'2'!$G:$G,"pipino il breve")</f>
        <v>90.85</v>
      </c>
      <c r="O38">
        <f>_xlfn.XLOOKUP(B38,'5'!$A:$A,'5'!$G:$G,"pipino il breve")</f>
        <v>90.97</v>
      </c>
      <c r="P38">
        <f>_xlfn.XLOOKUP(B38,'6'!$A:$A,'6'!$G:$G,"pipino il breve")</f>
        <v>90.74</v>
      </c>
      <c r="Q38">
        <f>_xlfn.XLOOKUP(B38,'7'!$A:$A,'7'!$G:$G,"pipino il breve")</f>
        <v>91.46</v>
      </c>
      <c r="R38">
        <f>_xlfn.XLOOKUP(B38,'8'!$A:$A,'8'!$G:$G,"pipino il breve")</f>
        <v>91.23</v>
      </c>
      <c r="S38">
        <f>_xlfn.XLOOKUP(B38,'9'!$A:$A,'9'!$G:$G,"pipino il breve")</f>
        <v>90.98</v>
      </c>
      <c r="T38">
        <f>_xlfn.XLOOKUP(B38,'9'!$A:$A,'9'!$G:$G,"pipino il breve")</f>
        <v>90.98</v>
      </c>
      <c r="U38">
        <f>_xlfn.XLOOKUP(B38,'9'!$A:$A,'9'!$G:$G,"pipino il breve")</f>
        <v>90.98</v>
      </c>
      <c r="V38">
        <f>_xlfn.XLOOKUP(B38,'12'!$A:$A,'12'!$G:$G,"pipino il breve")</f>
        <v>90.43</v>
      </c>
      <c r="W38">
        <f>_xlfn.XLOOKUP(B38,'13'!$A:$A,'13'!$G:$G,"pipino il breve")</f>
        <v>90.15</v>
      </c>
      <c r="X38">
        <f>_xlfn.XLOOKUP(B38,'14'!$A:$A,'14'!$G:$G,"pipino il breve")</f>
        <v>90.15</v>
      </c>
      <c r="Y38">
        <f>_xlfn.XLOOKUP(B38,'15'!$A:$A,'15'!$G:$G,"pipino il breve")</f>
        <v>90.84</v>
      </c>
      <c r="Z38">
        <f>_xlfn.XLOOKUP(B38,'16'!$A:$A,'16'!$G:$G,"pipino il breve")</f>
        <v>91.14</v>
      </c>
      <c r="AA38">
        <f>_xlfn.XLOOKUP(B38,'16'!$A:$A,'16'!$G:$G,"pipino il breve")</f>
        <v>91.14</v>
      </c>
      <c r="AB38">
        <f>_xlfn.XLOOKUP(B38,'16'!$A:$A,'16'!$G:$G,"pipino il breve")</f>
        <v>91.14</v>
      </c>
      <c r="AC38">
        <f>_xlfn.XLOOKUP(B38,'19'!$A:$A,'19'!$G:$G,"pipino il breve")</f>
        <v>91.2</v>
      </c>
      <c r="AD38">
        <f>_xlfn.XLOOKUP(B38,'20'!$A:$A,'20'!$G:$G,"pipino il breve")</f>
        <v>90.95</v>
      </c>
      <c r="AE38">
        <f>_xlfn.XLOOKUP(B38,'21'!$A:$A,'21'!$G:$G,"pipino il breve")</f>
        <v>90.7</v>
      </c>
      <c r="AF38">
        <f>_xlfn.XLOOKUP(B38,'22'!$A:$A,'22'!$G:$G,"pipino il breve")</f>
        <v>90.44</v>
      </c>
      <c r="AG38">
        <f>_xlfn.XLOOKUP(B38,'23'!$A:$A,'23'!$G:$G,"pipino il breve")</f>
        <v>91.02</v>
      </c>
      <c r="AH38">
        <f>_xlfn.XLOOKUP(B38,'23'!$A:$A,'23'!$G:$G,"pipino il breve")</f>
        <v>91.02</v>
      </c>
      <c r="AI38">
        <f>_xlfn.XLOOKUP(B38,'23'!$A:$A,'23'!$G:$G,"pipino il breve")</f>
        <v>91.02</v>
      </c>
      <c r="AJ38">
        <f>_xlfn.XLOOKUP(B38,'26'!$A:$A,'26'!$G:$G,"pipino il breve")</f>
        <v>91.38</v>
      </c>
      <c r="AK38">
        <f>_xlfn.XLOOKUP(B38,'27'!$A:$A,'27'!$G:$G,"pipino il breve")</f>
        <v>91.82</v>
      </c>
    </row>
    <row r="39" spans="1:37" x14ac:dyDescent="0.2">
      <c r="A39">
        <v>38</v>
      </c>
      <c r="B39" s="2" t="s">
        <v>30</v>
      </c>
      <c r="C39" s="3">
        <v>1.675</v>
      </c>
      <c r="D39" s="2" t="s">
        <v>143</v>
      </c>
      <c r="E39" s="3">
        <v>99.12</v>
      </c>
      <c r="F39" s="3">
        <v>99.12</v>
      </c>
      <c r="G39" s="3">
        <v>99.12</v>
      </c>
      <c r="H39">
        <f>_xlfn.XLOOKUP(B39,'28'!$A:$A,'28'!$G:$G,"pipino il breve")</f>
        <v>98.96</v>
      </c>
      <c r="I39">
        <f>_xlfn.XLOOKUP(B39,'29'!$A:$A,'29'!$G:$G,"pipino il breve")</f>
        <v>99.01</v>
      </c>
      <c r="J39" s="11">
        <f>_xlfn.XLOOKUP(B39,'30'!$A:$A,'30'!$G:$G,"pipino il breve")</f>
        <v>99.24</v>
      </c>
      <c r="K39" s="3">
        <f>_xlfn.XLOOKUP(B39,'30'!$A:$A,'30'!$G:$G,"pipino il breve")</f>
        <v>99.24</v>
      </c>
      <c r="L39">
        <f>_xlfn.XLOOKUP(B39,'2'!$A:$A,'2'!$G:$G,"pipino il breve")</f>
        <v>98.85</v>
      </c>
      <c r="M39">
        <f>_xlfn.XLOOKUP(B39,'2'!$A:$A,'2'!$G:$G,"pipino il breve")</f>
        <v>98.85</v>
      </c>
      <c r="N39">
        <f>_xlfn.XLOOKUP(B39,'2'!$A:$A,'2'!$G:$G,"pipino il breve")</f>
        <v>98.85</v>
      </c>
      <c r="O39">
        <f>_xlfn.XLOOKUP(B39,'5'!$A:$A,'5'!$G:$G,"pipino il breve")</f>
        <v>99.01</v>
      </c>
      <c r="P39">
        <f>_xlfn.XLOOKUP(B39,'6'!$A:$A,'6'!$G:$G,"pipino il breve")</f>
        <v>98.88</v>
      </c>
      <c r="Q39">
        <f>_xlfn.XLOOKUP(B39,'7'!$A:$A,'7'!$G:$G,"pipino il breve")</f>
        <v>99.41</v>
      </c>
      <c r="R39">
        <f>_xlfn.XLOOKUP(B39,'8'!$A:$A,'8'!$G:$G,"pipino il breve")</f>
        <v>99.27</v>
      </c>
      <c r="S39">
        <f>_xlfn.XLOOKUP(B39,'9'!$A:$A,'9'!$G:$G,"pipino il breve")</f>
        <v>99.02</v>
      </c>
      <c r="T39">
        <f>_xlfn.XLOOKUP(B39,'9'!$A:$A,'9'!$G:$G,"pipino il breve")</f>
        <v>99.02</v>
      </c>
      <c r="U39">
        <f>_xlfn.XLOOKUP(B39,'9'!$A:$A,'9'!$G:$G,"pipino il breve")</f>
        <v>99.02</v>
      </c>
      <c r="V39">
        <f>_xlfn.XLOOKUP(B39,'12'!$A:$A,'12'!$G:$G,"pipino il breve")</f>
        <v>98.45</v>
      </c>
      <c r="W39">
        <f>_xlfn.XLOOKUP(B39,'13'!$A:$A,'13'!$G:$G,"pipino il breve")</f>
        <v>98.27</v>
      </c>
      <c r="X39">
        <f>_xlfn.XLOOKUP(B39,'14'!$A:$A,'14'!$G:$G,"pipino il breve")</f>
        <v>98.15</v>
      </c>
      <c r="Y39">
        <f>_xlfn.XLOOKUP(B39,'15'!$A:$A,'15'!$G:$G,"pipino il breve")</f>
        <v>98.71</v>
      </c>
      <c r="Z39">
        <f>_xlfn.XLOOKUP(B39,'16'!$A:$A,'16'!$G:$G,"pipino il breve")</f>
        <v>99.07</v>
      </c>
      <c r="AA39">
        <f>_xlfn.XLOOKUP(B39,'16'!$A:$A,'16'!$G:$G,"pipino il breve")</f>
        <v>99.07</v>
      </c>
      <c r="AB39">
        <f>_xlfn.XLOOKUP(B39,'16'!$A:$A,'16'!$G:$G,"pipino il breve")</f>
        <v>99.07</v>
      </c>
      <c r="AC39">
        <f>_xlfn.XLOOKUP(B39,'19'!$A:$A,'19'!$G:$G,"pipino il breve")</f>
        <v>99.1</v>
      </c>
      <c r="AD39">
        <f>_xlfn.XLOOKUP(B39,'20'!$A:$A,'20'!$G:$G,"pipino il breve")</f>
        <v>99</v>
      </c>
      <c r="AE39">
        <f>_xlfn.XLOOKUP(B39,'21'!$A:$A,'21'!$G:$G,"pipino il breve")</f>
        <v>98.76</v>
      </c>
      <c r="AF39">
        <f>_xlfn.XLOOKUP(B39,'22'!$A:$A,'22'!$G:$G,"pipino il breve")</f>
        <v>98.71</v>
      </c>
      <c r="AG39">
        <f>_xlfn.XLOOKUP(B39,'23'!$A:$A,'23'!$G:$G,"pipino il breve")</f>
        <v>99.06</v>
      </c>
      <c r="AH39">
        <f>_xlfn.XLOOKUP(B39,'23'!$A:$A,'23'!$G:$G,"pipino il breve")</f>
        <v>99.06</v>
      </c>
      <c r="AI39">
        <f>_xlfn.XLOOKUP(B39,'23'!$A:$A,'23'!$G:$G,"pipino il breve")</f>
        <v>99.06</v>
      </c>
      <c r="AJ39">
        <f>_xlfn.XLOOKUP(B39,'26'!$A:$A,'26'!$G:$G,"pipino il breve")</f>
        <v>99.42</v>
      </c>
      <c r="AK39">
        <f>_xlfn.XLOOKUP(B39,'27'!$A:$A,'27'!$G:$G,"pipino il breve")</f>
        <v>99.67</v>
      </c>
    </row>
    <row r="40" spans="1:37" x14ac:dyDescent="0.2">
      <c r="A40">
        <v>39</v>
      </c>
      <c r="B40" s="2" t="s">
        <v>31</v>
      </c>
      <c r="C40" s="3">
        <v>1.925</v>
      </c>
      <c r="D40" s="2" t="s">
        <v>144</v>
      </c>
      <c r="E40" s="3">
        <v>94.68</v>
      </c>
      <c r="F40" s="3">
        <v>94.68</v>
      </c>
      <c r="G40" s="3">
        <v>94.68</v>
      </c>
      <c r="H40">
        <f>_xlfn.XLOOKUP(B40,'28'!$A:$A,'28'!$G:$G,"pipino il breve")</f>
        <v>94.49</v>
      </c>
      <c r="I40">
        <f>_xlfn.XLOOKUP(B40,'29'!$A:$A,'29'!$G:$G,"pipino il breve")</f>
        <v>94.38</v>
      </c>
      <c r="J40" s="11">
        <f>_xlfn.XLOOKUP(B40,'30'!$A:$A,'30'!$G:$G,"pipino il breve")</f>
        <v>94.74</v>
      </c>
      <c r="K40" s="3">
        <f>_xlfn.XLOOKUP(B40,'30'!$A:$A,'30'!$G:$G,"pipino il breve")</f>
        <v>94.74</v>
      </c>
      <c r="L40">
        <f>_xlfn.XLOOKUP(B40,'2'!$A:$A,'2'!$G:$G,"pipino il breve")</f>
        <v>94.05</v>
      </c>
      <c r="M40">
        <f>_xlfn.XLOOKUP(B40,'2'!$A:$A,'2'!$G:$G,"pipino il breve")</f>
        <v>94.05</v>
      </c>
      <c r="N40">
        <f>_xlfn.XLOOKUP(B40,'2'!$A:$A,'2'!$G:$G,"pipino il breve")</f>
        <v>94.05</v>
      </c>
      <c r="O40">
        <f>_xlfn.XLOOKUP(B40,'5'!$A:$A,'5'!$G:$G,"pipino il breve")</f>
        <v>94.18</v>
      </c>
      <c r="P40">
        <f>_xlfn.XLOOKUP(B40,'6'!$A:$A,'6'!$G:$G,"pipino il breve")</f>
        <v>93.71</v>
      </c>
      <c r="Q40">
        <f>_xlfn.XLOOKUP(B40,'7'!$A:$A,'7'!$G:$G,"pipino il breve")</f>
        <v>94.79</v>
      </c>
      <c r="R40">
        <f>_xlfn.XLOOKUP(B40,'8'!$A:$A,'8'!$G:$G,"pipino il breve")</f>
        <v>94.41</v>
      </c>
      <c r="S40">
        <f>_xlfn.XLOOKUP(B40,'9'!$A:$A,'9'!$G:$G,"pipino il breve")</f>
        <v>94</v>
      </c>
      <c r="T40">
        <f>_xlfn.XLOOKUP(B40,'9'!$A:$A,'9'!$G:$G,"pipino il breve")</f>
        <v>94</v>
      </c>
      <c r="U40">
        <f>_xlfn.XLOOKUP(B40,'9'!$A:$A,'9'!$G:$G,"pipino il breve")</f>
        <v>94</v>
      </c>
      <c r="V40">
        <f>_xlfn.XLOOKUP(B40,'12'!$A:$A,'12'!$G:$G,"pipino il breve")</f>
        <v>93.49</v>
      </c>
      <c r="W40">
        <f>_xlfn.XLOOKUP(B40,'13'!$A:$A,'13'!$G:$G,"pipino il breve")</f>
        <v>93.02</v>
      </c>
      <c r="X40">
        <f>_xlfn.XLOOKUP(B40,'14'!$A:$A,'14'!$G:$G,"pipino il breve")</f>
        <v>92.9</v>
      </c>
      <c r="Y40">
        <f>_xlfn.XLOOKUP(B40,'15'!$A:$A,'15'!$G:$G,"pipino il breve")</f>
        <v>93.91</v>
      </c>
      <c r="Z40">
        <f>_xlfn.XLOOKUP(B40,'16'!$A:$A,'16'!$G:$G,"pipino il breve")</f>
        <v>94.5</v>
      </c>
      <c r="AA40">
        <f>_xlfn.XLOOKUP(B40,'16'!$A:$A,'16'!$G:$G,"pipino il breve")</f>
        <v>94.5</v>
      </c>
      <c r="AB40">
        <f>_xlfn.XLOOKUP(B40,'16'!$A:$A,'16'!$G:$G,"pipino il breve")</f>
        <v>94.5</v>
      </c>
      <c r="AC40">
        <f>_xlfn.XLOOKUP(B40,'19'!$A:$A,'19'!$G:$G,"pipino il breve")</f>
        <v>94.5</v>
      </c>
      <c r="AD40">
        <f>_xlfn.XLOOKUP(B40,'20'!$A:$A,'20'!$G:$G,"pipino il breve")</f>
        <v>94.12</v>
      </c>
      <c r="AE40">
        <f>_xlfn.XLOOKUP(B40,'21'!$A:$A,'21'!$G:$G,"pipino il breve")</f>
        <v>93.44</v>
      </c>
      <c r="AF40">
        <f>_xlfn.XLOOKUP(B40,'22'!$A:$A,'22'!$G:$G,"pipino il breve")</f>
        <v>93.08</v>
      </c>
      <c r="AG40">
        <f>_xlfn.XLOOKUP(B40,'23'!$A:$A,'23'!$G:$G,"pipino il breve")</f>
        <v>93.56</v>
      </c>
      <c r="AH40">
        <f>_xlfn.XLOOKUP(B40,'23'!$A:$A,'23'!$G:$G,"pipino il breve")</f>
        <v>93.56</v>
      </c>
      <c r="AI40">
        <f>_xlfn.XLOOKUP(B40,'23'!$A:$A,'23'!$G:$G,"pipino il breve")</f>
        <v>93.56</v>
      </c>
      <c r="AJ40">
        <f>_xlfn.XLOOKUP(B40,'26'!$A:$A,'26'!$G:$G,"pipino il breve")</f>
        <v>94.35</v>
      </c>
      <c r="AK40">
        <f>_xlfn.XLOOKUP(B40,'27'!$A:$A,'27'!$G:$G,"pipino il breve")</f>
        <v>95.11</v>
      </c>
    </row>
    <row r="41" spans="1:37" x14ac:dyDescent="0.2">
      <c r="A41">
        <v>40</v>
      </c>
      <c r="B41" s="2" t="s">
        <v>35</v>
      </c>
      <c r="C41" s="3">
        <v>0.67500000000000004</v>
      </c>
      <c r="D41" s="2" t="s">
        <v>145</v>
      </c>
      <c r="E41" s="3">
        <v>94.33</v>
      </c>
      <c r="F41" s="3">
        <v>94.33</v>
      </c>
      <c r="G41" s="3">
        <v>94.33</v>
      </c>
      <c r="H41">
        <f>_xlfn.XLOOKUP(B41,'28'!$A:$A,'28'!$G:$G,"pipino il breve")</f>
        <v>94.33</v>
      </c>
      <c r="I41">
        <f>_xlfn.XLOOKUP(B41,'29'!$A:$A,'29'!$G:$G,"pipino il breve")</f>
        <v>94.32</v>
      </c>
      <c r="J41" s="11">
        <f>_xlfn.XLOOKUP(B41,'30'!$A:$A,'30'!$G:$G,"pipino il breve")</f>
        <v>94.5</v>
      </c>
      <c r="K41" s="3">
        <f>_xlfn.XLOOKUP(B41,'30'!$A:$A,'30'!$G:$G,"pipino il breve")</f>
        <v>94.5</v>
      </c>
      <c r="L41">
        <f>_xlfn.XLOOKUP(B41,'2'!$A:$A,'2'!$G:$G,"pipino il breve")</f>
        <v>94.29</v>
      </c>
      <c r="M41">
        <f>_xlfn.XLOOKUP(B41,'2'!$A:$A,'2'!$G:$G,"pipino il breve")</f>
        <v>94.29</v>
      </c>
      <c r="N41">
        <f>_xlfn.XLOOKUP(B41,'2'!$A:$A,'2'!$G:$G,"pipino il breve")</f>
        <v>94.29</v>
      </c>
      <c r="O41">
        <f>_xlfn.XLOOKUP(B41,'5'!$A:$A,'5'!$G:$G,"pipino il breve")</f>
        <v>94.3</v>
      </c>
      <c r="P41">
        <f>_xlfn.XLOOKUP(B41,'6'!$A:$A,'6'!$G:$G,"pipino il breve")</f>
        <v>94.34</v>
      </c>
      <c r="Q41">
        <f>_xlfn.XLOOKUP(B41,'7'!$A:$A,'7'!$G:$G,"pipino il breve")</f>
        <v>94.58</v>
      </c>
      <c r="R41">
        <f>_xlfn.XLOOKUP(B41,'8'!$A:$A,'8'!$G:$G,"pipino il breve")</f>
        <v>94.45</v>
      </c>
      <c r="S41">
        <f>_xlfn.XLOOKUP(B41,'9'!$A:$A,'9'!$G:$G,"pipino il breve")</f>
        <v>94.32</v>
      </c>
      <c r="T41">
        <f>_xlfn.XLOOKUP(B41,'9'!$A:$A,'9'!$G:$G,"pipino il breve")</f>
        <v>94.32</v>
      </c>
      <c r="U41">
        <f>_xlfn.XLOOKUP(B41,'9'!$A:$A,'9'!$G:$G,"pipino il breve")</f>
        <v>94.32</v>
      </c>
      <c r="V41">
        <f>_xlfn.XLOOKUP(B41,'12'!$A:$A,'12'!$G:$G,"pipino il breve")</f>
        <v>93.9</v>
      </c>
      <c r="W41">
        <f>_xlfn.XLOOKUP(B41,'13'!$A:$A,'13'!$G:$G,"pipino il breve")</f>
        <v>93.82</v>
      </c>
      <c r="X41">
        <f>_xlfn.XLOOKUP(B41,'14'!$A:$A,'14'!$G:$G,"pipino il breve")</f>
        <v>93.77</v>
      </c>
      <c r="Y41">
        <f>_xlfn.XLOOKUP(B41,'15'!$A:$A,'15'!$G:$G,"pipino il breve")</f>
        <v>94.06</v>
      </c>
      <c r="Z41">
        <f>_xlfn.XLOOKUP(B41,'16'!$A:$A,'16'!$G:$G,"pipino il breve")</f>
        <v>94.26</v>
      </c>
      <c r="AA41">
        <f>_xlfn.XLOOKUP(B41,'16'!$A:$A,'16'!$G:$G,"pipino il breve")</f>
        <v>94.26</v>
      </c>
      <c r="AB41">
        <f>_xlfn.XLOOKUP(B41,'16'!$A:$A,'16'!$G:$G,"pipino il breve")</f>
        <v>94.26</v>
      </c>
      <c r="AC41">
        <f>_xlfn.XLOOKUP(B41,'19'!$A:$A,'19'!$G:$G,"pipino il breve")</f>
        <v>94.29</v>
      </c>
      <c r="AD41">
        <f>_xlfn.XLOOKUP(B41,'20'!$A:$A,'20'!$G:$G,"pipino il breve")</f>
        <v>94.23</v>
      </c>
      <c r="AE41">
        <f>_xlfn.XLOOKUP(B41,'21'!$A:$A,'21'!$G:$G,"pipino il breve")</f>
        <v>94.19</v>
      </c>
      <c r="AF41">
        <f>_xlfn.XLOOKUP(B41,'22'!$A:$A,'22'!$G:$G,"pipino il breve")</f>
        <v>94.23</v>
      </c>
      <c r="AG41">
        <f>_xlfn.XLOOKUP(B41,'23'!$A:$A,'23'!$G:$G,"pipino il breve")</f>
        <v>94.41</v>
      </c>
      <c r="AH41">
        <f>_xlfn.XLOOKUP(B41,'23'!$A:$A,'23'!$G:$G,"pipino il breve")</f>
        <v>94.41</v>
      </c>
      <c r="AI41">
        <f>_xlfn.XLOOKUP(B41,'23'!$A:$A,'23'!$G:$G,"pipino il breve")</f>
        <v>94.41</v>
      </c>
      <c r="AJ41">
        <f>_xlfn.XLOOKUP(B41,'26'!$A:$A,'26'!$G:$G,"pipino il breve")</f>
        <v>94.5</v>
      </c>
      <c r="AK41">
        <f>_xlfn.XLOOKUP(B41,'27'!$A:$A,'27'!$G:$G,"pipino il breve")</f>
        <v>94.56</v>
      </c>
    </row>
    <row r="42" spans="1:37" x14ac:dyDescent="0.2">
      <c r="A42">
        <v>41</v>
      </c>
      <c r="B42" s="2" t="s">
        <v>37</v>
      </c>
      <c r="C42" s="3">
        <v>1.2250000000000001</v>
      </c>
      <c r="D42" s="2" t="s">
        <v>146</v>
      </c>
      <c r="E42" s="3">
        <v>73</v>
      </c>
      <c r="F42" s="3">
        <v>73</v>
      </c>
      <c r="G42" s="3">
        <v>73</v>
      </c>
      <c r="H42">
        <f>_xlfn.XLOOKUP(B42,'28'!$A:$A,'28'!$G:$G,"pipino il breve")</f>
        <v>72.8</v>
      </c>
      <c r="I42">
        <f>_xlfn.XLOOKUP(B42,'29'!$A:$A,'29'!$G:$G,"pipino il breve")</f>
        <v>72.64</v>
      </c>
      <c r="J42" s="11">
        <f>_xlfn.XLOOKUP(B42,'30'!$A:$A,'30'!$G:$G,"pipino il breve")</f>
        <v>72.97</v>
      </c>
      <c r="K42" s="3">
        <f>_xlfn.XLOOKUP(B42,'30'!$A:$A,'30'!$G:$G,"pipino il breve")</f>
        <v>72.97</v>
      </c>
      <c r="L42">
        <f>_xlfn.XLOOKUP(B42,'2'!$A:$A,'2'!$G:$G,"pipino il breve")</f>
        <v>72.349999999999994</v>
      </c>
      <c r="M42">
        <f>_xlfn.XLOOKUP(B42,'2'!$A:$A,'2'!$G:$G,"pipino il breve")</f>
        <v>72.349999999999994</v>
      </c>
      <c r="N42">
        <f>_xlfn.XLOOKUP(B42,'2'!$A:$A,'2'!$G:$G,"pipino il breve")</f>
        <v>72.349999999999994</v>
      </c>
      <c r="O42">
        <f>_xlfn.XLOOKUP(B42,'5'!$A:$A,'5'!$G:$G,"pipino il breve")</f>
        <v>72.45</v>
      </c>
      <c r="P42">
        <f>_xlfn.XLOOKUP(B42,'6'!$A:$A,'6'!$G:$G,"pipino il breve")</f>
        <v>72.19</v>
      </c>
      <c r="Q42">
        <f>_xlfn.XLOOKUP(B42,'7'!$A:$A,'7'!$G:$G,"pipino il breve")</f>
        <v>73.05</v>
      </c>
      <c r="R42">
        <f>_xlfn.XLOOKUP(B42,'8'!$A:$A,'8'!$G:$G,"pipino il breve")</f>
        <v>72.75</v>
      </c>
      <c r="S42">
        <f>_xlfn.XLOOKUP(B42,'9'!$A:$A,'9'!$G:$G,"pipino il breve")</f>
        <v>72.3</v>
      </c>
      <c r="T42">
        <f>_xlfn.XLOOKUP(B42,'9'!$A:$A,'9'!$G:$G,"pipino il breve")</f>
        <v>72.3</v>
      </c>
      <c r="U42">
        <f>_xlfn.XLOOKUP(B42,'9'!$A:$A,'9'!$G:$G,"pipino il breve")</f>
        <v>72.3</v>
      </c>
      <c r="V42">
        <f>_xlfn.XLOOKUP(B42,'12'!$A:$A,'12'!$G:$G,"pipino il breve")</f>
        <v>71.819999999999993</v>
      </c>
      <c r="W42">
        <f>_xlfn.XLOOKUP(B42,'13'!$A:$A,'13'!$G:$G,"pipino il breve")</f>
        <v>71.569999999999993</v>
      </c>
      <c r="X42">
        <f>_xlfn.XLOOKUP(B42,'14'!$A:$A,'14'!$G:$G,"pipino il breve")</f>
        <v>71.38</v>
      </c>
      <c r="Y42">
        <f>_xlfn.XLOOKUP(B42,'15'!$A:$A,'15'!$G:$G,"pipino il breve")</f>
        <v>72.25</v>
      </c>
      <c r="Z42">
        <f>_xlfn.XLOOKUP(B42,'16'!$A:$A,'16'!$G:$G,"pipino il breve")</f>
        <v>72.739999999999995</v>
      </c>
      <c r="AA42">
        <f>_xlfn.XLOOKUP(B42,'16'!$A:$A,'16'!$G:$G,"pipino il breve")</f>
        <v>72.739999999999995</v>
      </c>
      <c r="AB42">
        <f>_xlfn.XLOOKUP(B42,'16'!$A:$A,'16'!$G:$G,"pipino il breve")</f>
        <v>72.739999999999995</v>
      </c>
      <c r="AC42">
        <f>_xlfn.XLOOKUP(B42,'19'!$A:$A,'19'!$G:$G,"pipino il breve")</f>
        <v>72.760000000000005</v>
      </c>
      <c r="AD42">
        <f>_xlfn.XLOOKUP(B42,'20'!$A:$A,'20'!$G:$G,"pipino il breve")</f>
        <v>72.39</v>
      </c>
      <c r="AE42">
        <f>_xlfn.XLOOKUP(B42,'21'!$A:$A,'21'!$G:$G,"pipino il breve")</f>
        <v>71.83</v>
      </c>
      <c r="AF42">
        <f>_xlfn.XLOOKUP(B42,'22'!$A:$A,'22'!$G:$G,"pipino il breve")</f>
        <v>71.45</v>
      </c>
      <c r="AG42">
        <f>_xlfn.XLOOKUP(B42,'23'!$A:$A,'23'!$G:$G,"pipino il breve")</f>
        <v>71.989999999999995</v>
      </c>
      <c r="AH42">
        <f>_xlfn.XLOOKUP(B42,'23'!$A:$A,'23'!$G:$G,"pipino il breve")</f>
        <v>71.989999999999995</v>
      </c>
      <c r="AI42">
        <f>_xlfn.XLOOKUP(B42,'23'!$A:$A,'23'!$G:$G,"pipino il breve")</f>
        <v>71.989999999999995</v>
      </c>
      <c r="AJ42">
        <f>_xlfn.XLOOKUP(B42,'26'!$A:$A,'26'!$G:$G,"pipino il breve")</f>
        <v>72.599999999999994</v>
      </c>
      <c r="AK42">
        <f>_xlfn.XLOOKUP(B42,'27'!$A:$A,'27'!$G:$G,"pipino il breve")</f>
        <v>73.25</v>
      </c>
    </row>
    <row r="43" spans="1:37" x14ac:dyDescent="0.2">
      <c r="A43">
        <v>42</v>
      </c>
      <c r="B43" s="2" t="s">
        <v>46</v>
      </c>
      <c r="C43" s="3">
        <v>0.85</v>
      </c>
      <c r="D43" s="2" t="s">
        <v>147</v>
      </c>
      <c r="E43" s="3">
        <v>61.43</v>
      </c>
      <c r="F43" s="3">
        <v>61.43</v>
      </c>
      <c r="G43" s="3">
        <v>61.43</v>
      </c>
      <c r="H43">
        <f>_xlfn.XLOOKUP(B43,'28'!$A:$A,'28'!$G:$G,"pipino il breve")</f>
        <v>61.17</v>
      </c>
      <c r="I43">
        <f>_xlfn.XLOOKUP(B43,'29'!$A:$A,'29'!$G:$G,"pipino il breve")</f>
        <v>61.07</v>
      </c>
      <c r="J43" s="11">
        <f>_xlfn.XLOOKUP(B43,'30'!$A:$A,'30'!$G:$G,"pipino il breve")</f>
        <v>61.5</v>
      </c>
      <c r="K43" s="3">
        <f>_xlfn.XLOOKUP(B43,'30'!$A:$A,'30'!$G:$G,"pipino il breve")</f>
        <v>61.5</v>
      </c>
      <c r="L43">
        <f>_xlfn.XLOOKUP(B43,'2'!$A:$A,'2'!$G:$G,"pipino il breve")</f>
        <v>60.860999999999997</v>
      </c>
      <c r="M43">
        <f>_xlfn.XLOOKUP(B43,'2'!$A:$A,'2'!$G:$G,"pipino il breve")</f>
        <v>60.860999999999997</v>
      </c>
      <c r="N43">
        <f>_xlfn.XLOOKUP(B43,'2'!$A:$A,'2'!$G:$G,"pipino il breve")</f>
        <v>60.860999999999997</v>
      </c>
      <c r="O43">
        <f>_xlfn.XLOOKUP(B43,'5'!$A:$A,'5'!$G:$G,"pipino il breve")</f>
        <v>60.92</v>
      </c>
      <c r="P43">
        <f>_xlfn.XLOOKUP(B43,'6'!$A:$A,'6'!$G:$G,"pipino il breve")</f>
        <v>60.55</v>
      </c>
      <c r="Q43">
        <f>_xlfn.XLOOKUP(B43,'7'!$A:$A,'7'!$G:$G,"pipino il breve")</f>
        <v>61.42</v>
      </c>
      <c r="R43">
        <f>_xlfn.XLOOKUP(B43,'8'!$A:$A,'8'!$G:$G,"pipino il breve")</f>
        <v>61.09</v>
      </c>
      <c r="S43">
        <f>_xlfn.XLOOKUP(B43,'9'!$A:$A,'9'!$G:$G,"pipino il breve")</f>
        <v>60.71</v>
      </c>
      <c r="T43">
        <f>_xlfn.XLOOKUP(B43,'9'!$A:$A,'9'!$G:$G,"pipino il breve")</f>
        <v>60.71</v>
      </c>
      <c r="U43">
        <f>_xlfn.XLOOKUP(B43,'9'!$A:$A,'9'!$G:$G,"pipino il breve")</f>
        <v>60.71</v>
      </c>
      <c r="V43">
        <f>_xlfn.XLOOKUP(B43,'12'!$A:$A,'12'!$G:$G,"pipino il breve")</f>
        <v>60.3</v>
      </c>
      <c r="W43">
        <f>_xlfn.XLOOKUP(B43,'13'!$A:$A,'13'!$G:$G,"pipino il breve")</f>
        <v>59.93</v>
      </c>
      <c r="X43">
        <f>_xlfn.XLOOKUP(B43,'14'!$A:$A,'14'!$G:$G,"pipino il breve")</f>
        <v>59.85</v>
      </c>
      <c r="Y43">
        <f>_xlfn.XLOOKUP(B43,'15'!$A:$A,'15'!$G:$G,"pipino il breve")</f>
        <v>60.69</v>
      </c>
      <c r="Z43">
        <f>_xlfn.XLOOKUP(B43,'16'!$A:$A,'16'!$G:$G,"pipino il breve")</f>
        <v>61.14</v>
      </c>
      <c r="AA43">
        <f>_xlfn.XLOOKUP(B43,'16'!$A:$A,'16'!$G:$G,"pipino il breve")</f>
        <v>61.14</v>
      </c>
      <c r="AB43">
        <f>_xlfn.XLOOKUP(B43,'16'!$A:$A,'16'!$G:$G,"pipino il breve")</f>
        <v>61.14</v>
      </c>
      <c r="AC43">
        <f>_xlfn.XLOOKUP(B43,'19'!$A:$A,'19'!$G:$G,"pipino il breve")</f>
        <v>61.16</v>
      </c>
      <c r="AD43">
        <f>_xlfn.XLOOKUP(B43,'20'!$A:$A,'20'!$G:$G,"pipino il breve")</f>
        <v>60.78</v>
      </c>
      <c r="AE43">
        <f>_xlfn.XLOOKUP(B43,'21'!$A:$A,'21'!$G:$G,"pipino il breve")</f>
        <v>60.2</v>
      </c>
      <c r="AF43">
        <f>_xlfn.XLOOKUP(B43,'22'!$A:$A,'22'!$G:$G,"pipino il breve")</f>
        <v>59.89</v>
      </c>
      <c r="AG43">
        <f>_xlfn.XLOOKUP(B43,'23'!$A:$A,'23'!$G:$G,"pipino il breve")</f>
        <v>60.34</v>
      </c>
      <c r="AH43">
        <f>_xlfn.XLOOKUP(B43,'23'!$A:$A,'23'!$G:$G,"pipino il breve")</f>
        <v>60.34</v>
      </c>
      <c r="AI43">
        <f>_xlfn.XLOOKUP(B43,'23'!$A:$A,'23'!$G:$G,"pipino il breve")</f>
        <v>60.34</v>
      </c>
      <c r="AJ43">
        <f>_xlfn.XLOOKUP(B43,'26'!$A:$A,'26'!$G:$G,"pipino il breve")</f>
        <v>60.99</v>
      </c>
      <c r="AK43">
        <f>_xlfn.XLOOKUP(B43,'27'!$A:$A,'27'!$G:$G,"pipino il breve")</f>
        <v>61.54</v>
      </c>
    </row>
    <row r="44" spans="1:37" x14ac:dyDescent="0.2">
      <c r="A44">
        <v>43</v>
      </c>
      <c r="B44" s="2" t="s">
        <v>68</v>
      </c>
      <c r="C44" s="3">
        <v>2.2250000000000001</v>
      </c>
      <c r="D44" s="2" t="s">
        <v>148</v>
      </c>
      <c r="E44" s="3">
        <v>104.43</v>
      </c>
      <c r="F44" s="3">
        <v>104.43</v>
      </c>
      <c r="G44" s="3">
        <v>104.43</v>
      </c>
      <c r="H44">
        <f>_xlfn.XLOOKUP(B44,'28'!$A:$A,'28'!$G:$G,"pipino il breve")</f>
        <v>104.23</v>
      </c>
      <c r="I44">
        <f>_xlfn.XLOOKUP(B44,'29'!$A:$A,'29'!$G:$G,"pipino il breve")</f>
        <v>104.11</v>
      </c>
      <c r="J44" s="11">
        <f>_xlfn.XLOOKUP(B44,'30'!$A:$A,'30'!$G:$G,"pipino il breve")</f>
        <v>104.5</v>
      </c>
      <c r="K44" s="3">
        <f>_xlfn.XLOOKUP(B44,'30'!$A:$A,'30'!$G:$G,"pipino il breve")</f>
        <v>104.5</v>
      </c>
      <c r="L44">
        <f>_xlfn.XLOOKUP(B44,'2'!$A:$A,'2'!$G:$G,"pipino il breve")</f>
        <v>103.92</v>
      </c>
      <c r="M44">
        <f>_xlfn.XLOOKUP(B44,'2'!$A:$A,'2'!$G:$G,"pipino il breve")</f>
        <v>103.92</v>
      </c>
      <c r="N44">
        <f>_xlfn.XLOOKUP(B44,'2'!$A:$A,'2'!$G:$G,"pipino il breve")</f>
        <v>103.92</v>
      </c>
      <c r="O44">
        <f>_xlfn.XLOOKUP(B44,'5'!$A:$A,'5'!$G:$G,"pipino il breve")</f>
        <v>104.05</v>
      </c>
      <c r="P44">
        <f>_xlfn.XLOOKUP(B44,'6'!$A:$A,'6'!$G:$G,"pipino il breve")</f>
        <v>103.67</v>
      </c>
      <c r="Q44">
        <f>_xlfn.XLOOKUP(B44,'7'!$A:$A,'7'!$G:$G,"pipino il breve")</f>
        <v>104.59</v>
      </c>
      <c r="R44">
        <f>_xlfn.XLOOKUP(B44,'8'!$A:$A,'8'!$G:$G,"pipino il breve")</f>
        <v>104.26</v>
      </c>
      <c r="S44">
        <f>_xlfn.XLOOKUP(B44,'9'!$A:$A,'9'!$G:$G,"pipino il breve")</f>
        <v>103.81</v>
      </c>
      <c r="T44">
        <f>_xlfn.XLOOKUP(B44,'9'!$A:$A,'9'!$G:$G,"pipino il breve")</f>
        <v>103.81</v>
      </c>
      <c r="U44">
        <f>_xlfn.XLOOKUP(B44,'9'!$A:$A,'9'!$G:$G,"pipino il breve")</f>
        <v>103.81</v>
      </c>
      <c r="V44">
        <f>_xlfn.XLOOKUP(B44,'12'!$A:$A,'12'!$G:$G,"pipino il breve")</f>
        <v>103.26</v>
      </c>
      <c r="W44">
        <f>_xlfn.XLOOKUP(B44,'13'!$A:$A,'13'!$G:$G,"pipino il breve")</f>
        <v>102.84</v>
      </c>
      <c r="X44">
        <f>_xlfn.XLOOKUP(B44,'14'!$A:$A,'14'!$G:$G,"pipino il breve")</f>
        <v>102.8</v>
      </c>
      <c r="Y44">
        <f>_xlfn.XLOOKUP(B44,'15'!$A:$A,'15'!$G:$G,"pipino il breve")</f>
        <v>103.74</v>
      </c>
      <c r="Z44">
        <f>_xlfn.XLOOKUP(B44,'16'!$A:$A,'16'!$G:$G,"pipino il breve")</f>
        <v>104.32</v>
      </c>
      <c r="AA44">
        <f>_xlfn.XLOOKUP(B44,'16'!$A:$A,'16'!$G:$G,"pipino il breve")</f>
        <v>104.32</v>
      </c>
      <c r="AB44">
        <f>_xlfn.XLOOKUP(B44,'16'!$A:$A,'16'!$G:$G,"pipino il breve")</f>
        <v>104.32</v>
      </c>
      <c r="AC44">
        <f>_xlfn.XLOOKUP(B44,'19'!$A:$A,'19'!$G:$G,"pipino il breve")</f>
        <v>104.36</v>
      </c>
      <c r="AD44">
        <f>_xlfn.XLOOKUP(B44,'20'!$A:$A,'20'!$G:$G,"pipino il breve")</f>
        <v>103.99</v>
      </c>
      <c r="AE44">
        <f>_xlfn.XLOOKUP(B44,'21'!$A:$A,'21'!$G:$G,"pipino il breve")</f>
        <v>103.55</v>
      </c>
      <c r="AF44">
        <f>_xlfn.XLOOKUP(B44,'22'!$A:$A,'22'!$G:$G,"pipino il breve")</f>
        <v>103.16</v>
      </c>
      <c r="AG44">
        <f>_xlfn.XLOOKUP(B44,'23'!$A:$A,'23'!$G:$G,"pipino il breve")</f>
        <v>103.76</v>
      </c>
      <c r="AH44">
        <f>_xlfn.XLOOKUP(B44,'23'!$A:$A,'23'!$G:$G,"pipino il breve")</f>
        <v>103.76</v>
      </c>
      <c r="AI44">
        <f>_xlfn.XLOOKUP(B44,'23'!$A:$A,'23'!$G:$G,"pipino il breve")</f>
        <v>103.76</v>
      </c>
      <c r="AJ44">
        <f>_xlfn.XLOOKUP(B44,'26'!$A:$A,'26'!$G:$G,"pipino il breve")</f>
        <v>104.3</v>
      </c>
      <c r="AK44">
        <f>_xlfn.XLOOKUP(B44,'27'!$A:$A,'27'!$G:$G,"pipino il breve")</f>
        <v>104.89</v>
      </c>
    </row>
    <row r="45" spans="1:37" x14ac:dyDescent="0.2">
      <c r="A45">
        <v>44</v>
      </c>
      <c r="B45" s="2" t="s">
        <v>77</v>
      </c>
      <c r="C45" s="3">
        <v>2.1</v>
      </c>
      <c r="D45" s="2" t="s">
        <v>149</v>
      </c>
      <c r="E45" s="3">
        <v>106.4</v>
      </c>
      <c r="F45" s="3">
        <v>106.4</v>
      </c>
      <c r="G45" s="3">
        <v>106.4</v>
      </c>
      <c r="H45">
        <f>_xlfn.XLOOKUP(B45,'28'!$A:$A,'28'!$G:$G,"pipino il breve")</f>
        <v>106.33</v>
      </c>
      <c r="I45">
        <f>_xlfn.XLOOKUP(B45,'29'!$A:$A,'29'!$G:$G,"pipino il breve")</f>
        <v>106.33</v>
      </c>
      <c r="J45" s="11">
        <f>_xlfn.XLOOKUP(B45,'30'!$A:$A,'30'!$G:$G,"pipino il breve")</f>
        <v>106.68</v>
      </c>
      <c r="K45" s="3">
        <f>_xlfn.XLOOKUP(B45,'30'!$A:$A,'30'!$G:$G,"pipino il breve")</f>
        <v>106.68</v>
      </c>
      <c r="L45">
        <f>_xlfn.XLOOKUP(B45,'2'!$A:$A,'2'!$G:$G,"pipino il breve")</f>
        <v>106.2</v>
      </c>
      <c r="M45">
        <f>_xlfn.XLOOKUP(B45,'2'!$A:$A,'2'!$G:$G,"pipino il breve")</f>
        <v>106.2</v>
      </c>
      <c r="N45">
        <f>_xlfn.XLOOKUP(B45,'2'!$A:$A,'2'!$G:$G,"pipino il breve")</f>
        <v>106.2</v>
      </c>
      <c r="O45">
        <f>_xlfn.XLOOKUP(B45,'5'!$A:$A,'5'!$G:$G,"pipino il breve")</f>
        <v>106.38</v>
      </c>
      <c r="P45">
        <f>_xlfn.XLOOKUP(B45,'6'!$A:$A,'6'!$G:$G,"pipino il breve")</f>
        <v>106.24</v>
      </c>
      <c r="Q45">
        <f>_xlfn.XLOOKUP(B45,'7'!$A:$A,'7'!$G:$G,"pipino il breve")</f>
        <v>106.81</v>
      </c>
      <c r="R45">
        <f>_xlfn.XLOOKUP(B45,'8'!$A:$A,'8'!$G:$G,"pipino il breve")</f>
        <v>106.58</v>
      </c>
      <c r="S45">
        <f>_xlfn.XLOOKUP(B45,'9'!$A:$A,'9'!$G:$G,"pipino il breve")</f>
        <v>106.27</v>
      </c>
      <c r="T45">
        <f>_xlfn.XLOOKUP(B45,'9'!$A:$A,'9'!$G:$G,"pipino il breve")</f>
        <v>106.27</v>
      </c>
      <c r="U45">
        <f>_xlfn.XLOOKUP(B45,'9'!$A:$A,'9'!$G:$G,"pipino il breve")</f>
        <v>106.27</v>
      </c>
      <c r="V45">
        <f>_xlfn.XLOOKUP(B45,'12'!$A:$A,'12'!$G:$G,"pipino il breve")</f>
        <v>105.8</v>
      </c>
      <c r="W45">
        <f>_xlfn.XLOOKUP(B45,'13'!$A:$A,'13'!$G:$G,"pipino il breve")</f>
        <v>105.64</v>
      </c>
      <c r="X45">
        <f>_xlfn.XLOOKUP(B45,'14'!$A:$A,'14'!$G:$G,"pipino il breve")</f>
        <v>105.49</v>
      </c>
      <c r="Y45">
        <f>_xlfn.XLOOKUP(B45,'15'!$A:$A,'15'!$G:$G,"pipino il breve")</f>
        <v>106.05</v>
      </c>
      <c r="Z45">
        <f>_xlfn.XLOOKUP(B45,'16'!$A:$A,'16'!$G:$G,"pipino il breve")</f>
        <v>106.34</v>
      </c>
      <c r="AA45">
        <f>_xlfn.XLOOKUP(B45,'16'!$A:$A,'16'!$G:$G,"pipino il breve")</f>
        <v>106.34</v>
      </c>
      <c r="AB45">
        <f>_xlfn.XLOOKUP(B45,'16'!$A:$A,'16'!$G:$G,"pipino il breve")</f>
        <v>106.34</v>
      </c>
      <c r="AC45">
        <f>_xlfn.XLOOKUP(B45,'19'!$A:$A,'19'!$G:$G,"pipino il breve")</f>
        <v>106.34</v>
      </c>
      <c r="AD45">
        <f>_xlfn.XLOOKUP(B45,'20'!$A:$A,'20'!$G:$G,"pipino il breve")</f>
        <v>106.31</v>
      </c>
      <c r="AE45">
        <f>_xlfn.XLOOKUP(B45,'21'!$A:$A,'21'!$G:$G,"pipino il breve")</f>
        <v>106.05</v>
      </c>
      <c r="AF45">
        <f>_xlfn.XLOOKUP(B45,'22'!$A:$A,'22'!$G:$G,"pipino il breve")</f>
        <v>106</v>
      </c>
      <c r="AG45">
        <f>_xlfn.XLOOKUP(B45,'23'!$A:$A,'23'!$G:$G,"pipino il breve")</f>
        <v>106.38</v>
      </c>
      <c r="AH45">
        <f>_xlfn.XLOOKUP(B45,'23'!$A:$A,'23'!$G:$G,"pipino il breve")</f>
        <v>106.38</v>
      </c>
      <c r="AI45">
        <f>_xlfn.XLOOKUP(B45,'23'!$A:$A,'23'!$G:$G,"pipino il breve")</f>
        <v>106.38</v>
      </c>
      <c r="AJ45">
        <f>_xlfn.XLOOKUP(B45,'26'!$A:$A,'26'!$G:$G,"pipino il breve")</f>
        <v>106.65</v>
      </c>
      <c r="AK45">
        <f>_xlfn.XLOOKUP(B45,'27'!$A:$A,'27'!$G:$G,"pipino il breve")</f>
        <v>106.89</v>
      </c>
    </row>
    <row r="46" spans="1:37" x14ac:dyDescent="0.2">
      <c r="A46">
        <v>45</v>
      </c>
      <c r="B46" s="2" t="s">
        <v>45</v>
      </c>
      <c r="C46" s="3">
        <v>0.45</v>
      </c>
      <c r="D46" s="2" t="s">
        <v>150</v>
      </c>
      <c r="E46" s="3">
        <v>89.47</v>
      </c>
      <c r="F46" s="3">
        <v>89.47</v>
      </c>
      <c r="G46" s="3">
        <v>89.47</v>
      </c>
      <c r="H46">
        <f>_xlfn.XLOOKUP(B46,'28'!$A:$A,'28'!$G:$G,"pipino il breve")</f>
        <v>89.49</v>
      </c>
      <c r="I46">
        <f>_xlfn.XLOOKUP(B46,'29'!$A:$A,'29'!$G:$G,"pipino il breve")</f>
        <v>89.44</v>
      </c>
      <c r="J46" s="11">
        <f>_xlfn.XLOOKUP(B46,'30'!$A:$A,'30'!$G:$G,"pipino il breve")</f>
        <v>89.63</v>
      </c>
      <c r="K46" s="3">
        <f>_xlfn.XLOOKUP(B46,'30'!$A:$A,'30'!$G:$G,"pipino il breve")</f>
        <v>89.63</v>
      </c>
      <c r="L46">
        <f>_xlfn.XLOOKUP(B46,'2'!$A:$A,'2'!$G:$G,"pipino il breve")</f>
        <v>89.43</v>
      </c>
      <c r="M46">
        <f>_xlfn.XLOOKUP(B46,'2'!$A:$A,'2'!$G:$G,"pipino il breve")</f>
        <v>89.43</v>
      </c>
      <c r="N46">
        <f>_xlfn.XLOOKUP(B46,'2'!$A:$A,'2'!$G:$G,"pipino il breve")</f>
        <v>89.43</v>
      </c>
      <c r="O46">
        <f>_xlfn.XLOOKUP(B46,'5'!$A:$A,'5'!$G:$G,"pipino il breve")</f>
        <v>89.5</v>
      </c>
      <c r="P46">
        <f>_xlfn.XLOOKUP(B46,'6'!$A:$A,'6'!$G:$G,"pipino il breve")</f>
        <v>89.49</v>
      </c>
      <c r="Q46">
        <f>_xlfn.XLOOKUP(B46,'7'!$A:$A,'7'!$G:$G,"pipino il breve")</f>
        <v>89.76</v>
      </c>
      <c r="R46">
        <f>_xlfn.XLOOKUP(B46,'8'!$A:$A,'8'!$G:$G,"pipino il breve")</f>
        <v>89.66</v>
      </c>
      <c r="S46">
        <f>_xlfn.XLOOKUP(B46,'9'!$A:$A,'9'!$G:$G,"pipino il breve")</f>
        <v>89.5</v>
      </c>
      <c r="T46">
        <f>_xlfn.XLOOKUP(B46,'9'!$A:$A,'9'!$G:$G,"pipino il breve")</f>
        <v>89.5</v>
      </c>
      <c r="U46">
        <f>_xlfn.XLOOKUP(B46,'9'!$A:$A,'9'!$G:$G,"pipino il breve")</f>
        <v>89.5</v>
      </c>
      <c r="V46">
        <f>_xlfn.XLOOKUP(B46,'12'!$A:$A,'12'!$G:$G,"pipino il breve")</f>
        <v>89.07</v>
      </c>
      <c r="W46">
        <f>_xlfn.XLOOKUP(B46,'13'!$A:$A,'13'!$G:$G,"pipino il breve")</f>
        <v>88.98</v>
      </c>
      <c r="X46">
        <f>_xlfn.XLOOKUP(B46,'14'!$A:$A,'14'!$G:$G,"pipino il breve")</f>
        <v>88.91</v>
      </c>
      <c r="Y46">
        <f>_xlfn.XLOOKUP(B46,'15'!$A:$A,'15'!$G:$G,"pipino il breve")</f>
        <v>89.23</v>
      </c>
      <c r="Z46">
        <f>_xlfn.XLOOKUP(B46,'16'!$A:$A,'16'!$G:$G,"pipino il breve")</f>
        <v>89.48</v>
      </c>
      <c r="AA46">
        <f>_xlfn.XLOOKUP(B46,'16'!$A:$A,'16'!$G:$G,"pipino il breve")</f>
        <v>89.48</v>
      </c>
      <c r="AB46">
        <f>_xlfn.XLOOKUP(B46,'16'!$A:$A,'16'!$G:$G,"pipino il breve")</f>
        <v>89.48</v>
      </c>
      <c r="AC46">
        <f>_xlfn.XLOOKUP(B46,'19'!$A:$A,'19'!$G:$G,"pipino il breve")</f>
        <v>89.54</v>
      </c>
      <c r="AD46">
        <f>_xlfn.XLOOKUP(B46,'20'!$A:$A,'20'!$G:$G,"pipino il breve")</f>
        <v>89.46</v>
      </c>
      <c r="AE46">
        <f>_xlfn.XLOOKUP(B46,'21'!$A:$A,'21'!$G:$G,"pipino il breve")</f>
        <v>89.36</v>
      </c>
      <c r="AF46">
        <f>_xlfn.XLOOKUP(B46,'22'!$A:$A,'22'!$G:$G,"pipino il breve")</f>
        <v>89.35</v>
      </c>
      <c r="AG46">
        <f>_xlfn.XLOOKUP(B46,'23'!$A:$A,'23'!$G:$G,"pipino il breve")</f>
        <v>89.63</v>
      </c>
      <c r="AH46">
        <f>_xlfn.XLOOKUP(B46,'23'!$A:$A,'23'!$G:$G,"pipino il breve")</f>
        <v>89.63</v>
      </c>
      <c r="AI46">
        <f>_xlfn.XLOOKUP(B46,'23'!$A:$A,'23'!$G:$G,"pipino il breve")</f>
        <v>89.63</v>
      </c>
      <c r="AJ46">
        <f>_xlfn.XLOOKUP(B46,'26'!$A:$A,'26'!$G:$G,"pipino il breve")</f>
        <v>89.75</v>
      </c>
      <c r="AK46">
        <f>_xlfn.XLOOKUP(B46,'27'!$A:$A,'27'!$G:$G,"pipino il breve")</f>
        <v>89.8</v>
      </c>
    </row>
    <row r="47" spans="1:37" x14ac:dyDescent="0.2">
      <c r="A47">
        <v>46</v>
      </c>
      <c r="B47" s="2" t="s">
        <v>55</v>
      </c>
      <c r="C47" s="3">
        <v>0.47499999999999998</v>
      </c>
      <c r="D47" s="2" t="s">
        <v>151</v>
      </c>
      <c r="E47" s="3">
        <v>86.7</v>
      </c>
      <c r="F47" s="3">
        <v>86.7</v>
      </c>
      <c r="G47" s="3">
        <v>86.7</v>
      </c>
      <c r="H47">
        <f>_xlfn.XLOOKUP(B47,'28'!$A:$A,'28'!$G:$G,"pipino il breve")</f>
        <v>86.6</v>
      </c>
      <c r="I47">
        <f>_xlfn.XLOOKUP(B47,'29'!$A:$A,'29'!$G:$G,"pipino il breve")</f>
        <v>86.67</v>
      </c>
      <c r="J47" s="11">
        <f>_xlfn.XLOOKUP(B47,'30'!$A:$A,'30'!$G:$G,"pipino il breve")</f>
        <v>86.86</v>
      </c>
      <c r="K47" s="3">
        <f>_xlfn.XLOOKUP(B47,'30'!$A:$A,'30'!$G:$G,"pipino il breve")</f>
        <v>86.86</v>
      </c>
      <c r="L47">
        <f>_xlfn.XLOOKUP(B47,'2'!$A:$A,'2'!$G:$G,"pipino il breve")</f>
        <v>86.61</v>
      </c>
      <c r="M47">
        <f>_xlfn.XLOOKUP(B47,'2'!$A:$A,'2'!$G:$G,"pipino il breve")</f>
        <v>86.61</v>
      </c>
      <c r="N47">
        <f>_xlfn.XLOOKUP(B47,'2'!$A:$A,'2'!$G:$G,"pipino il breve")</f>
        <v>86.61</v>
      </c>
      <c r="O47">
        <f>_xlfn.XLOOKUP(B47,'5'!$A:$A,'5'!$G:$G,"pipino il breve")</f>
        <v>86.68</v>
      </c>
      <c r="P47">
        <f>_xlfn.XLOOKUP(B47,'6'!$A:$A,'6'!$G:$G,"pipino il breve")</f>
        <v>86.63</v>
      </c>
      <c r="Q47">
        <f>_xlfn.XLOOKUP(B47,'7'!$A:$A,'7'!$G:$G,"pipino il breve")</f>
        <v>87.01</v>
      </c>
      <c r="R47">
        <f>_xlfn.XLOOKUP(B47,'8'!$A:$A,'8'!$G:$G,"pipino il breve")</f>
        <v>86.88</v>
      </c>
      <c r="S47">
        <f>_xlfn.XLOOKUP(B47,'9'!$A:$A,'9'!$G:$G,"pipino il breve")</f>
        <v>86.72</v>
      </c>
      <c r="T47">
        <f>_xlfn.XLOOKUP(B47,'9'!$A:$A,'9'!$G:$G,"pipino il breve")</f>
        <v>86.72</v>
      </c>
      <c r="U47">
        <f>_xlfn.XLOOKUP(B47,'9'!$A:$A,'9'!$G:$G,"pipino il breve")</f>
        <v>86.72</v>
      </c>
      <c r="V47">
        <f>_xlfn.XLOOKUP(B47,'12'!$A:$A,'12'!$G:$G,"pipino il breve")</f>
        <v>86.27</v>
      </c>
      <c r="W47">
        <f>_xlfn.XLOOKUP(B47,'13'!$A:$A,'13'!$G:$G,"pipino il breve")</f>
        <v>86.15</v>
      </c>
      <c r="X47">
        <f>_xlfn.XLOOKUP(B47,'14'!$A:$A,'14'!$G:$G,"pipino il breve")</f>
        <v>86.08</v>
      </c>
      <c r="Y47">
        <f>_xlfn.XLOOKUP(B47,'15'!$A:$A,'15'!$G:$G,"pipino il breve")</f>
        <v>86.45</v>
      </c>
      <c r="Z47">
        <f>_xlfn.XLOOKUP(B47,'16'!$A:$A,'16'!$G:$G,"pipino il breve")</f>
        <v>86.74</v>
      </c>
      <c r="AA47">
        <f>_xlfn.XLOOKUP(B47,'16'!$A:$A,'16'!$G:$G,"pipino il breve")</f>
        <v>86.74</v>
      </c>
      <c r="AB47">
        <f>_xlfn.XLOOKUP(B47,'16'!$A:$A,'16'!$G:$G,"pipino il breve")</f>
        <v>86.74</v>
      </c>
      <c r="AC47">
        <f>_xlfn.XLOOKUP(B47,'19'!$A:$A,'19'!$G:$G,"pipino il breve")</f>
        <v>86.81</v>
      </c>
      <c r="AD47">
        <f>_xlfn.XLOOKUP(B47,'20'!$A:$A,'20'!$G:$G,"pipino il breve")</f>
        <v>86.73</v>
      </c>
      <c r="AE47">
        <f>_xlfn.XLOOKUP(B47,'21'!$A:$A,'21'!$G:$G,"pipino il breve")</f>
        <v>86.64</v>
      </c>
      <c r="AF47">
        <f>_xlfn.XLOOKUP(B47,'22'!$A:$A,'22'!$G:$G,"pipino il breve")</f>
        <v>86.57</v>
      </c>
      <c r="AG47">
        <f>_xlfn.XLOOKUP(B47,'23'!$A:$A,'23'!$G:$G,"pipino il breve")</f>
        <v>86.88</v>
      </c>
      <c r="AH47">
        <f>_xlfn.XLOOKUP(B47,'23'!$A:$A,'23'!$G:$G,"pipino il breve")</f>
        <v>86.88</v>
      </c>
      <c r="AI47">
        <f>_xlfn.XLOOKUP(B47,'23'!$A:$A,'23'!$G:$G,"pipino il breve")</f>
        <v>86.88</v>
      </c>
      <c r="AJ47">
        <f>_xlfn.XLOOKUP(B47,'26'!$A:$A,'26'!$G:$G,"pipino il breve")</f>
        <v>87.07</v>
      </c>
      <c r="AK47">
        <f>_xlfn.XLOOKUP(B47,'27'!$A:$A,'27'!$G:$G,"pipino il breve")</f>
        <v>87.15</v>
      </c>
    </row>
    <row r="48" spans="1:37" x14ac:dyDescent="0.2">
      <c r="A48">
        <v>47</v>
      </c>
      <c r="B48" s="2" t="s">
        <v>65</v>
      </c>
      <c r="C48" s="3">
        <v>2.2000000000000002</v>
      </c>
      <c r="D48" s="2" t="s">
        <v>152</v>
      </c>
      <c r="E48" s="3">
        <v>108.3</v>
      </c>
      <c r="F48" s="3">
        <v>108.3</v>
      </c>
      <c r="G48" s="3">
        <v>108.3</v>
      </c>
      <c r="H48">
        <f>_xlfn.XLOOKUP(B48,'28'!$A:$A,'28'!$G:$G,"pipino il breve")</f>
        <v>108.25</v>
      </c>
      <c r="I48">
        <f>_xlfn.XLOOKUP(B48,'29'!$A:$A,'29'!$G:$G,"pipino il breve")</f>
        <v>108.19</v>
      </c>
      <c r="J48" s="11">
        <f>_xlfn.XLOOKUP(B48,'30'!$A:$A,'30'!$G:$G,"pipino il breve")</f>
        <v>108.5</v>
      </c>
      <c r="K48" s="3">
        <f>_xlfn.XLOOKUP(B48,'30'!$A:$A,'30'!$G:$G,"pipino il breve")</f>
        <v>108.5</v>
      </c>
      <c r="L48">
        <f>_xlfn.XLOOKUP(B48,'2'!$A:$A,'2'!$G:$G,"pipino il breve")</f>
        <v>108.17</v>
      </c>
      <c r="M48">
        <f>_xlfn.XLOOKUP(B48,'2'!$A:$A,'2'!$G:$G,"pipino il breve")</f>
        <v>108.17</v>
      </c>
      <c r="N48">
        <f>_xlfn.XLOOKUP(B48,'2'!$A:$A,'2'!$G:$G,"pipino il breve")</f>
        <v>108.17</v>
      </c>
      <c r="O48">
        <f>_xlfn.XLOOKUP(B48,'5'!$A:$A,'5'!$G:$G,"pipino il breve")</f>
        <v>108.27</v>
      </c>
      <c r="P48">
        <f>_xlfn.XLOOKUP(B48,'6'!$A:$A,'6'!$G:$G,"pipino il breve")</f>
        <v>108.15</v>
      </c>
      <c r="Q48">
        <f>_xlfn.XLOOKUP(B48,'7'!$A:$A,'7'!$G:$G,"pipino il breve")</f>
        <v>108.61</v>
      </c>
      <c r="R48">
        <f>_xlfn.XLOOKUP(B48,'8'!$A:$A,'8'!$G:$G,"pipino il breve")</f>
        <v>108.46</v>
      </c>
      <c r="S48">
        <f>_xlfn.XLOOKUP(B48,'9'!$A:$A,'9'!$G:$G,"pipino il breve")</f>
        <v>108.17</v>
      </c>
      <c r="T48">
        <f>_xlfn.XLOOKUP(B48,'9'!$A:$A,'9'!$G:$G,"pipino il breve")</f>
        <v>108.17</v>
      </c>
      <c r="U48">
        <f>_xlfn.XLOOKUP(B48,'9'!$A:$A,'9'!$G:$G,"pipino il breve")</f>
        <v>108.17</v>
      </c>
      <c r="V48">
        <f>_xlfn.XLOOKUP(B48,'12'!$A:$A,'12'!$G:$G,"pipino il breve")</f>
        <v>107.66</v>
      </c>
      <c r="W48">
        <f>_xlfn.XLOOKUP(B48,'13'!$A:$A,'13'!$G:$G,"pipino il breve")</f>
        <v>107.58</v>
      </c>
      <c r="X48">
        <f>_xlfn.XLOOKUP(B48,'14'!$A:$A,'14'!$G:$G,"pipino il breve")</f>
        <v>107.43</v>
      </c>
      <c r="Y48">
        <f>_xlfn.XLOOKUP(B48,'15'!$A:$A,'15'!$G:$G,"pipino il breve")</f>
        <v>107.84</v>
      </c>
      <c r="Z48">
        <f>_xlfn.XLOOKUP(B48,'16'!$A:$A,'16'!$G:$G,"pipino il breve")</f>
        <v>108.21</v>
      </c>
      <c r="AA48">
        <f>_xlfn.XLOOKUP(B48,'16'!$A:$A,'16'!$G:$G,"pipino il breve")</f>
        <v>108.21</v>
      </c>
      <c r="AB48">
        <f>_xlfn.XLOOKUP(B48,'16'!$A:$A,'16'!$G:$G,"pipino il breve")</f>
        <v>108.21</v>
      </c>
      <c r="AC48">
        <f>_xlfn.XLOOKUP(B48,'19'!$A:$A,'19'!$G:$G,"pipino il breve")</f>
        <v>108.22</v>
      </c>
      <c r="AD48">
        <f>_xlfn.XLOOKUP(B48,'20'!$A:$A,'20'!$G:$G,"pipino il breve")</f>
        <v>108.28</v>
      </c>
      <c r="AE48">
        <f>_xlfn.XLOOKUP(B48,'21'!$A:$A,'21'!$G:$G,"pipino il breve")</f>
        <v>107.96</v>
      </c>
      <c r="AF48">
        <f>_xlfn.XLOOKUP(B48,'22'!$A:$A,'22'!$G:$G,"pipino il breve")</f>
        <v>107.86</v>
      </c>
      <c r="AG48">
        <f>_xlfn.XLOOKUP(B48,'23'!$A:$A,'23'!$G:$G,"pipino il breve")</f>
        <v>108.25</v>
      </c>
      <c r="AH48">
        <f>_xlfn.XLOOKUP(B48,'23'!$A:$A,'23'!$G:$G,"pipino il breve")</f>
        <v>108.25</v>
      </c>
      <c r="AI48">
        <f>_xlfn.XLOOKUP(B48,'23'!$A:$A,'23'!$G:$G,"pipino il breve")</f>
        <v>108.25</v>
      </c>
      <c r="AJ48">
        <f>_xlfn.XLOOKUP(B48,'26'!$A:$A,'26'!$G:$G,"pipino il breve")</f>
        <v>108.48</v>
      </c>
      <c r="AK48">
        <f>_xlfn.XLOOKUP(B48,'27'!$A:$A,'27'!$G:$G,"pipino il breve")</f>
        <v>108.6</v>
      </c>
    </row>
    <row r="49" spans="1:37" x14ac:dyDescent="0.2">
      <c r="A49">
        <v>48</v>
      </c>
      <c r="B49" s="2" t="s">
        <v>0</v>
      </c>
      <c r="C49" s="3">
        <v>3.625</v>
      </c>
      <c r="D49" s="2" t="s">
        <v>153</v>
      </c>
      <c r="E49" s="3">
        <v>107.99</v>
      </c>
      <c r="F49" s="3">
        <v>107.99</v>
      </c>
      <c r="G49" s="3">
        <v>107.99</v>
      </c>
      <c r="H49">
        <f>_xlfn.XLOOKUP(B49,'28'!$A:$A,'28'!$G:$G,"pipino il breve")</f>
        <v>108.02</v>
      </c>
      <c r="I49">
        <f>_xlfn.XLOOKUP(B49,'29'!$A:$A,'29'!$G:$G,"pipino il breve")</f>
        <v>107.96</v>
      </c>
      <c r="J49" s="11">
        <f>_xlfn.XLOOKUP(B49,'30'!$A:$A,'30'!$G:$G,"pipino il breve")</f>
        <v>107.91</v>
      </c>
      <c r="K49" s="3">
        <f>_xlfn.XLOOKUP(B49,'30'!$A:$A,'30'!$G:$G,"pipino il breve")</f>
        <v>107.91</v>
      </c>
      <c r="L49">
        <f>_xlfn.XLOOKUP(B49,'2'!$A:$A,'2'!$G:$G,"pipino il breve")</f>
        <v>107.83</v>
      </c>
      <c r="M49">
        <f>_xlfn.XLOOKUP(B49,'2'!$A:$A,'2'!$G:$G,"pipino il breve")</f>
        <v>107.83</v>
      </c>
      <c r="N49">
        <f>_xlfn.XLOOKUP(B49,'2'!$A:$A,'2'!$G:$G,"pipino il breve")</f>
        <v>107.83</v>
      </c>
      <c r="O49">
        <f>_xlfn.XLOOKUP(B49,'5'!$A:$A,'5'!$G:$G,"pipino il breve")</f>
        <v>107.85</v>
      </c>
      <c r="P49">
        <f>_xlfn.XLOOKUP(B49,'6'!$A:$A,'6'!$G:$G,"pipino il breve")</f>
        <v>107.86</v>
      </c>
      <c r="Q49">
        <f>_xlfn.XLOOKUP(B49,'7'!$A:$A,'7'!$G:$G,"pipino il breve")</f>
        <v>107.87</v>
      </c>
      <c r="R49">
        <f>_xlfn.XLOOKUP(B49,'8'!$A:$A,'8'!$G:$G,"pipino il breve")</f>
        <v>107.82</v>
      </c>
      <c r="S49">
        <f>_xlfn.XLOOKUP(B49,'9'!$A:$A,'9'!$G:$G,"pipino il breve")</f>
        <v>107.76</v>
      </c>
      <c r="T49">
        <f>_xlfn.XLOOKUP(B49,'9'!$A:$A,'9'!$G:$G,"pipino il breve")</f>
        <v>107.76</v>
      </c>
      <c r="U49">
        <f>_xlfn.XLOOKUP(B49,'9'!$A:$A,'9'!$G:$G,"pipino il breve")</f>
        <v>107.76</v>
      </c>
      <c r="V49">
        <f>_xlfn.XLOOKUP(B49,'12'!$A:$A,'12'!$G:$G,"pipino il breve")</f>
        <v>107.57</v>
      </c>
      <c r="W49">
        <f>_xlfn.XLOOKUP(B49,'13'!$A:$A,'13'!$G:$G,"pipino il breve")</f>
        <v>107.62</v>
      </c>
      <c r="X49">
        <f>_xlfn.XLOOKUP(B49,'14'!$A:$A,'14'!$G:$G,"pipino il breve")</f>
        <v>107.58</v>
      </c>
      <c r="Y49">
        <f>_xlfn.XLOOKUP(B49,'15'!$A:$A,'15'!$G:$G,"pipino il breve")</f>
        <v>107.55</v>
      </c>
      <c r="Z49">
        <f>_xlfn.XLOOKUP(B49,'16'!$A:$A,'16'!$G:$G,"pipino il breve")</f>
        <v>107.59</v>
      </c>
      <c r="AA49">
        <f>_xlfn.XLOOKUP(B49,'16'!$A:$A,'16'!$G:$G,"pipino il breve")</f>
        <v>107.59</v>
      </c>
      <c r="AB49">
        <f>_xlfn.XLOOKUP(B49,'16'!$A:$A,'16'!$G:$G,"pipino il breve")</f>
        <v>107.59</v>
      </c>
      <c r="AC49">
        <f>_xlfn.XLOOKUP(B49,'19'!$A:$A,'19'!$G:$G,"pipino il breve")</f>
        <v>107.58</v>
      </c>
      <c r="AD49">
        <f>_xlfn.XLOOKUP(B49,'20'!$A:$A,'20'!$G:$G,"pipino il breve")</f>
        <v>107.56</v>
      </c>
      <c r="AE49">
        <f>_xlfn.XLOOKUP(B49,'21'!$A:$A,'21'!$G:$G,"pipino il breve")</f>
        <v>107.52</v>
      </c>
      <c r="AF49">
        <f>_xlfn.XLOOKUP(B49,'22'!$A:$A,'22'!$G:$G,"pipino il breve")</f>
        <v>107.5</v>
      </c>
      <c r="AG49">
        <f>_xlfn.XLOOKUP(B49,'23'!$A:$A,'23'!$G:$G,"pipino il breve")</f>
        <v>107.61</v>
      </c>
      <c r="AH49">
        <f>_xlfn.XLOOKUP(B49,'23'!$A:$A,'23'!$G:$G,"pipino il breve")</f>
        <v>107.61</v>
      </c>
      <c r="AI49">
        <f>_xlfn.XLOOKUP(B49,'23'!$A:$A,'23'!$G:$G,"pipino il breve")</f>
        <v>107.61</v>
      </c>
      <c r="AJ49">
        <f>_xlfn.XLOOKUP(B49,'26'!$A:$A,'26'!$G:$G,"pipino il breve")</f>
        <v>107.54</v>
      </c>
      <c r="AK49">
        <f>_xlfn.XLOOKUP(B49,'27'!$A:$A,'27'!$G:$G,"pipino il breve")</f>
        <v>107.52</v>
      </c>
    </row>
    <row r="50" spans="1:37" x14ac:dyDescent="0.2">
      <c r="A50">
        <v>49</v>
      </c>
      <c r="B50" s="2" t="s">
        <v>1</v>
      </c>
      <c r="C50" s="3">
        <v>3.25</v>
      </c>
      <c r="D50" s="2" t="s">
        <v>154</v>
      </c>
      <c r="E50" s="3">
        <v>110.92</v>
      </c>
      <c r="F50" s="3">
        <v>110.92</v>
      </c>
      <c r="G50" s="3">
        <v>110.92</v>
      </c>
      <c r="H50">
        <f>_xlfn.XLOOKUP(B50,'28'!$A:$A,'28'!$G:$G,"pipino il breve")</f>
        <v>110.91</v>
      </c>
      <c r="I50">
        <f>_xlfn.XLOOKUP(B50,'29'!$A:$A,'29'!$G:$G,"pipino il breve")</f>
        <v>110.87</v>
      </c>
      <c r="J50" s="11">
        <f>_xlfn.XLOOKUP(B50,'30'!$A:$A,'30'!$G:$G,"pipino il breve")</f>
        <v>110.91</v>
      </c>
      <c r="K50" s="3">
        <f>_xlfn.XLOOKUP(B50,'30'!$A:$A,'30'!$G:$G,"pipino il breve")</f>
        <v>110.91</v>
      </c>
      <c r="L50">
        <f>_xlfn.XLOOKUP(B50,'2'!$A:$A,'2'!$G:$G,"pipino il breve")</f>
        <v>110.75</v>
      </c>
      <c r="M50">
        <f>_xlfn.XLOOKUP(B50,'2'!$A:$A,'2'!$G:$G,"pipino il breve")</f>
        <v>110.75</v>
      </c>
      <c r="N50">
        <f>_xlfn.XLOOKUP(B50,'2'!$A:$A,'2'!$G:$G,"pipino il breve")</f>
        <v>110.75</v>
      </c>
      <c r="O50">
        <f>_xlfn.XLOOKUP(B50,'5'!$A:$A,'5'!$G:$G,"pipino il breve")</f>
        <v>110.79</v>
      </c>
      <c r="P50">
        <f>_xlfn.XLOOKUP(B50,'6'!$A:$A,'6'!$G:$G,"pipino il breve")</f>
        <v>110.77</v>
      </c>
      <c r="Q50">
        <f>_xlfn.XLOOKUP(B50,'7'!$A:$A,'7'!$G:$G,"pipino il breve")</f>
        <v>110.82</v>
      </c>
      <c r="R50">
        <f>_xlfn.XLOOKUP(B50,'8'!$A:$A,'8'!$G:$G,"pipino il breve")</f>
        <v>110.72</v>
      </c>
      <c r="S50">
        <f>_xlfn.XLOOKUP(B50,'9'!$A:$A,'9'!$G:$G,"pipino il breve")</f>
        <v>110.66</v>
      </c>
      <c r="T50">
        <f>_xlfn.XLOOKUP(B50,'9'!$A:$A,'9'!$G:$G,"pipino il breve")</f>
        <v>110.66</v>
      </c>
      <c r="U50">
        <f>_xlfn.XLOOKUP(B50,'9'!$A:$A,'9'!$G:$G,"pipino il breve")</f>
        <v>110.66</v>
      </c>
      <c r="V50">
        <f>_xlfn.XLOOKUP(B50,'12'!$A:$A,'12'!$G:$G,"pipino il breve")</f>
        <v>110.31</v>
      </c>
      <c r="W50">
        <f>_xlfn.XLOOKUP(B50,'13'!$A:$A,'13'!$G:$G,"pipino il breve")</f>
        <v>110.32</v>
      </c>
      <c r="X50">
        <f>_xlfn.XLOOKUP(B50,'14'!$A:$A,'14'!$G:$G,"pipino il breve")</f>
        <v>110.27</v>
      </c>
      <c r="Y50">
        <f>_xlfn.XLOOKUP(B50,'15'!$A:$A,'15'!$G:$G,"pipino il breve")</f>
        <v>110.37</v>
      </c>
      <c r="Z50">
        <f>_xlfn.XLOOKUP(B50,'16'!$A:$A,'16'!$G:$G,"pipino il breve")</f>
        <v>110.42</v>
      </c>
      <c r="AA50">
        <f>_xlfn.XLOOKUP(B50,'16'!$A:$A,'16'!$G:$G,"pipino il breve")</f>
        <v>110.42</v>
      </c>
      <c r="AB50">
        <f>_xlfn.XLOOKUP(B50,'16'!$A:$A,'16'!$G:$G,"pipino il breve")</f>
        <v>110.42</v>
      </c>
      <c r="AC50">
        <f>_xlfn.XLOOKUP(B50,'19'!$A:$A,'19'!$G:$G,"pipino il breve")</f>
        <v>110.46</v>
      </c>
      <c r="AD50">
        <f>_xlfn.XLOOKUP(B50,'20'!$A:$A,'20'!$G:$G,"pipino il breve")</f>
        <v>110.37</v>
      </c>
      <c r="AE50">
        <f>_xlfn.XLOOKUP(B50,'21'!$A:$A,'21'!$G:$G,"pipino il breve")</f>
        <v>110.3</v>
      </c>
      <c r="AF50">
        <f>_xlfn.XLOOKUP(B50,'22'!$A:$A,'22'!$G:$G,"pipino il breve")</f>
        <v>110.35</v>
      </c>
      <c r="AG50">
        <f>_xlfn.XLOOKUP(B50,'23'!$A:$A,'23'!$G:$G,"pipino il breve")</f>
        <v>110.45</v>
      </c>
      <c r="AH50">
        <f>_xlfn.XLOOKUP(B50,'23'!$A:$A,'23'!$G:$G,"pipino il breve")</f>
        <v>110.45</v>
      </c>
      <c r="AI50">
        <f>_xlfn.XLOOKUP(B50,'23'!$A:$A,'23'!$G:$G,"pipino il breve")</f>
        <v>110.45</v>
      </c>
      <c r="AJ50">
        <f>_xlfn.XLOOKUP(B50,'26'!$A:$A,'26'!$G:$G,"pipino il breve")</f>
        <v>110.45</v>
      </c>
      <c r="AK50">
        <f>_xlfn.XLOOKUP(B50,'27'!$A:$A,'27'!$G:$G,"pipino il breve")</f>
        <v>110.43</v>
      </c>
    </row>
    <row r="51" spans="1:37" x14ac:dyDescent="0.2">
      <c r="A51">
        <v>50</v>
      </c>
      <c r="B51" s="2" t="s">
        <v>2</v>
      </c>
      <c r="C51" s="3">
        <v>2.625</v>
      </c>
      <c r="D51" s="2" t="s">
        <v>155</v>
      </c>
      <c r="E51" s="3">
        <v>111.82</v>
      </c>
      <c r="F51" s="3">
        <v>111.82</v>
      </c>
      <c r="G51" s="3">
        <v>111.82</v>
      </c>
      <c r="H51">
        <f>_xlfn.XLOOKUP(B51,'28'!$A:$A,'28'!$G:$G,"pipino il breve")</f>
        <v>111.93</v>
      </c>
      <c r="I51">
        <f>_xlfn.XLOOKUP(B51,'29'!$A:$A,'29'!$G:$G,"pipino il breve")</f>
        <v>111.83</v>
      </c>
      <c r="J51" s="11">
        <f>_xlfn.XLOOKUP(B51,'30'!$A:$A,'30'!$G:$G,"pipino il breve")</f>
        <v>112</v>
      </c>
      <c r="K51" s="3">
        <f>_xlfn.XLOOKUP(B51,'30'!$A:$A,'30'!$G:$G,"pipino il breve")</f>
        <v>112</v>
      </c>
      <c r="L51">
        <f>_xlfn.XLOOKUP(B51,'2'!$A:$A,'2'!$G:$G,"pipino il breve")</f>
        <v>111.77</v>
      </c>
      <c r="M51">
        <f>_xlfn.XLOOKUP(B51,'2'!$A:$A,'2'!$G:$G,"pipino il breve")</f>
        <v>111.77</v>
      </c>
      <c r="N51">
        <f>_xlfn.XLOOKUP(B51,'2'!$A:$A,'2'!$G:$G,"pipino il breve")</f>
        <v>111.77</v>
      </c>
      <c r="O51">
        <f>_xlfn.XLOOKUP(B51,'5'!$A:$A,'5'!$G:$G,"pipino il breve")</f>
        <v>111.78</v>
      </c>
      <c r="P51">
        <f>_xlfn.XLOOKUP(B51,'6'!$A:$A,'6'!$G:$G,"pipino il breve")</f>
        <v>111.81</v>
      </c>
      <c r="Q51">
        <f>_xlfn.XLOOKUP(B51,'7'!$A:$A,'7'!$G:$G,"pipino il breve")</f>
        <v>112.13</v>
      </c>
      <c r="R51">
        <f>_xlfn.XLOOKUP(B51,'8'!$A:$A,'8'!$G:$G,"pipino il breve")</f>
        <v>111.87</v>
      </c>
      <c r="S51">
        <f>_xlfn.XLOOKUP(B51,'9'!$A:$A,'9'!$G:$G,"pipino il breve")</f>
        <v>111.69</v>
      </c>
      <c r="T51">
        <f>_xlfn.XLOOKUP(B51,'9'!$A:$A,'9'!$G:$G,"pipino il breve")</f>
        <v>111.69</v>
      </c>
      <c r="U51">
        <f>_xlfn.XLOOKUP(B51,'9'!$A:$A,'9'!$G:$G,"pipino il breve")</f>
        <v>111.69</v>
      </c>
      <c r="V51">
        <f>_xlfn.XLOOKUP(B51,'12'!$A:$A,'12'!$G:$G,"pipino il breve")</f>
        <v>111.3</v>
      </c>
      <c r="W51">
        <f>_xlfn.XLOOKUP(B51,'13'!$A:$A,'13'!$G:$G,"pipino il breve")</f>
        <v>111.22</v>
      </c>
      <c r="X51">
        <f>_xlfn.XLOOKUP(B51,'14'!$A:$A,'14'!$G:$G,"pipino il breve")</f>
        <v>111.19</v>
      </c>
      <c r="Y51">
        <f>_xlfn.XLOOKUP(B51,'15'!$A:$A,'15'!$G:$G,"pipino il breve")</f>
        <v>111.34</v>
      </c>
      <c r="Z51">
        <f>_xlfn.XLOOKUP(B51,'16'!$A:$A,'16'!$G:$G,"pipino il breve")</f>
        <v>111.6</v>
      </c>
      <c r="AA51">
        <f>_xlfn.XLOOKUP(B51,'16'!$A:$A,'16'!$G:$G,"pipino il breve")</f>
        <v>111.6</v>
      </c>
      <c r="AB51">
        <f>_xlfn.XLOOKUP(B51,'16'!$A:$A,'16'!$G:$G,"pipino il breve")</f>
        <v>111.6</v>
      </c>
      <c r="AC51">
        <f>_xlfn.XLOOKUP(B51,'19'!$A:$A,'19'!$G:$G,"pipino il breve")</f>
        <v>111.62</v>
      </c>
      <c r="AD51">
        <f>_xlfn.XLOOKUP(B51,'20'!$A:$A,'20'!$G:$G,"pipino il breve")</f>
        <v>111.54</v>
      </c>
      <c r="AE51">
        <f>_xlfn.XLOOKUP(B51,'21'!$A:$A,'21'!$G:$G,"pipino il breve")</f>
        <v>111.5</v>
      </c>
      <c r="AF51">
        <f>_xlfn.XLOOKUP(B51,'22'!$A:$A,'22'!$G:$G,"pipino il breve")</f>
        <v>111.5</v>
      </c>
      <c r="AG51">
        <f>_xlfn.XLOOKUP(B51,'23'!$A:$A,'23'!$G:$G,"pipino il breve")</f>
        <v>111.7</v>
      </c>
      <c r="AH51">
        <f>_xlfn.XLOOKUP(B51,'23'!$A:$A,'23'!$G:$G,"pipino il breve")</f>
        <v>111.7</v>
      </c>
      <c r="AI51">
        <f>_xlfn.XLOOKUP(B51,'23'!$A:$A,'23'!$G:$G,"pipino il breve")</f>
        <v>111.7</v>
      </c>
      <c r="AJ51">
        <f>_xlfn.XLOOKUP(B51,'26'!$A:$A,'26'!$G:$G,"pipino il breve")</f>
        <v>111.75</v>
      </c>
      <c r="AK51">
        <f>_xlfn.XLOOKUP(B51,'27'!$A:$A,'27'!$G:$G,"pipino il breve")</f>
        <v>111.79</v>
      </c>
    </row>
    <row r="52" spans="1:37" x14ac:dyDescent="0.2">
      <c r="A52">
        <v>51</v>
      </c>
      <c r="B52" s="2" t="s">
        <v>3</v>
      </c>
      <c r="C52" s="3">
        <v>3</v>
      </c>
      <c r="D52" s="2" t="s">
        <v>156</v>
      </c>
      <c r="E52" s="3">
        <v>117.52</v>
      </c>
      <c r="F52" s="3">
        <v>117.52</v>
      </c>
      <c r="G52" s="3">
        <v>117.52</v>
      </c>
      <c r="H52">
        <f>_xlfn.XLOOKUP(B52,'28'!$A:$A,'28'!$G:$G,"pipino il breve")</f>
        <v>117.51</v>
      </c>
      <c r="I52">
        <f>_xlfn.XLOOKUP(B52,'29'!$A:$A,'29'!$G:$G,"pipino il breve")</f>
        <v>117.53</v>
      </c>
      <c r="J52" s="11">
        <f>_xlfn.XLOOKUP(B52,'30'!$A:$A,'30'!$G:$G,"pipino il breve")</f>
        <v>117.65</v>
      </c>
      <c r="K52" s="3">
        <f>_xlfn.XLOOKUP(B52,'30'!$A:$A,'30'!$G:$G,"pipino il breve")</f>
        <v>117.65</v>
      </c>
      <c r="L52">
        <f>_xlfn.XLOOKUP(B52,'2'!$A:$A,'2'!$G:$G,"pipino il breve")</f>
        <v>117.37</v>
      </c>
      <c r="M52">
        <f>_xlfn.XLOOKUP(B52,'2'!$A:$A,'2'!$G:$G,"pipino il breve")</f>
        <v>117.37</v>
      </c>
      <c r="N52">
        <f>_xlfn.XLOOKUP(B52,'2'!$A:$A,'2'!$G:$G,"pipino il breve")</f>
        <v>117.37</v>
      </c>
      <c r="O52">
        <f>_xlfn.XLOOKUP(B52,'5'!$A:$A,'5'!$G:$G,"pipino il breve")</f>
        <v>117.38</v>
      </c>
      <c r="P52">
        <f>_xlfn.XLOOKUP(B52,'6'!$A:$A,'6'!$G:$G,"pipino il breve")</f>
        <v>117.38</v>
      </c>
      <c r="Q52">
        <f>_xlfn.XLOOKUP(B52,'7'!$A:$A,'7'!$G:$G,"pipino il breve")</f>
        <v>117.68</v>
      </c>
      <c r="R52">
        <f>_xlfn.XLOOKUP(B52,'8'!$A:$A,'8'!$G:$G,"pipino il breve")</f>
        <v>117.55</v>
      </c>
      <c r="S52">
        <f>_xlfn.XLOOKUP(B52,'9'!$A:$A,'9'!$G:$G,"pipino il breve")</f>
        <v>117.38</v>
      </c>
      <c r="T52">
        <f>_xlfn.XLOOKUP(B52,'9'!$A:$A,'9'!$G:$G,"pipino il breve")</f>
        <v>117.38</v>
      </c>
      <c r="U52">
        <f>_xlfn.XLOOKUP(B52,'9'!$A:$A,'9'!$G:$G,"pipino il breve")</f>
        <v>117.38</v>
      </c>
      <c r="V52">
        <f>_xlfn.XLOOKUP(B52,'12'!$A:$A,'12'!$G:$G,"pipino il breve")</f>
        <v>116.86</v>
      </c>
      <c r="W52">
        <f>_xlfn.XLOOKUP(B52,'13'!$A:$A,'13'!$G:$G,"pipino il breve")</f>
        <v>116.72</v>
      </c>
      <c r="X52">
        <f>_xlfn.XLOOKUP(B52,'14'!$A:$A,'14'!$G:$G,"pipino il breve")</f>
        <v>116.68</v>
      </c>
      <c r="Y52">
        <f>_xlfn.XLOOKUP(B52,'15'!$A:$A,'15'!$G:$G,"pipino il breve")</f>
        <v>117</v>
      </c>
      <c r="Z52">
        <f>_xlfn.XLOOKUP(B52,'16'!$A:$A,'16'!$G:$G,"pipino il breve")</f>
        <v>117.27</v>
      </c>
      <c r="AA52">
        <f>_xlfn.XLOOKUP(B52,'16'!$A:$A,'16'!$G:$G,"pipino il breve")</f>
        <v>117.27</v>
      </c>
      <c r="AB52">
        <f>_xlfn.XLOOKUP(B52,'16'!$A:$A,'16'!$G:$G,"pipino il breve")</f>
        <v>117.27</v>
      </c>
      <c r="AC52">
        <f>_xlfn.XLOOKUP(B52,'19'!$A:$A,'19'!$G:$G,"pipino il breve")</f>
        <v>117.31</v>
      </c>
      <c r="AD52">
        <f>_xlfn.XLOOKUP(B52,'20'!$A:$A,'20'!$G:$G,"pipino il breve")</f>
        <v>117.25</v>
      </c>
      <c r="AE52">
        <f>_xlfn.XLOOKUP(B52,'21'!$A:$A,'21'!$G:$G,"pipino il breve")</f>
        <v>117.12</v>
      </c>
      <c r="AF52">
        <f>_xlfn.XLOOKUP(B52,'22'!$A:$A,'22'!$G:$G,"pipino il breve")</f>
        <v>117.07</v>
      </c>
      <c r="AG52">
        <f>_xlfn.XLOOKUP(B52,'23'!$A:$A,'23'!$G:$G,"pipino il breve")</f>
        <v>117.39</v>
      </c>
      <c r="AH52">
        <f>_xlfn.XLOOKUP(B52,'23'!$A:$A,'23'!$G:$G,"pipino il breve")</f>
        <v>117.39</v>
      </c>
      <c r="AI52">
        <f>_xlfn.XLOOKUP(B52,'23'!$A:$A,'23'!$G:$G,"pipino il breve")</f>
        <v>117.39</v>
      </c>
      <c r="AJ52">
        <f>_xlfn.XLOOKUP(B52,'26'!$A:$A,'26'!$G:$G,"pipino il breve")</f>
        <v>117.5</v>
      </c>
      <c r="AK52">
        <f>_xlfn.XLOOKUP(B52,'27'!$A:$A,'27'!$G:$G,"pipino il breve")</f>
        <v>117.54</v>
      </c>
    </row>
    <row r="53" spans="1:37" x14ac:dyDescent="0.2">
      <c r="A53">
        <v>52</v>
      </c>
      <c r="B53" s="2" t="s">
        <v>14</v>
      </c>
      <c r="C53" s="3">
        <v>0.75</v>
      </c>
      <c r="D53" s="2" t="s">
        <v>157</v>
      </c>
      <c r="E53" s="3">
        <v>99.933999999999997</v>
      </c>
      <c r="F53" s="3">
        <v>99.933999999999997</v>
      </c>
      <c r="G53" s="3">
        <v>99.933999999999997</v>
      </c>
      <c r="H53">
        <f>_xlfn.XLOOKUP(B53,'28'!$A:$A,'28'!$G:$G,"pipino il breve")</f>
        <v>99.938999999999993</v>
      </c>
      <c r="I53">
        <f>_xlfn.XLOOKUP(B53,'29'!$A:$A,'29'!$G:$G,"pipino il breve")</f>
        <v>99.936000000000007</v>
      </c>
      <c r="J53" s="11">
        <f>_xlfn.XLOOKUP(B53,'30'!$A:$A,'30'!$G:$G,"pipino il breve")</f>
        <v>99.930999999999997</v>
      </c>
      <c r="K53" s="3">
        <f>_xlfn.XLOOKUP(B53,'30'!$A:$A,'30'!$G:$G,"pipino il breve")</f>
        <v>99.930999999999997</v>
      </c>
      <c r="L53">
        <f>_xlfn.XLOOKUP(B53,'2'!$A:$A,'2'!$G:$G,"pipino il breve")</f>
        <v>99.941000000000003</v>
      </c>
      <c r="M53">
        <f>_xlfn.XLOOKUP(B53,'2'!$A:$A,'2'!$G:$G,"pipino il breve")</f>
        <v>99.941000000000003</v>
      </c>
      <c r="N53">
        <f>_xlfn.XLOOKUP(B53,'2'!$A:$A,'2'!$G:$G,"pipino il breve")</f>
        <v>99.941000000000003</v>
      </c>
      <c r="O53">
        <f>_xlfn.XLOOKUP(B53,'5'!$A:$A,'5'!$G:$G,"pipino il breve")</f>
        <v>99.941000000000003</v>
      </c>
      <c r="P53">
        <f>_xlfn.XLOOKUP(B53,'6'!$A:$A,'6'!$G:$G,"pipino il breve")</f>
        <v>99.951999999999998</v>
      </c>
      <c r="Q53">
        <f>_xlfn.XLOOKUP(B53,'7'!$A:$A,'7'!$G:$G,"pipino il breve")</f>
        <v>99.959000000000003</v>
      </c>
      <c r="R53">
        <f>_xlfn.XLOOKUP(B53,'8'!$A:$A,'8'!$G:$G,"pipino il breve")</f>
        <v>99.957999999999998</v>
      </c>
      <c r="S53">
        <f>_xlfn.XLOOKUP(B53,'9'!$A:$A,'9'!$G:$G,"pipino il breve")</f>
        <v>99.959000000000003</v>
      </c>
      <c r="T53">
        <f>_xlfn.XLOOKUP(B53,'9'!$A:$A,'9'!$G:$G,"pipino il breve")</f>
        <v>99.959000000000003</v>
      </c>
      <c r="U53">
        <f>_xlfn.XLOOKUP(B53,'9'!$A:$A,'9'!$G:$G,"pipino il breve")</f>
        <v>99.959000000000003</v>
      </c>
      <c r="V53">
        <f>_xlfn.XLOOKUP(B53,'12'!$A:$A,'12'!$G:$G,"pipino il breve")</f>
        <v>99.968999999999994</v>
      </c>
      <c r="W53">
        <f>_xlfn.XLOOKUP(B53,'13'!$A:$A,'13'!$G:$G,"pipino il breve")</f>
        <v>99.971000000000004</v>
      </c>
      <c r="X53">
        <f>_xlfn.XLOOKUP(B53,'14'!$A:$A,'14'!$G:$G,"pipino il breve")</f>
        <v>99.965000000000003</v>
      </c>
      <c r="Y53">
        <f>_xlfn.XLOOKUP(B53,'15'!$A:$A,'15'!$G:$G,"pipino il breve")</f>
        <v>99.97</v>
      </c>
      <c r="Z53">
        <f>_xlfn.XLOOKUP(B53,'16'!$A:$A,'16'!$G:$G,"pipino il breve")</f>
        <v>99.975999999999999</v>
      </c>
      <c r="AA53">
        <f>_xlfn.XLOOKUP(B53,'16'!$A:$A,'16'!$G:$G,"pipino il breve")</f>
        <v>99.975999999999999</v>
      </c>
      <c r="AB53">
        <f>_xlfn.XLOOKUP(B53,'16'!$A:$A,'16'!$G:$G,"pipino il breve")</f>
        <v>99.975999999999999</v>
      </c>
      <c r="AC53">
        <f>_xlfn.XLOOKUP(B53,'19'!$A:$A,'19'!$G:$G,"pipino il breve")</f>
        <v>99.971000000000004</v>
      </c>
      <c r="AD53">
        <f>_xlfn.XLOOKUP(B53,'20'!$A:$A,'20'!$G:$G,"pipino il breve")</f>
        <v>99.974999999999994</v>
      </c>
      <c r="AE53">
        <f>_xlfn.XLOOKUP(B53,'21'!$A:$A,'21'!$G:$G,"pipino il breve")</f>
        <v>99.974000000000004</v>
      </c>
      <c r="AF53">
        <f>_xlfn.XLOOKUP(B53,'22'!$A:$A,'22'!$G:$G,"pipino il breve")</f>
        <v>99.988</v>
      </c>
      <c r="AG53">
        <f>_xlfn.XLOOKUP(B53,'23'!$A:$A,'23'!$G:$G,"pipino il breve")</f>
        <v>100.005</v>
      </c>
      <c r="AH53">
        <f>_xlfn.XLOOKUP(B53,'23'!$A:$A,'23'!$G:$G,"pipino il breve")</f>
        <v>100.005</v>
      </c>
      <c r="AI53">
        <f>_xlfn.XLOOKUP(B53,'23'!$A:$A,'23'!$G:$G,"pipino il breve")</f>
        <v>100.005</v>
      </c>
      <c r="AJ53">
        <f>_xlfn.XLOOKUP(B53,'26'!$A:$A,'26'!$G:$G,"pipino il breve")</f>
        <v>100.002</v>
      </c>
      <c r="AK53">
        <f>_xlfn.XLOOKUP(B53,'27'!$A:$A,'27'!$G:$G,"pipino il breve")</f>
        <v>99.989000000000004</v>
      </c>
    </row>
    <row r="54" spans="1:37" x14ac:dyDescent="0.2">
      <c r="A54">
        <v>53</v>
      </c>
      <c r="B54" s="2" t="s">
        <v>39</v>
      </c>
      <c r="C54" s="3">
        <v>0.47499999999999998</v>
      </c>
      <c r="D54" s="2" t="s">
        <v>158</v>
      </c>
      <c r="E54" s="3">
        <v>91.55</v>
      </c>
      <c r="F54" s="3">
        <v>91.55</v>
      </c>
      <c r="G54" s="3">
        <v>91.55</v>
      </c>
      <c r="H54">
        <f>_xlfn.XLOOKUP(B54,'28'!$A:$A,'28'!$G:$G,"pipino il breve")</f>
        <v>91.54</v>
      </c>
      <c r="I54">
        <f>_xlfn.XLOOKUP(B54,'29'!$A:$A,'29'!$G:$G,"pipino il breve")</f>
        <v>91.57</v>
      </c>
      <c r="J54" s="11">
        <f>_xlfn.XLOOKUP(B54,'30'!$A:$A,'30'!$G:$G,"pipino il breve")</f>
        <v>91.71</v>
      </c>
      <c r="K54" s="3">
        <f>_xlfn.XLOOKUP(B54,'30'!$A:$A,'30'!$G:$G,"pipino il breve")</f>
        <v>91.71</v>
      </c>
      <c r="L54">
        <f>_xlfn.XLOOKUP(B54,'2'!$A:$A,'2'!$G:$G,"pipino il breve")</f>
        <v>91.48</v>
      </c>
      <c r="M54">
        <f>_xlfn.XLOOKUP(B54,'2'!$A:$A,'2'!$G:$G,"pipino il breve")</f>
        <v>91.48</v>
      </c>
      <c r="N54">
        <f>_xlfn.XLOOKUP(B54,'2'!$A:$A,'2'!$G:$G,"pipino il breve")</f>
        <v>91.48</v>
      </c>
      <c r="O54">
        <f>_xlfn.XLOOKUP(B54,'5'!$A:$A,'5'!$G:$G,"pipino il breve")</f>
        <v>91.51</v>
      </c>
      <c r="P54">
        <f>_xlfn.XLOOKUP(B54,'6'!$A:$A,'6'!$G:$G,"pipino il breve")</f>
        <v>91.53</v>
      </c>
      <c r="Q54">
        <f>_xlfn.XLOOKUP(B54,'7'!$A:$A,'7'!$G:$G,"pipino il breve")</f>
        <v>91.76</v>
      </c>
      <c r="R54">
        <f>_xlfn.XLOOKUP(B54,'8'!$A:$A,'8'!$G:$G,"pipino il breve")</f>
        <v>91.68</v>
      </c>
      <c r="S54">
        <f>_xlfn.XLOOKUP(B54,'9'!$A:$A,'9'!$G:$G,"pipino il breve")</f>
        <v>91.55</v>
      </c>
      <c r="T54">
        <f>_xlfn.XLOOKUP(B54,'9'!$A:$A,'9'!$G:$G,"pipino il breve")</f>
        <v>91.55</v>
      </c>
      <c r="U54">
        <f>_xlfn.XLOOKUP(B54,'9'!$A:$A,'9'!$G:$G,"pipino il breve")</f>
        <v>91.55</v>
      </c>
      <c r="V54">
        <f>_xlfn.XLOOKUP(B54,'12'!$A:$A,'12'!$G:$G,"pipino il breve")</f>
        <v>91.09</v>
      </c>
      <c r="W54">
        <f>_xlfn.XLOOKUP(B54,'13'!$A:$A,'13'!$G:$G,"pipino il breve")</f>
        <v>91.07</v>
      </c>
      <c r="X54">
        <f>_xlfn.XLOOKUP(B54,'14'!$A:$A,'14'!$G:$G,"pipino il breve")</f>
        <v>90.96</v>
      </c>
      <c r="Y54">
        <f>_xlfn.XLOOKUP(B54,'15'!$A:$A,'15'!$G:$G,"pipino il breve")</f>
        <v>91.25</v>
      </c>
      <c r="Z54">
        <f>_xlfn.XLOOKUP(B54,'16'!$A:$A,'16'!$G:$G,"pipino il breve")</f>
        <v>91.48</v>
      </c>
      <c r="AA54">
        <f>_xlfn.XLOOKUP(B54,'16'!$A:$A,'16'!$G:$G,"pipino il breve")</f>
        <v>91.48</v>
      </c>
      <c r="AB54">
        <f>_xlfn.XLOOKUP(B54,'16'!$A:$A,'16'!$G:$G,"pipino il breve")</f>
        <v>91.48</v>
      </c>
      <c r="AC54">
        <f>_xlfn.XLOOKUP(B54,'19'!$A:$A,'19'!$G:$G,"pipino il breve")</f>
        <v>91.54</v>
      </c>
      <c r="AD54">
        <f>_xlfn.XLOOKUP(B54,'20'!$A:$A,'20'!$G:$G,"pipino il breve")</f>
        <v>91.53</v>
      </c>
      <c r="AE54">
        <f>_xlfn.XLOOKUP(B54,'21'!$A:$A,'21'!$G:$G,"pipino il breve")</f>
        <v>91.37</v>
      </c>
      <c r="AF54">
        <f>_xlfn.XLOOKUP(B54,'22'!$A:$A,'22'!$G:$G,"pipino il breve")</f>
        <v>91.4</v>
      </c>
      <c r="AG54">
        <f>_xlfn.XLOOKUP(B54,'23'!$A:$A,'23'!$G:$G,"pipino il breve")</f>
        <v>91.64</v>
      </c>
      <c r="AH54">
        <f>_xlfn.XLOOKUP(B54,'23'!$A:$A,'23'!$G:$G,"pipino il breve")</f>
        <v>91.64</v>
      </c>
      <c r="AI54">
        <f>_xlfn.XLOOKUP(B54,'23'!$A:$A,'23'!$G:$G,"pipino il breve")</f>
        <v>91.64</v>
      </c>
      <c r="AJ54">
        <f>_xlfn.XLOOKUP(B54,'26'!$A:$A,'26'!$G:$G,"pipino il breve")</f>
        <v>91.67</v>
      </c>
      <c r="AK54">
        <f>_xlfn.XLOOKUP(B54,'27'!$A:$A,'27'!$G:$G,"pipino il breve")</f>
        <v>91.74</v>
      </c>
    </row>
    <row r="55" spans="1:37" x14ac:dyDescent="0.2">
      <c r="A55">
        <v>54</v>
      </c>
      <c r="B55" s="2" t="s">
        <v>72</v>
      </c>
      <c r="C55" s="3">
        <v>2.1749999999999998</v>
      </c>
      <c r="D55" s="2" t="s">
        <v>159</v>
      </c>
      <c r="E55" s="3">
        <v>107.71</v>
      </c>
      <c r="F55" s="3">
        <v>107.71</v>
      </c>
      <c r="G55" s="3">
        <v>107.71</v>
      </c>
      <c r="H55">
        <f>_xlfn.XLOOKUP(B55,'28'!$A:$A,'28'!$G:$G,"pipino il breve")</f>
        <v>107.61</v>
      </c>
      <c r="I55">
        <f>_xlfn.XLOOKUP(B55,'29'!$A:$A,'29'!$G:$G,"pipino il breve")</f>
        <v>107.6</v>
      </c>
      <c r="J55" s="11">
        <f>_xlfn.XLOOKUP(B55,'30'!$A:$A,'30'!$G:$G,"pipino il breve")</f>
        <v>107.92</v>
      </c>
      <c r="K55" s="3">
        <f>_xlfn.XLOOKUP(B55,'30'!$A:$A,'30'!$G:$G,"pipino il breve")</f>
        <v>107.92</v>
      </c>
      <c r="L55">
        <f>_xlfn.XLOOKUP(B55,'2'!$A:$A,'2'!$G:$G,"pipino il breve")</f>
        <v>107.48</v>
      </c>
      <c r="M55">
        <f>_xlfn.XLOOKUP(B55,'2'!$A:$A,'2'!$G:$G,"pipino il breve")</f>
        <v>107.48</v>
      </c>
      <c r="N55">
        <f>_xlfn.XLOOKUP(B55,'2'!$A:$A,'2'!$G:$G,"pipino il breve")</f>
        <v>107.48</v>
      </c>
      <c r="O55">
        <f>_xlfn.XLOOKUP(B55,'5'!$A:$A,'5'!$G:$G,"pipino il breve")</f>
        <v>107.58</v>
      </c>
      <c r="P55">
        <f>_xlfn.XLOOKUP(B55,'6'!$A:$A,'6'!$G:$G,"pipino il breve")</f>
        <v>107.53</v>
      </c>
      <c r="Q55">
        <f>_xlfn.XLOOKUP(B55,'7'!$A:$A,'7'!$G:$G,"pipino il breve")</f>
        <v>108</v>
      </c>
      <c r="R55">
        <f>_xlfn.XLOOKUP(B55,'8'!$A:$A,'8'!$G:$G,"pipino il breve")</f>
        <v>107.88</v>
      </c>
      <c r="S55">
        <f>_xlfn.XLOOKUP(B55,'9'!$A:$A,'9'!$G:$G,"pipino il breve")</f>
        <v>107.59</v>
      </c>
      <c r="T55">
        <f>_xlfn.XLOOKUP(B55,'9'!$A:$A,'9'!$G:$G,"pipino il breve")</f>
        <v>107.59</v>
      </c>
      <c r="U55">
        <f>_xlfn.XLOOKUP(B55,'9'!$A:$A,'9'!$G:$G,"pipino il breve")</f>
        <v>107.59</v>
      </c>
      <c r="V55">
        <f>_xlfn.XLOOKUP(B55,'12'!$A:$A,'12'!$G:$G,"pipino il breve")</f>
        <v>107.07</v>
      </c>
      <c r="W55">
        <f>_xlfn.XLOOKUP(B55,'13'!$A:$A,'13'!$G:$G,"pipino il breve")</f>
        <v>107</v>
      </c>
      <c r="X55">
        <f>_xlfn.XLOOKUP(B55,'14'!$A:$A,'14'!$G:$G,"pipino il breve")</f>
        <v>106.91</v>
      </c>
      <c r="Y55">
        <f>_xlfn.XLOOKUP(B55,'15'!$A:$A,'15'!$G:$G,"pipino il breve")</f>
        <v>107.26</v>
      </c>
      <c r="Z55">
        <f>_xlfn.XLOOKUP(B55,'16'!$A:$A,'16'!$G:$G,"pipino il breve")</f>
        <v>107.61</v>
      </c>
      <c r="AA55">
        <f>_xlfn.XLOOKUP(B55,'16'!$A:$A,'16'!$G:$G,"pipino il breve")</f>
        <v>107.61</v>
      </c>
      <c r="AB55">
        <f>_xlfn.XLOOKUP(B55,'16'!$A:$A,'16'!$G:$G,"pipino il breve")</f>
        <v>107.61</v>
      </c>
      <c r="AC55">
        <f>_xlfn.XLOOKUP(B55,'19'!$A:$A,'19'!$G:$G,"pipino il breve")</f>
        <v>107.67</v>
      </c>
      <c r="AD55">
        <f>_xlfn.XLOOKUP(B55,'20'!$A:$A,'20'!$G:$G,"pipino il breve")</f>
        <v>107.52</v>
      </c>
      <c r="AE55">
        <f>_xlfn.XLOOKUP(B55,'21'!$A:$A,'21'!$G:$G,"pipino il breve")</f>
        <v>107.36</v>
      </c>
      <c r="AF55">
        <f>_xlfn.XLOOKUP(B55,'22'!$A:$A,'22'!$G:$G,"pipino il breve")</f>
        <v>107.23</v>
      </c>
      <c r="AG55">
        <f>_xlfn.XLOOKUP(B55,'23'!$A:$A,'23'!$G:$G,"pipino il breve")</f>
        <v>107.63</v>
      </c>
      <c r="AH55">
        <f>_xlfn.XLOOKUP(B55,'23'!$A:$A,'23'!$G:$G,"pipino il breve")</f>
        <v>107.63</v>
      </c>
      <c r="AI55">
        <f>_xlfn.XLOOKUP(B55,'23'!$A:$A,'23'!$G:$G,"pipino il breve")</f>
        <v>107.63</v>
      </c>
      <c r="AJ55">
        <f>_xlfn.XLOOKUP(B55,'26'!$A:$A,'26'!$G:$G,"pipino il breve")</f>
        <v>107.97</v>
      </c>
      <c r="AK55">
        <f>_xlfn.XLOOKUP(B55,'27'!$A:$A,'27'!$G:$G,"pipino il breve")</f>
        <v>108.12</v>
      </c>
    </row>
    <row r="56" spans="1:37" x14ac:dyDescent="0.2">
      <c r="A56">
        <v>55</v>
      </c>
      <c r="B56" s="2" t="s">
        <v>160</v>
      </c>
      <c r="C56" s="3">
        <v>1.4951000000000001</v>
      </c>
      <c r="D56" s="2" t="s">
        <v>161</v>
      </c>
      <c r="E56" s="3">
        <v>100.24</v>
      </c>
      <c r="F56" s="3">
        <v>100.24</v>
      </c>
      <c r="G56" s="3">
        <v>100.24</v>
      </c>
      <c r="H56">
        <f>_xlfn.XLOOKUP(B56,'28'!$A:$A,'28'!$G:$G,"pipino il breve")</f>
        <v>100.24</v>
      </c>
      <c r="I56">
        <f>_xlfn.XLOOKUP(B56,'29'!$A:$A,'29'!$G:$G,"pipino il breve")</f>
        <v>100.24</v>
      </c>
      <c r="J56" s="11">
        <f>_xlfn.XLOOKUP(B56,'30'!$A:$A,'30'!$G:$G,"pipino il breve")</f>
        <v>100.24</v>
      </c>
      <c r="K56" s="3">
        <f>_xlfn.XLOOKUP(B56,'30'!$A:$A,'30'!$G:$G,"pipino il breve")</f>
        <v>100.24</v>
      </c>
      <c r="L56">
        <f>_xlfn.XLOOKUP(B56,'2'!$A:$A,'2'!$G:$G,"pipino il breve")</f>
        <v>99.82</v>
      </c>
      <c r="M56">
        <f>_xlfn.XLOOKUP(B56,'2'!$A:$A,'2'!$G:$G,"pipino il breve")</f>
        <v>99.82</v>
      </c>
      <c r="N56">
        <f>_xlfn.XLOOKUP(B56,'2'!$A:$A,'2'!$G:$G,"pipino il breve")</f>
        <v>99.82</v>
      </c>
      <c r="O56">
        <f>_xlfn.XLOOKUP(B56,'5'!$A:$A,'5'!$G:$G,"pipino il breve")</f>
        <v>100.04</v>
      </c>
      <c r="P56">
        <f>_xlfn.XLOOKUP(B56,'6'!$A:$A,'6'!$G:$G,"pipino il breve")</f>
        <v>99.87</v>
      </c>
      <c r="Q56">
        <f>_xlfn.XLOOKUP(B56,'7'!$A:$A,'7'!$G:$G,"pipino il breve")</f>
        <v>100.4</v>
      </c>
      <c r="R56">
        <f>_xlfn.XLOOKUP(B56,'8'!$A:$A,'8'!$G:$G,"pipino il breve")</f>
        <v>100.31</v>
      </c>
      <c r="S56">
        <f>_xlfn.XLOOKUP(B56,'9'!$A:$A,'9'!$G:$G,"pipino il breve")</f>
        <v>99.99</v>
      </c>
      <c r="T56">
        <f>_xlfn.XLOOKUP(B56,'9'!$A:$A,'9'!$G:$G,"pipino il breve")</f>
        <v>99.99</v>
      </c>
      <c r="U56">
        <f>_xlfn.XLOOKUP(B56,'9'!$A:$A,'9'!$G:$G,"pipino il breve")</f>
        <v>99.99</v>
      </c>
      <c r="V56">
        <f>_xlfn.XLOOKUP(B56,'12'!$A:$A,'12'!$G:$G,"pipino il breve")</f>
        <v>99.45</v>
      </c>
      <c r="W56">
        <f>_xlfn.XLOOKUP(B56,'13'!$A:$A,'13'!$G:$G,"pipino il breve")</f>
        <v>99.26</v>
      </c>
      <c r="X56">
        <f>_xlfn.XLOOKUP(B56,'14'!$A:$A,'14'!$G:$G,"pipino il breve")</f>
        <v>99.17</v>
      </c>
      <c r="Y56">
        <f>_xlfn.XLOOKUP(B56,'15'!$A:$A,'15'!$G:$G,"pipino il breve")</f>
        <v>99.73</v>
      </c>
      <c r="Z56">
        <f>_xlfn.XLOOKUP(B56,'16'!$A:$A,'16'!$G:$G,"pipino il breve")</f>
        <v>100.07</v>
      </c>
      <c r="AA56">
        <f>_xlfn.XLOOKUP(B56,'16'!$A:$A,'16'!$G:$G,"pipino il breve")</f>
        <v>100.07</v>
      </c>
      <c r="AB56">
        <f>_xlfn.XLOOKUP(B56,'16'!$A:$A,'16'!$G:$G,"pipino il breve")</f>
        <v>100.07</v>
      </c>
      <c r="AC56">
        <f>_xlfn.XLOOKUP(B56,'19'!$A:$A,'19'!$G:$G,"pipino il breve")</f>
        <v>100.13</v>
      </c>
      <c r="AD56">
        <f>_xlfn.XLOOKUP(B56,'20'!$A:$A,'20'!$G:$G,"pipino il breve")</f>
        <v>99.97</v>
      </c>
      <c r="AE56">
        <f>_xlfn.XLOOKUP(B56,'21'!$A:$A,'21'!$G:$G,"pipino il breve")</f>
        <v>99.79</v>
      </c>
      <c r="AF56">
        <f>_xlfn.XLOOKUP(B56,'22'!$A:$A,'22'!$G:$G,"pipino il breve")</f>
        <v>99.65</v>
      </c>
      <c r="AG56">
        <f>_xlfn.XLOOKUP(B56,'23'!$A:$A,'23'!$G:$G,"pipino il breve")</f>
        <v>100.07</v>
      </c>
      <c r="AH56">
        <f>_xlfn.XLOOKUP(B56,'23'!$A:$A,'23'!$G:$G,"pipino il breve")</f>
        <v>100.07</v>
      </c>
      <c r="AI56">
        <f>_xlfn.XLOOKUP(B56,'23'!$A:$A,'23'!$G:$G,"pipino il breve")</f>
        <v>100.07</v>
      </c>
      <c r="AJ56">
        <f>_xlfn.XLOOKUP(B56,'26'!$A:$A,'26'!$G:$G,"pipino il breve")</f>
        <v>100.42</v>
      </c>
      <c r="AK56">
        <f>_xlfn.XLOOKUP(B56,'27'!$A:$A,'27'!$G:$G,"pipino il breve")</f>
        <v>100.65</v>
      </c>
    </row>
    <row r="57" spans="1:37" x14ac:dyDescent="0.2">
      <c r="A57">
        <v>56</v>
      </c>
      <c r="B57" s="2" t="s">
        <v>93</v>
      </c>
      <c r="C57" s="3">
        <v>1.5</v>
      </c>
      <c r="D57" s="2" t="s">
        <v>162</v>
      </c>
      <c r="E57" s="3">
        <v>101.88</v>
      </c>
      <c r="F57" s="3">
        <v>101.88</v>
      </c>
      <c r="G57" s="3">
        <v>101.88</v>
      </c>
      <c r="H57">
        <f>_xlfn.XLOOKUP(B57,'28'!$A:$A,'28'!$G:$G,"pipino il breve")</f>
        <v>101.87</v>
      </c>
      <c r="I57">
        <f>_xlfn.XLOOKUP(B57,'29'!$A:$A,'29'!$G:$G,"pipino il breve")</f>
        <v>101.85</v>
      </c>
      <c r="J57" s="11">
        <f>_xlfn.XLOOKUP(B57,'30'!$A:$A,'30'!$G:$G,"pipino il breve")</f>
        <v>102.04</v>
      </c>
      <c r="K57" s="3">
        <f>_xlfn.XLOOKUP(B57,'30'!$A:$A,'30'!$G:$G,"pipino il breve")</f>
        <v>102.04</v>
      </c>
      <c r="L57">
        <f>_xlfn.XLOOKUP(B57,'2'!$A:$A,'2'!$G:$G,"pipino il breve")</f>
        <v>101.81</v>
      </c>
      <c r="M57">
        <f>_xlfn.XLOOKUP(B57,'2'!$A:$A,'2'!$G:$G,"pipino il breve")</f>
        <v>101.81</v>
      </c>
      <c r="N57">
        <f>_xlfn.XLOOKUP(B57,'2'!$A:$A,'2'!$G:$G,"pipino il breve")</f>
        <v>101.81</v>
      </c>
      <c r="O57">
        <f>_xlfn.XLOOKUP(B57,'5'!$A:$A,'5'!$G:$G,"pipino il breve")</f>
        <v>101.87</v>
      </c>
      <c r="P57">
        <f>_xlfn.XLOOKUP(B57,'6'!$A:$A,'6'!$G:$G,"pipino il breve")</f>
        <v>101.82</v>
      </c>
      <c r="Q57">
        <f>_xlfn.XLOOKUP(B57,'7'!$A:$A,'7'!$G:$G,"pipino il breve")</f>
        <v>101.96</v>
      </c>
      <c r="R57">
        <f>_xlfn.XLOOKUP(B57,'8'!$A:$A,'8'!$G:$G,"pipino il breve")</f>
        <v>101.94</v>
      </c>
      <c r="S57">
        <f>_xlfn.XLOOKUP(B57,'9'!$A:$A,'9'!$G:$G,"pipino il breve")</f>
        <v>101.81</v>
      </c>
      <c r="T57">
        <f>_xlfn.XLOOKUP(B57,'9'!$A:$A,'9'!$G:$G,"pipino il breve")</f>
        <v>101.81</v>
      </c>
      <c r="U57">
        <f>_xlfn.XLOOKUP(B57,'9'!$A:$A,'9'!$G:$G,"pipino il breve")</f>
        <v>101.81</v>
      </c>
      <c r="V57">
        <f>_xlfn.XLOOKUP(B57,'12'!$A:$A,'12'!$G:$G,"pipino il breve")</f>
        <v>101.38</v>
      </c>
      <c r="W57">
        <f>_xlfn.XLOOKUP(B57,'13'!$A:$A,'13'!$G:$G,"pipino il breve")</f>
        <v>101.32</v>
      </c>
      <c r="X57">
        <f>_xlfn.XLOOKUP(B57,'14'!$A:$A,'14'!$G:$G,"pipino il breve")</f>
        <v>101.27</v>
      </c>
      <c r="Y57">
        <f>_xlfn.XLOOKUP(B57,'15'!$A:$A,'15'!$G:$G,"pipino il breve")</f>
        <v>101.52</v>
      </c>
      <c r="Z57">
        <f>_xlfn.XLOOKUP(B57,'16'!$A:$A,'16'!$G:$G,"pipino il breve")</f>
        <v>101.68</v>
      </c>
      <c r="AA57">
        <f>_xlfn.XLOOKUP(B57,'16'!$A:$A,'16'!$G:$G,"pipino il breve")</f>
        <v>101.68</v>
      </c>
      <c r="AB57">
        <f>_xlfn.XLOOKUP(B57,'16'!$A:$A,'16'!$G:$G,"pipino il breve")</f>
        <v>101.68</v>
      </c>
      <c r="AC57">
        <f>_xlfn.XLOOKUP(B57,'19'!$A:$A,'19'!$G:$G,"pipino il breve")</f>
        <v>101.75</v>
      </c>
      <c r="AD57">
        <f>_xlfn.XLOOKUP(B57,'20'!$A:$A,'20'!$G:$G,"pipino il breve")</f>
        <v>101.75</v>
      </c>
      <c r="AE57">
        <f>_xlfn.XLOOKUP(B57,'21'!$A:$A,'21'!$G:$G,"pipino il breve")</f>
        <v>101.62</v>
      </c>
      <c r="AF57">
        <f>_xlfn.XLOOKUP(B57,'22'!$A:$A,'22'!$G:$G,"pipino il breve")</f>
        <v>101.61</v>
      </c>
      <c r="AG57">
        <f>_xlfn.XLOOKUP(B57,'23'!$A:$A,'23'!$G:$G,"pipino il breve")</f>
        <v>101.82</v>
      </c>
      <c r="AH57">
        <f>_xlfn.XLOOKUP(B57,'23'!$A:$A,'23'!$G:$G,"pipino il breve")</f>
        <v>101.82</v>
      </c>
      <c r="AI57">
        <f>_xlfn.XLOOKUP(B57,'23'!$A:$A,'23'!$G:$G,"pipino il breve")</f>
        <v>101.82</v>
      </c>
      <c r="AJ57">
        <f>_xlfn.XLOOKUP(B57,'26'!$A:$A,'26'!$G:$G,"pipino il breve")</f>
        <v>101.89</v>
      </c>
      <c r="AK57">
        <f>_xlfn.XLOOKUP(B57,'27'!$A:$A,'27'!$G:$G,"pipino il breve")</f>
        <v>101.9</v>
      </c>
    </row>
    <row r="58" spans="1:37" x14ac:dyDescent="0.2">
      <c r="A58">
        <v>57</v>
      </c>
      <c r="B58" s="2" t="s">
        <v>80</v>
      </c>
      <c r="C58" s="3">
        <v>2.0499999999999998</v>
      </c>
      <c r="D58" s="2" t="s">
        <v>163</v>
      </c>
      <c r="E58" s="3">
        <v>106.15</v>
      </c>
      <c r="F58" s="3">
        <v>106.15</v>
      </c>
      <c r="G58" s="3">
        <v>106.15</v>
      </c>
      <c r="H58">
        <f>_xlfn.XLOOKUP(B58,'28'!$A:$A,'28'!$G:$G,"pipino il breve")</f>
        <v>106.21</v>
      </c>
      <c r="I58">
        <f>_xlfn.XLOOKUP(B58,'29'!$A:$A,'29'!$G:$G,"pipino il breve")</f>
        <v>106.13</v>
      </c>
      <c r="J58" s="11">
        <f>_xlfn.XLOOKUP(B58,'30'!$A:$A,'30'!$G:$G,"pipino il breve")</f>
        <v>106.2</v>
      </c>
      <c r="K58" s="3">
        <f>_xlfn.XLOOKUP(B58,'30'!$A:$A,'30'!$G:$G,"pipino il breve")</f>
        <v>106.2</v>
      </c>
      <c r="L58">
        <f>_xlfn.XLOOKUP(B58,'2'!$A:$A,'2'!$G:$G,"pipino il breve")</f>
        <v>106.06</v>
      </c>
      <c r="M58">
        <f>_xlfn.XLOOKUP(B58,'2'!$A:$A,'2'!$G:$G,"pipino il breve")</f>
        <v>106.06</v>
      </c>
      <c r="N58">
        <f>_xlfn.XLOOKUP(B58,'2'!$A:$A,'2'!$G:$G,"pipino il breve")</f>
        <v>106.06</v>
      </c>
      <c r="O58">
        <f>_xlfn.XLOOKUP(B58,'5'!$A:$A,'5'!$G:$G,"pipino il breve")</f>
        <v>106.08</v>
      </c>
      <c r="P58">
        <f>_xlfn.XLOOKUP(B58,'6'!$A:$A,'6'!$G:$G,"pipino il breve")</f>
        <v>106.08</v>
      </c>
      <c r="Q58">
        <f>_xlfn.XLOOKUP(B58,'7'!$A:$A,'7'!$G:$G,"pipino il breve")</f>
        <v>106.26</v>
      </c>
      <c r="R58">
        <f>_xlfn.XLOOKUP(B58,'8'!$A:$A,'8'!$G:$G,"pipino il breve")</f>
        <v>106.09</v>
      </c>
      <c r="S58">
        <f>_xlfn.XLOOKUP(B58,'9'!$A:$A,'9'!$G:$G,"pipino il breve")</f>
        <v>105.96</v>
      </c>
      <c r="T58">
        <f>_xlfn.XLOOKUP(B58,'9'!$A:$A,'9'!$G:$G,"pipino il breve")</f>
        <v>105.96</v>
      </c>
      <c r="U58">
        <f>_xlfn.XLOOKUP(B58,'9'!$A:$A,'9'!$G:$G,"pipino il breve")</f>
        <v>105.96</v>
      </c>
      <c r="V58">
        <f>_xlfn.XLOOKUP(B58,'12'!$A:$A,'12'!$G:$G,"pipino il breve")</f>
        <v>105.62</v>
      </c>
      <c r="W58">
        <f>_xlfn.XLOOKUP(B58,'13'!$A:$A,'13'!$G:$G,"pipino il breve")</f>
        <v>105.58</v>
      </c>
      <c r="X58">
        <f>_xlfn.XLOOKUP(B58,'14'!$A:$A,'14'!$G:$G,"pipino il breve")</f>
        <v>105.52</v>
      </c>
      <c r="Y58">
        <f>_xlfn.XLOOKUP(B58,'15'!$A:$A,'15'!$G:$G,"pipino il breve")</f>
        <v>105.72</v>
      </c>
      <c r="Z58">
        <f>_xlfn.XLOOKUP(B58,'16'!$A:$A,'16'!$G:$G,"pipino il breve")</f>
        <v>105.81</v>
      </c>
      <c r="AA58">
        <f>_xlfn.XLOOKUP(B58,'16'!$A:$A,'16'!$G:$G,"pipino il breve")</f>
        <v>105.81</v>
      </c>
      <c r="AB58">
        <f>_xlfn.XLOOKUP(B58,'16'!$A:$A,'16'!$G:$G,"pipino il breve")</f>
        <v>105.81</v>
      </c>
      <c r="AC58">
        <f>_xlfn.XLOOKUP(B58,'19'!$A:$A,'19'!$G:$G,"pipino il breve")</f>
        <v>105.87</v>
      </c>
      <c r="AD58">
        <f>_xlfn.XLOOKUP(B58,'20'!$A:$A,'20'!$G:$G,"pipino il breve")</f>
        <v>105.86</v>
      </c>
      <c r="AE58">
        <f>_xlfn.XLOOKUP(B58,'21'!$A:$A,'21'!$G:$G,"pipino il breve")</f>
        <v>105.75</v>
      </c>
      <c r="AF58">
        <f>_xlfn.XLOOKUP(B58,'22'!$A:$A,'22'!$G:$G,"pipino il breve")</f>
        <v>105.82</v>
      </c>
      <c r="AG58">
        <f>_xlfn.XLOOKUP(B58,'23'!$A:$A,'23'!$G:$G,"pipino il breve")</f>
        <v>105.99</v>
      </c>
      <c r="AH58">
        <f>_xlfn.XLOOKUP(B58,'23'!$A:$A,'23'!$G:$G,"pipino il breve")</f>
        <v>105.99</v>
      </c>
      <c r="AI58">
        <f>_xlfn.XLOOKUP(B58,'23'!$A:$A,'23'!$G:$G,"pipino il breve")</f>
        <v>105.99</v>
      </c>
      <c r="AJ58">
        <f>_xlfn.XLOOKUP(B58,'26'!$A:$A,'26'!$G:$G,"pipino il breve")</f>
        <v>106.01</v>
      </c>
      <c r="AK58">
        <f>_xlfn.XLOOKUP(B58,'27'!$A:$A,'27'!$G:$G,"pipino il breve")</f>
        <v>106.02</v>
      </c>
    </row>
    <row r="59" spans="1:37" x14ac:dyDescent="0.2">
      <c r="A59">
        <v>58</v>
      </c>
      <c r="B59" s="2" t="s">
        <v>100</v>
      </c>
      <c r="C59" s="3">
        <v>0.97789999999999999</v>
      </c>
      <c r="D59" s="2" t="s">
        <v>164</v>
      </c>
      <c r="E59" s="3">
        <v>101.06</v>
      </c>
      <c r="F59" s="3">
        <v>101.06</v>
      </c>
      <c r="G59" s="3">
        <v>101.06</v>
      </c>
      <c r="H59">
        <f>_xlfn.XLOOKUP(B59,'28'!$A:$A,'28'!$G:$G,"pipino il breve")</f>
        <v>101.02</v>
      </c>
      <c r="I59">
        <f>_xlfn.XLOOKUP(B59,'29'!$A:$A,'29'!$G:$G,"pipino il breve")</f>
        <v>101.02</v>
      </c>
      <c r="J59" s="11">
        <f>_xlfn.XLOOKUP(B59,'30'!$A:$A,'30'!$G:$G,"pipino il breve")</f>
        <v>101.24</v>
      </c>
      <c r="K59" s="3">
        <f>_xlfn.XLOOKUP(B59,'30'!$A:$A,'30'!$G:$G,"pipino il breve")</f>
        <v>101.24</v>
      </c>
      <c r="L59">
        <f>_xlfn.XLOOKUP(B59,'2'!$A:$A,'2'!$G:$G,"pipino il breve")</f>
        <v>100.97</v>
      </c>
      <c r="M59">
        <f>_xlfn.XLOOKUP(B59,'2'!$A:$A,'2'!$G:$G,"pipino il breve")</f>
        <v>100.97</v>
      </c>
      <c r="N59">
        <f>_xlfn.XLOOKUP(B59,'2'!$A:$A,'2'!$G:$G,"pipino il breve")</f>
        <v>100.97</v>
      </c>
      <c r="O59">
        <f>_xlfn.XLOOKUP(B59,'5'!$A:$A,'5'!$G:$G,"pipino il breve")</f>
        <v>101.02</v>
      </c>
      <c r="P59">
        <f>_xlfn.XLOOKUP(B59,'6'!$A:$A,'6'!$G:$G,"pipino il breve")</f>
        <v>100.99</v>
      </c>
      <c r="Q59">
        <f>_xlfn.XLOOKUP(B59,'7'!$A:$A,'7'!$G:$G,"pipino il breve")</f>
        <v>101.26</v>
      </c>
      <c r="R59">
        <f>_xlfn.XLOOKUP(B59,'8'!$A:$A,'8'!$G:$G,"pipino il breve")</f>
        <v>101.17</v>
      </c>
      <c r="S59">
        <f>_xlfn.XLOOKUP(B59,'9'!$A:$A,'9'!$G:$G,"pipino il breve")</f>
        <v>100.97</v>
      </c>
      <c r="T59">
        <f>_xlfn.XLOOKUP(B59,'9'!$A:$A,'9'!$G:$G,"pipino il breve")</f>
        <v>100.97</v>
      </c>
      <c r="U59">
        <f>_xlfn.XLOOKUP(B59,'9'!$A:$A,'9'!$G:$G,"pipino il breve")</f>
        <v>100.97</v>
      </c>
      <c r="V59">
        <f>_xlfn.XLOOKUP(B59,'12'!$A:$A,'12'!$G:$G,"pipino il breve")</f>
        <v>100.57</v>
      </c>
      <c r="W59">
        <f>_xlfn.XLOOKUP(B59,'13'!$A:$A,'13'!$G:$G,"pipino il breve")</f>
        <v>100.48</v>
      </c>
      <c r="X59">
        <f>_xlfn.XLOOKUP(B59,'14'!$A:$A,'14'!$G:$G,"pipino il breve")</f>
        <v>100.43</v>
      </c>
      <c r="Y59">
        <f>_xlfn.XLOOKUP(B59,'15'!$A:$A,'15'!$G:$G,"pipino il breve")</f>
        <v>100.74</v>
      </c>
      <c r="Z59">
        <f>_xlfn.XLOOKUP(B59,'16'!$A:$A,'16'!$G:$G,"pipino il breve")</f>
        <v>100.91</v>
      </c>
      <c r="AA59">
        <f>_xlfn.XLOOKUP(B59,'16'!$A:$A,'16'!$G:$G,"pipino il breve")</f>
        <v>100.91</v>
      </c>
      <c r="AB59">
        <f>_xlfn.XLOOKUP(B59,'16'!$A:$A,'16'!$G:$G,"pipino il breve")</f>
        <v>100.91</v>
      </c>
      <c r="AC59">
        <f>_xlfn.XLOOKUP(B59,'19'!$A:$A,'19'!$G:$G,"pipino il breve")</f>
        <v>100.98</v>
      </c>
      <c r="AD59">
        <f>_xlfn.XLOOKUP(B59,'20'!$A:$A,'20'!$G:$G,"pipino il breve")</f>
        <v>100.9</v>
      </c>
      <c r="AE59">
        <f>_xlfn.XLOOKUP(B59,'21'!$A:$A,'21'!$G:$G,"pipino il breve")</f>
        <v>100.84</v>
      </c>
      <c r="AF59">
        <f>_xlfn.XLOOKUP(B59,'22'!$A:$A,'22'!$G:$G,"pipino il breve")</f>
        <v>100.78</v>
      </c>
      <c r="AG59">
        <f>_xlfn.XLOOKUP(B59,'23'!$A:$A,'23'!$G:$G,"pipino il breve")</f>
        <v>101.02</v>
      </c>
      <c r="AH59">
        <f>_xlfn.XLOOKUP(B59,'23'!$A:$A,'23'!$G:$G,"pipino il breve")</f>
        <v>101.02</v>
      </c>
      <c r="AI59">
        <f>_xlfn.XLOOKUP(B59,'23'!$A:$A,'23'!$G:$G,"pipino il breve")</f>
        <v>101.02</v>
      </c>
      <c r="AJ59">
        <f>_xlfn.XLOOKUP(B59,'26'!$A:$A,'26'!$G:$G,"pipino il breve")</f>
        <v>101.12</v>
      </c>
      <c r="AK59">
        <f>_xlfn.XLOOKUP(B59,'27'!$A:$A,'27'!$G:$G,"pipino il breve")</f>
        <v>101.18</v>
      </c>
    </row>
    <row r="60" spans="1:37" x14ac:dyDescent="0.2">
      <c r="A60">
        <v>59</v>
      </c>
      <c r="B60" s="2" t="s">
        <v>60</v>
      </c>
      <c r="C60" s="3">
        <v>1.25</v>
      </c>
      <c r="D60" s="2" t="s">
        <v>165</v>
      </c>
      <c r="E60" s="3">
        <v>95.77</v>
      </c>
      <c r="F60" s="3">
        <v>95.77</v>
      </c>
      <c r="G60" s="3">
        <v>95.77</v>
      </c>
      <c r="H60">
        <f>_xlfn.XLOOKUP(B60,'28'!$A:$A,'28'!$G:$G,"pipino il breve")</f>
        <v>95.65</v>
      </c>
      <c r="I60">
        <f>_xlfn.XLOOKUP(B60,'29'!$A:$A,'29'!$G:$G,"pipino il breve")</f>
        <v>95.73</v>
      </c>
      <c r="J60" s="11">
        <f>_xlfn.XLOOKUP(B60,'30'!$A:$A,'30'!$G:$G,"pipino il breve")</f>
        <v>95.91</v>
      </c>
      <c r="K60" s="3">
        <f>_xlfn.XLOOKUP(B60,'30'!$A:$A,'30'!$G:$G,"pipino il breve")</f>
        <v>95.91</v>
      </c>
      <c r="L60">
        <f>_xlfn.XLOOKUP(B60,'2'!$A:$A,'2'!$G:$G,"pipino il breve")</f>
        <v>95.61</v>
      </c>
      <c r="M60">
        <f>_xlfn.XLOOKUP(B60,'2'!$A:$A,'2'!$G:$G,"pipino il breve")</f>
        <v>95.61</v>
      </c>
      <c r="N60">
        <f>_xlfn.XLOOKUP(B60,'2'!$A:$A,'2'!$G:$G,"pipino il breve")</f>
        <v>95.61</v>
      </c>
      <c r="O60">
        <f>_xlfn.XLOOKUP(B60,'5'!$A:$A,'5'!$G:$G,"pipino il breve")</f>
        <v>95.7</v>
      </c>
      <c r="P60">
        <f>_xlfn.XLOOKUP(B60,'6'!$A:$A,'6'!$G:$G,"pipino il breve")</f>
        <v>95.63</v>
      </c>
      <c r="Q60">
        <f>_xlfn.XLOOKUP(B60,'7'!$A:$A,'7'!$G:$G,"pipino il breve")</f>
        <v>96.04</v>
      </c>
      <c r="R60">
        <f>_xlfn.XLOOKUP(B60,'8'!$A:$A,'8'!$G:$G,"pipino il breve")</f>
        <v>95.91</v>
      </c>
      <c r="S60">
        <f>_xlfn.XLOOKUP(B60,'9'!$A:$A,'9'!$G:$G,"pipino il breve")</f>
        <v>95.69</v>
      </c>
      <c r="T60">
        <f>_xlfn.XLOOKUP(B60,'9'!$A:$A,'9'!$G:$G,"pipino il breve")</f>
        <v>95.69</v>
      </c>
      <c r="U60">
        <f>_xlfn.XLOOKUP(B60,'9'!$A:$A,'9'!$G:$G,"pipino il breve")</f>
        <v>95.69</v>
      </c>
      <c r="V60">
        <f>_xlfn.XLOOKUP(B60,'12'!$A:$A,'12'!$G:$G,"pipino il breve")</f>
        <v>95.2</v>
      </c>
      <c r="W60">
        <f>_xlfn.XLOOKUP(B60,'13'!$A:$A,'13'!$G:$G,"pipino il breve")</f>
        <v>95.05</v>
      </c>
      <c r="X60">
        <f>_xlfn.XLOOKUP(B60,'14'!$A:$A,'14'!$G:$G,"pipino il breve")</f>
        <v>94.96</v>
      </c>
      <c r="Y60">
        <f>_xlfn.XLOOKUP(B60,'15'!$A:$A,'15'!$G:$G,"pipino il breve")</f>
        <v>95.4</v>
      </c>
      <c r="Z60">
        <f>_xlfn.XLOOKUP(B60,'16'!$A:$A,'16'!$G:$G,"pipino il breve")</f>
        <v>95.67</v>
      </c>
      <c r="AA60">
        <f>_xlfn.XLOOKUP(B60,'16'!$A:$A,'16'!$G:$G,"pipino il breve")</f>
        <v>95.67</v>
      </c>
      <c r="AB60">
        <f>_xlfn.XLOOKUP(B60,'16'!$A:$A,'16'!$G:$G,"pipino il breve")</f>
        <v>95.67</v>
      </c>
      <c r="AC60">
        <f>_xlfn.XLOOKUP(B60,'19'!$A:$A,'19'!$G:$G,"pipino il breve")</f>
        <v>95.74</v>
      </c>
      <c r="AD60">
        <f>_xlfn.XLOOKUP(B60,'20'!$A:$A,'20'!$G:$G,"pipino il breve")</f>
        <v>95.64</v>
      </c>
      <c r="AE60">
        <f>_xlfn.XLOOKUP(B60,'21'!$A:$A,'21'!$G:$G,"pipino il breve")</f>
        <v>95.56</v>
      </c>
      <c r="AF60">
        <f>_xlfn.XLOOKUP(B60,'22'!$A:$A,'22'!$G:$G,"pipino il breve")</f>
        <v>95.4</v>
      </c>
      <c r="AG60">
        <f>_xlfn.XLOOKUP(B60,'23'!$A:$A,'23'!$G:$G,"pipino il breve")</f>
        <v>95.78</v>
      </c>
      <c r="AH60">
        <f>_xlfn.XLOOKUP(B60,'23'!$A:$A,'23'!$G:$G,"pipino il breve")</f>
        <v>95.78</v>
      </c>
      <c r="AI60">
        <f>_xlfn.XLOOKUP(B60,'23'!$A:$A,'23'!$G:$G,"pipino il breve")</f>
        <v>95.78</v>
      </c>
      <c r="AJ60">
        <f>_xlfn.XLOOKUP(B60,'26'!$A:$A,'26'!$G:$G,"pipino il breve")</f>
        <v>96.01</v>
      </c>
      <c r="AK60">
        <f>_xlfn.XLOOKUP(B60,'27'!$A:$A,'27'!$G:$G,"pipino il breve")</f>
        <v>96.14</v>
      </c>
    </row>
    <row r="61" spans="1:37" x14ac:dyDescent="0.2">
      <c r="A61">
        <v>60</v>
      </c>
      <c r="B61" s="2" t="s">
        <v>25</v>
      </c>
      <c r="C61" s="3">
        <v>1.0249999999999999</v>
      </c>
      <c r="D61" s="2" t="s">
        <v>166</v>
      </c>
      <c r="E61" s="3">
        <v>100.2</v>
      </c>
      <c r="F61" s="3">
        <v>100.2</v>
      </c>
      <c r="G61" s="3">
        <v>100.2</v>
      </c>
      <c r="H61">
        <f>_xlfn.XLOOKUP(B61,'28'!$A:$A,'28'!$G:$G,"pipino il breve")</f>
        <v>100.25</v>
      </c>
      <c r="I61">
        <f>_xlfn.XLOOKUP(B61,'29'!$A:$A,'29'!$G:$G,"pipino il breve")</f>
        <v>100.2</v>
      </c>
      <c r="J61" s="11">
        <f>_xlfn.XLOOKUP(B61,'30'!$A:$A,'30'!$G:$G,"pipino il breve")</f>
        <v>100.26</v>
      </c>
      <c r="K61" s="3">
        <f>_xlfn.XLOOKUP(B61,'30'!$A:$A,'30'!$G:$G,"pipino il breve")</f>
        <v>100.26</v>
      </c>
      <c r="L61">
        <f>_xlfn.XLOOKUP(B61,'2'!$A:$A,'2'!$G:$G,"pipino il breve")</f>
        <v>100.2</v>
      </c>
      <c r="M61">
        <f>_xlfn.XLOOKUP(B61,'2'!$A:$A,'2'!$G:$G,"pipino il breve")</f>
        <v>100.2</v>
      </c>
      <c r="N61">
        <f>_xlfn.XLOOKUP(B61,'2'!$A:$A,'2'!$G:$G,"pipino il breve")</f>
        <v>100.2</v>
      </c>
      <c r="O61">
        <f>_xlfn.XLOOKUP(B61,'5'!$A:$A,'5'!$G:$G,"pipino il breve")</f>
        <v>100.2</v>
      </c>
      <c r="P61">
        <f>_xlfn.XLOOKUP(B61,'6'!$A:$A,'6'!$G:$G,"pipino il breve")</f>
        <v>100.2</v>
      </c>
      <c r="Q61">
        <f>_xlfn.XLOOKUP(B61,'7'!$A:$A,'7'!$G:$G,"pipino il breve")</f>
        <v>100.3</v>
      </c>
      <c r="R61">
        <f>_xlfn.XLOOKUP(B61,'8'!$A:$A,'8'!$G:$G,"pipino il breve")</f>
        <v>100.19</v>
      </c>
      <c r="S61">
        <f>_xlfn.XLOOKUP(B61,'9'!$A:$A,'9'!$G:$G,"pipino il breve")</f>
        <v>100.16</v>
      </c>
      <c r="T61">
        <f>_xlfn.XLOOKUP(B61,'9'!$A:$A,'9'!$G:$G,"pipino il breve")</f>
        <v>100.16</v>
      </c>
      <c r="U61">
        <f>_xlfn.XLOOKUP(B61,'9'!$A:$A,'9'!$G:$G,"pipino il breve")</f>
        <v>100.16</v>
      </c>
      <c r="V61">
        <f>_xlfn.XLOOKUP(B61,'12'!$A:$A,'12'!$G:$G,"pipino il breve")</f>
        <v>99.9</v>
      </c>
      <c r="W61">
        <f>_xlfn.XLOOKUP(B61,'13'!$A:$A,'13'!$G:$G,"pipino il breve")</f>
        <v>99.89</v>
      </c>
      <c r="X61">
        <f>_xlfn.XLOOKUP(B61,'14'!$A:$A,'14'!$G:$G,"pipino il breve")</f>
        <v>99.86</v>
      </c>
      <c r="Y61">
        <f>_xlfn.XLOOKUP(B61,'15'!$A:$A,'15'!$G:$G,"pipino il breve")</f>
        <v>99.98</v>
      </c>
      <c r="Z61">
        <f>_xlfn.XLOOKUP(B61,'16'!$A:$A,'16'!$G:$G,"pipino il breve")</f>
        <v>100.02</v>
      </c>
      <c r="AA61">
        <f>_xlfn.XLOOKUP(B61,'16'!$A:$A,'16'!$G:$G,"pipino il breve")</f>
        <v>100.02</v>
      </c>
      <c r="AB61">
        <f>_xlfn.XLOOKUP(B61,'16'!$A:$A,'16'!$G:$G,"pipino il breve")</f>
        <v>100.02</v>
      </c>
      <c r="AC61">
        <f>_xlfn.XLOOKUP(B61,'19'!$A:$A,'19'!$G:$G,"pipino il breve")</f>
        <v>100.07</v>
      </c>
      <c r="AD61">
        <f>_xlfn.XLOOKUP(B61,'20'!$A:$A,'20'!$G:$G,"pipino il breve")</f>
        <v>100.07</v>
      </c>
      <c r="AE61">
        <f>_xlfn.XLOOKUP(B61,'21'!$A:$A,'21'!$G:$G,"pipino il breve")</f>
        <v>100.03</v>
      </c>
      <c r="AF61">
        <f>_xlfn.XLOOKUP(B61,'22'!$A:$A,'22'!$G:$G,"pipino il breve")</f>
        <v>100.07</v>
      </c>
      <c r="AG61">
        <f>_xlfn.XLOOKUP(B61,'23'!$A:$A,'23'!$G:$G,"pipino il breve")</f>
        <v>100.2</v>
      </c>
      <c r="AH61">
        <f>_xlfn.XLOOKUP(B61,'23'!$A:$A,'23'!$G:$G,"pipino il breve")</f>
        <v>100.2</v>
      </c>
      <c r="AI61">
        <f>_xlfn.XLOOKUP(B61,'23'!$A:$A,'23'!$G:$G,"pipino il breve")</f>
        <v>100.2</v>
      </c>
      <c r="AJ61">
        <f>_xlfn.XLOOKUP(B61,'26'!$A:$A,'26'!$G:$G,"pipino il breve")</f>
        <v>100.15</v>
      </c>
      <c r="AK61">
        <f>_xlfn.XLOOKUP(B61,'27'!$A:$A,'27'!$G:$G,"pipino il breve")</f>
        <v>100.15</v>
      </c>
    </row>
    <row r="62" spans="1:37" x14ac:dyDescent="0.2">
      <c r="A62">
        <v>61</v>
      </c>
      <c r="B62" s="2" t="s">
        <v>63</v>
      </c>
      <c r="C62" s="3">
        <v>1.325</v>
      </c>
      <c r="D62" s="2" t="s">
        <v>167</v>
      </c>
      <c r="E62" s="3">
        <v>101.47</v>
      </c>
      <c r="F62" s="3">
        <v>101.47</v>
      </c>
      <c r="G62" s="3">
        <v>101.47</v>
      </c>
      <c r="H62">
        <f>_xlfn.XLOOKUP(B62,'28'!$A:$A,'28'!$G:$G,"pipino il breve")</f>
        <v>101.52</v>
      </c>
      <c r="I62">
        <f>_xlfn.XLOOKUP(B62,'29'!$A:$A,'29'!$G:$G,"pipino il breve")</f>
        <v>101.43</v>
      </c>
      <c r="J62" s="11">
        <f>_xlfn.XLOOKUP(B62,'30'!$A:$A,'30'!$G:$G,"pipino il breve")</f>
        <v>101.5</v>
      </c>
      <c r="K62" s="3">
        <f>_xlfn.XLOOKUP(B62,'30'!$A:$A,'30'!$G:$G,"pipino il breve")</f>
        <v>101.5</v>
      </c>
      <c r="L62">
        <f>_xlfn.XLOOKUP(B62,'2'!$A:$A,'2'!$G:$G,"pipino il breve")</f>
        <v>101.41</v>
      </c>
      <c r="M62">
        <f>_xlfn.XLOOKUP(B62,'2'!$A:$A,'2'!$G:$G,"pipino il breve")</f>
        <v>101.41</v>
      </c>
      <c r="N62">
        <f>_xlfn.XLOOKUP(B62,'2'!$A:$A,'2'!$G:$G,"pipino il breve")</f>
        <v>101.41</v>
      </c>
      <c r="O62">
        <f>_xlfn.XLOOKUP(B62,'5'!$A:$A,'5'!$G:$G,"pipino il breve")</f>
        <v>101.41</v>
      </c>
      <c r="P62">
        <f>_xlfn.XLOOKUP(B62,'6'!$A:$A,'6'!$G:$G,"pipino il breve")</f>
        <v>101.45</v>
      </c>
      <c r="Q62">
        <f>_xlfn.XLOOKUP(B62,'7'!$A:$A,'7'!$G:$G,"pipino il breve")</f>
        <v>101.52</v>
      </c>
      <c r="R62">
        <f>_xlfn.XLOOKUP(B62,'8'!$A:$A,'8'!$G:$G,"pipino il breve")</f>
        <v>101.43</v>
      </c>
      <c r="S62">
        <f>_xlfn.XLOOKUP(B62,'9'!$A:$A,'9'!$G:$G,"pipino il breve")</f>
        <v>101.38</v>
      </c>
      <c r="T62">
        <f>_xlfn.XLOOKUP(B62,'9'!$A:$A,'9'!$G:$G,"pipino il breve")</f>
        <v>101.38</v>
      </c>
      <c r="U62">
        <f>_xlfn.XLOOKUP(B62,'9'!$A:$A,'9'!$G:$G,"pipino il breve")</f>
        <v>101.38</v>
      </c>
      <c r="V62">
        <f>_xlfn.XLOOKUP(B62,'12'!$A:$A,'12'!$G:$G,"pipino il breve")</f>
        <v>101.06</v>
      </c>
      <c r="W62">
        <f>_xlfn.XLOOKUP(B62,'13'!$A:$A,'13'!$G:$G,"pipino il breve")</f>
        <v>101.06</v>
      </c>
      <c r="X62">
        <f>_xlfn.XLOOKUP(B62,'14'!$A:$A,'14'!$G:$G,"pipino il breve")</f>
        <v>101.05</v>
      </c>
      <c r="Y62">
        <f>_xlfn.XLOOKUP(B62,'15'!$A:$A,'15'!$G:$G,"pipino il breve")</f>
        <v>101.14</v>
      </c>
      <c r="Z62">
        <f>_xlfn.XLOOKUP(B62,'16'!$A:$A,'16'!$G:$G,"pipino il breve")</f>
        <v>101.23</v>
      </c>
      <c r="AA62">
        <f>_xlfn.XLOOKUP(B62,'16'!$A:$A,'16'!$G:$G,"pipino il breve")</f>
        <v>101.23</v>
      </c>
      <c r="AB62">
        <f>_xlfn.XLOOKUP(B62,'16'!$A:$A,'16'!$G:$G,"pipino il breve")</f>
        <v>101.23</v>
      </c>
      <c r="AC62">
        <f>_xlfn.XLOOKUP(B62,'19'!$A:$A,'19'!$G:$G,"pipino il breve")</f>
        <v>101.26</v>
      </c>
      <c r="AD62">
        <f>_xlfn.XLOOKUP(B62,'20'!$A:$A,'20'!$G:$G,"pipino il breve")</f>
        <v>101.26</v>
      </c>
      <c r="AE62">
        <f>_xlfn.XLOOKUP(B62,'21'!$A:$A,'21'!$G:$G,"pipino il breve")</f>
        <v>101.18</v>
      </c>
      <c r="AF62">
        <f>_xlfn.XLOOKUP(B62,'22'!$A:$A,'22'!$G:$G,"pipino il breve")</f>
        <v>101.22</v>
      </c>
      <c r="AG62">
        <f>_xlfn.XLOOKUP(B62,'23'!$A:$A,'23'!$G:$G,"pipino il breve")</f>
        <v>101.38</v>
      </c>
      <c r="AH62">
        <f>_xlfn.XLOOKUP(B62,'23'!$A:$A,'23'!$G:$G,"pipino il breve")</f>
        <v>101.38</v>
      </c>
      <c r="AI62">
        <f>_xlfn.XLOOKUP(B62,'23'!$A:$A,'23'!$G:$G,"pipino il breve")</f>
        <v>101.38</v>
      </c>
      <c r="AJ62">
        <f>_xlfn.XLOOKUP(B62,'26'!$A:$A,'26'!$G:$G,"pipino il breve")</f>
        <v>101.35</v>
      </c>
      <c r="AK62">
        <f>_xlfn.XLOOKUP(B62,'27'!$A:$A,'27'!$G:$G,"pipino il breve")</f>
        <v>101.36</v>
      </c>
    </row>
    <row r="63" spans="1:37" x14ac:dyDescent="0.2">
      <c r="A63">
        <v>62</v>
      </c>
      <c r="B63" s="2" t="s">
        <v>17</v>
      </c>
      <c r="C63" s="3">
        <v>1.35</v>
      </c>
      <c r="D63" s="2" t="s">
        <v>168</v>
      </c>
      <c r="E63" s="3">
        <v>79.62</v>
      </c>
      <c r="F63" s="3">
        <v>79.62</v>
      </c>
      <c r="G63" s="3">
        <v>79.62</v>
      </c>
      <c r="H63">
        <f>_xlfn.XLOOKUP(B63,'28'!$A:$A,'28'!$G:$G,"pipino il breve")</f>
        <v>79.42</v>
      </c>
      <c r="I63">
        <f>_xlfn.XLOOKUP(B63,'29'!$A:$A,'29'!$G:$G,"pipino il breve")</f>
        <v>79.38</v>
      </c>
      <c r="J63" s="11">
        <f>_xlfn.XLOOKUP(B63,'30'!$A:$A,'30'!$G:$G,"pipino il breve")</f>
        <v>79.72</v>
      </c>
      <c r="K63" s="3">
        <f>_xlfn.XLOOKUP(B63,'30'!$A:$A,'30'!$G:$G,"pipino il breve")</f>
        <v>79.72</v>
      </c>
      <c r="L63">
        <f>_xlfn.XLOOKUP(B63,'2'!$A:$A,'2'!$G:$G,"pipino il breve")</f>
        <v>79.14</v>
      </c>
      <c r="M63">
        <f>_xlfn.XLOOKUP(B63,'2'!$A:$A,'2'!$G:$G,"pipino il breve")</f>
        <v>79.14</v>
      </c>
      <c r="N63">
        <f>_xlfn.XLOOKUP(B63,'2'!$A:$A,'2'!$G:$G,"pipino il breve")</f>
        <v>79.14</v>
      </c>
      <c r="O63">
        <f>_xlfn.XLOOKUP(B63,'5'!$A:$A,'5'!$G:$G,"pipino il breve")</f>
        <v>79.239999999999995</v>
      </c>
      <c r="P63">
        <f>_xlfn.XLOOKUP(B63,'6'!$A:$A,'6'!$G:$G,"pipino il breve")</f>
        <v>78.86</v>
      </c>
      <c r="Q63">
        <f>_xlfn.XLOOKUP(B63,'7'!$A:$A,'7'!$G:$G,"pipino il breve")</f>
        <v>79.78</v>
      </c>
      <c r="R63">
        <f>_xlfn.XLOOKUP(B63,'8'!$A:$A,'8'!$G:$G,"pipino il breve")</f>
        <v>79.48</v>
      </c>
      <c r="S63">
        <f>_xlfn.XLOOKUP(B63,'9'!$A:$A,'9'!$G:$G,"pipino il breve")</f>
        <v>79.08</v>
      </c>
      <c r="T63">
        <f>_xlfn.XLOOKUP(B63,'9'!$A:$A,'9'!$G:$G,"pipino il breve")</f>
        <v>79.08</v>
      </c>
      <c r="U63">
        <f>_xlfn.XLOOKUP(B63,'9'!$A:$A,'9'!$G:$G,"pipino il breve")</f>
        <v>79.08</v>
      </c>
      <c r="V63">
        <f>_xlfn.XLOOKUP(B63,'12'!$A:$A,'12'!$G:$G,"pipino il breve")</f>
        <v>78.59</v>
      </c>
      <c r="W63">
        <f>_xlfn.XLOOKUP(B63,'13'!$A:$A,'13'!$G:$G,"pipino il breve")</f>
        <v>78.239999999999995</v>
      </c>
      <c r="X63">
        <f>_xlfn.XLOOKUP(B63,'14'!$A:$A,'14'!$G:$G,"pipino il breve")</f>
        <v>78.2</v>
      </c>
      <c r="Y63">
        <f>_xlfn.XLOOKUP(B63,'15'!$A:$A,'15'!$G:$G,"pipino il breve")</f>
        <v>78.989999999999995</v>
      </c>
      <c r="Z63">
        <f>_xlfn.XLOOKUP(B63,'16'!$A:$A,'16'!$G:$G,"pipino il breve")</f>
        <v>79.52</v>
      </c>
      <c r="AA63">
        <f>_xlfn.XLOOKUP(B63,'16'!$A:$A,'16'!$G:$G,"pipino il breve")</f>
        <v>79.52</v>
      </c>
      <c r="AB63">
        <f>_xlfn.XLOOKUP(B63,'16'!$A:$A,'16'!$G:$G,"pipino il breve")</f>
        <v>79.52</v>
      </c>
      <c r="AC63">
        <f>_xlfn.XLOOKUP(B63,'19'!$A:$A,'19'!$G:$G,"pipino il breve")</f>
        <v>79.53</v>
      </c>
      <c r="AD63">
        <f>_xlfn.XLOOKUP(B63,'20'!$A:$A,'20'!$G:$G,"pipino il breve")</f>
        <v>79.14</v>
      </c>
      <c r="AE63">
        <f>_xlfn.XLOOKUP(B63,'21'!$A:$A,'21'!$G:$G,"pipino il breve")</f>
        <v>78.63</v>
      </c>
      <c r="AF63">
        <f>_xlfn.XLOOKUP(B63,'22'!$A:$A,'22'!$G:$G,"pipino il breve")</f>
        <v>78.53</v>
      </c>
      <c r="AG63">
        <f>_xlfn.XLOOKUP(B63,'23'!$A:$A,'23'!$G:$G,"pipino il breve")</f>
        <v>78.89</v>
      </c>
      <c r="AH63">
        <f>_xlfn.XLOOKUP(B63,'23'!$A:$A,'23'!$G:$G,"pipino il breve")</f>
        <v>78.89</v>
      </c>
      <c r="AI63">
        <f>_xlfn.XLOOKUP(B63,'23'!$A:$A,'23'!$G:$G,"pipino il breve")</f>
        <v>78.89</v>
      </c>
      <c r="AJ63">
        <f>_xlfn.XLOOKUP(B63,'26'!$A:$A,'26'!$G:$G,"pipino il breve")</f>
        <v>79.45</v>
      </c>
      <c r="AK63">
        <f>_xlfn.XLOOKUP(B63,'27'!$A:$A,'27'!$G:$G,"pipino il breve")</f>
        <v>80.099999999999994</v>
      </c>
    </row>
    <row r="64" spans="1:37" x14ac:dyDescent="0.2">
      <c r="A64">
        <v>63</v>
      </c>
      <c r="B64" s="2" t="s">
        <v>47</v>
      </c>
      <c r="C64" s="3">
        <v>0.47499999999999998</v>
      </c>
      <c r="D64" s="2" t="s">
        <v>169</v>
      </c>
      <c r="E64" s="3">
        <v>73.98</v>
      </c>
      <c r="F64" s="3">
        <v>73.98</v>
      </c>
      <c r="G64" s="3">
        <v>73.98</v>
      </c>
      <c r="H64">
        <f>_xlfn.XLOOKUP(B64,'28'!$A:$A,'28'!$G:$G,"pipino il breve")</f>
        <v>73.81</v>
      </c>
      <c r="I64">
        <f>_xlfn.XLOOKUP(B64,'29'!$A:$A,'29'!$G:$G,"pipino il breve")</f>
        <v>73.849999999999994</v>
      </c>
      <c r="J64" s="11">
        <f>_xlfn.XLOOKUP(B64,'30'!$A:$A,'30'!$G:$G,"pipino il breve")</f>
        <v>74.12</v>
      </c>
      <c r="K64" s="3">
        <f>_xlfn.XLOOKUP(B64,'30'!$A:$A,'30'!$G:$G,"pipino il breve")</f>
        <v>74.12</v>
      </c>
      <c r="L64">
        <f>_xlfn.XLOOKUP(B64,'2'!$A:$A,'2'!$G:$G,"pipino il breve")</f>
        <v>73.760000000000005</v>
      </c>
      <c r="M64">
        <f>_xlfn.XLOOKUP(B64,'2'!$A:$A,'2'!$G:$G,"pipino il breve")</f>
        <v>73.760000000000005</v>
      </c>
      <c r="N64">
        <f>_xlfn.XLOOKUP(B64,'2'!$A:$A,'2'!$G:$G,"pipino il breve")</f>
        <v>73.760000000000005</v>
      </c>
      <c r="O64">
        <f>_xlfn.XLOOKUP(B64,'5'!$A:$A,'5'!$G:$G,"pipino il breve")</f>
        <v>73.81</v>
      </c>
      <c r="P64">
        <f>_xlfn.XLOOKUP(B64,'6'!$A:$A,'6'!$G:$G,"pipino il breve")</f>
        <v>73.8</v>
      </c>
      <c r="Q64">
        <f>_xlfn.XLOOKUP(B64,'7'!$A:$A,'7'!$G:$G,"pipino il breve")</f>
        <v>74.3</v>
      </c>
      <c r="R64">
        <f>_xlfn.XLOOKUP(B64,'8'!$A:$A,'8'!$G:$G,"pipino il breve")</f>
        <v>74.13</v>
      </c>
      <c r="S64">
        <f>_xlfn.XLOOKUP(B64,'9'!$A:$A,'9'!$G:$G,"pipino il breve")</f>
        <v>73.930000000000007</v>
      </c>
      <c r="T64">
        <f>_xlfn.XLOOKUP(B64,'9'!$A:$A,'9'!$G:$G,"pipino il breve")</f>
        <v>73.930000000000007</v>
      </c>
      <c r="U64">
        <f>_xlfn.XLOOKUP(B64,'9'!$A:$A,'9'!$G:$G,"pipino il breve")</f>
        <v>73.930000000000007</v>
      </c>
      <c r="V64">
        <f>_xlfn.XLOOKUP(B64,'12'!$A:$A,'12'!$G:$G,"pipino il breve")</f>
        <v>73.489999999999995</v>
      </c>
      <c r="W64">
        <f>_xlfn.XLOOKUP(B64,'13'!$A:$A,'13'!$G:$G,"pipino il breve")</f>
        <v>73.25</v>
      </c>
      <c r="X64">
        <f>_xlfn.XLOOKUP(B64,'14'!$A:$A,'14'!$G:$G,"pipino il breve")</f>
        <v>73.12</v>
      </c>
      <c r="Y64">
        <f>_xlfn.XLOOKUP(B64,'15'!$A:$A,'15'!$G:$G,"pipino il breve")</f>
        <v>73.790000000000006</v>
      </c>
      <c r="Z64">
        <f>_xlfn.XLOOKUP(B64,'16'!$A:$A,'16'!$G:$G,"pipino il breve")</f>
        <v>74.08</v>
      </c>
      <c r="AA64">
        <f>_xlfn.XLOOKUP(B64,'16'!$A:$A,'16'!$G:$G,"pipino il breve")</f>
        <v>74.08</v>
      </c>
      <c r="AB64">
        <f>_xlfn.XLOOKUP(B64,'16'!$A:$A,'16'!$G:$G,"pipino il breve")</f>
        <v>74.08</v>
      </c>
      <c r="AC64">
        <f>_xlfn.XLOOKUP(B64,'19'!$A:$A,'19'!$G:$G,"pipino il breve")</f>
        <v>74.05</v>
      </c>
      <c r="AD64">
        <f>_xlfn.XLOOKUP(B64,'20'!$A:$A,'20'!$G:$G,"pipino il breve")</f>
        <v>73.94</v>
      </c>
      <c r="AE64">
        <f>_xlfn.XLOOKUP(B64,'21'!$A:$A,'21'!$G:$G,"pipino il breve")</f>
        <v>73.64</v>
      </c>
      <c r="AF64">
        <f>_xlfn.XLOOKUP(B64,'22'!$A:$A,'22'!$G:$G,"pipino il breve")</f>
        <v>73.540000000000006</v>
      </c>
      <c r="AG64">
        <f>_xlfn.XLOOKUP(B64,'23'!$A:$A,'23'!$G:$G,"pipino il breve")</f>
        <v>73.91</v>
      </c>
      <c r="AH64">
        <f>_xlfn.XLOOKUP(B64,'23'!$A:$A,'23'!$G:$G,"pipino il breve")</f>
        <v>73.91</v>
      </c>
      <c r="AI64">
        <f>_xlfn.XLOOKUP(B64,'23'!$A:$A,'23'!$G:$G,"pipino il breve")</f>
        <v>73.91</v>
      </c>
      <c r="AJ64">
        <f>_xlfn.XLOOKUP(B64,'26'!$A:$A,'26'!$G:$G,"pipino il breve")</f>
        <v>74.31</v>
      </c>
      <c r="AK64">
        <f>_xlfn.XLOOKUP(B64,'27'!$A:$A,'27'!$G:$G,"pipino il breve")</f>
        <v>74.59</v>
      </c>
    </row>
    <row r="65" spans="1:37" x14ac:dyDescent="0.2">
      <c r="A65">
        <v>64</v>
      </c>
      <c r="B65" s="2" t="s">
        <v>57</v>
      </c>
      <c r="C65" s="3">
        <v>1.075</v>
      </c>
      <c r="D65" s="2" t="s">
        <v>170</v>
      </c>
      <c r="E65" s="3">
        <v>66.8</v>
      </c>
      <c r="F65" s="3">
        <v>66.8</v>
      </c>
      <c r="G65" s="3">
        <v>66.8</v>
      </c>
      <c r="H65">
        <f>_xlfn.XLOOKUP(B65,'28'!$A:$A,'28'!$G:$G,"pipino il breve")</f>
        <v>66.61</v>
      </c>
      <c r="I65">
        <f>_xlfn.XLOOKUP(B65,'29'!$A:$A,'29'!$G:$G,"pipino il breve")</f>
        <v>66.47</v>
      </c>
      <c r="J65" s="11">
        <f>_xlfn.XLOOKUP(B65,'30'!$A:$A,'30'!$G:$G,"pipino il breve")</f>
        <v>67</v>
      </c>
      <c r="K65" s="3">
        <f>_xlfn.XLOOKUP(B65,'30'!$A:$A,'30'!$G:$G,"pipino il breve")</f>
        <v>67</v>
      </c>
      <c r="L65">
        <f>_xlfn.XLOOKUP(B65,'2'!$A:$A,'2'!$G:$G,"pipino il breve")</f>
        <v>66.349999999999994</v>
      </c>
      <c r="M65">
        <f>_xlfn.XLOOKUP(B65,'2'!$A:$A,'2'!$G:$G,"pipino il breve")</f>
        <v>66.349999999999994</v>
      </c>
      <c r="N65">
        <f>_xlfn.XLOOKUP(B65,'2'!$A:$A,'2'!$G:$G,"pipino il breve")</f>
        <v>66.349999999999994</v>
      </c>
      <c r="O65">
        <f>_xlfn.XLOOKUP(B65,'5'!$A:$A,'5'!$G:$G,"pipino il breve")</f>
        <v>66.34</v>
      </c>
      <c r="P65">
        <f>_xlfn.XLOOKUP(B65,'6'!$A:$A,'6'!$G:$G,"pipino il breve")</f>
        <v>66.08</v>
      </c>
      <c r="Q65">
        <f>_xlfn.XLOOKUP(B65,'7'!$A:$A,'7'!$G:$G,"pipino il breve")</f>
        <v>67.03</v>
      </c>
      <c r="R65">
        <f>_xlfn.XLOOKUP(B65,'8'!$A:$A,'8'!$G:$G,"pipino il breve")</f>
        <v>66.69</v>
      </c>
      <c r="S65">
        <f>_xlfn.XLOOKUP(B65,'9'!$A:$A,'9'!$G:$G,"pipino il breve")</f>
        <v>66.290000000000006</v>
      </c>
      <c r="T65">
        <f>_xlfn.XLOOKUP(B65,'9'!$A:$A,'9'!$G:$G,"pipino il breve")</f>
        <v>66.290000000000006</v>
      </c>
      <c r="U65">
        <f>_xlfn.XLOOKUP(B65,'9'!$A:$A,'9'!$G:$G,"pipino il breve")</f>
        <v>66.290000000000006</v>
      </c>
      <c r="V65">
        <f>_xlfn.XLOOKUP(B65,'12'!$A:$A,'12'!$G:$G,"pipino il breve")</f>
        <v>65.92</v>
      </c>
      <c r="W65">
        <f>_xlfn.XLOOKUP(B65,'13'!$A:$A,'13'!$G:$G,"pipino il breve")</f>
        <v>65.400000000000006</v>
      </c>
      <c r="X65">
        <f>_xlfn.XLOOKUP(B65,'14'!$A:$A,'14'!$G:$G,"pipino il breve")</f>
        <v>65.44</v>
      </c>
      <c r="Y65">
        <f>_xlfn.XLOOKUP(B65,'15'!$A:$A,'15'!$G:$G,"pipino il breve")</f>
        <v>66.209999999999994</v>
      </c>
      <c r="Z65">
        <f>_xlfn.XLOOKUP(B65,'16'!$A:$A,'16'!$G:$G,"pipino il breve")</f>
        <v>66.8</v>
      </c>
      <c r="AA65">
        <f>_xlfn.XLOOKUP(B65,'16'!$A:$A,'16'!$G:$G,"pipino il breve")</f>
        <v>66.8</v>
      </c>
      <c r="AB65">
        <f>_xlfn.XLOOKUP(B65,'16'!$A:$A,'16'!$G:$G,"pipino il breve")</f>
        <v>66.8</v>
      </c>
      <c r="AC65">
        <f>_xlfn.XLOOKUP(B65,'19'!$A:$A,'19'!$G:$G,"pipino il breve")</f>
        <v>66.819999999999993</v>
      </c>
      <c r="AD65">
        <f>_xlfn.XLOOKUP(B65,'20'!$A:$A,'20'!$G:$G,"pipino il breve")</f>
        <v>66.239999999999995</v>
      </c>
      <c r="AE65">
        <f>_xlfn.XLOOKUP(B65,'21'!$A:$A,'21'!$G:$G,"pipino il breve")</f>
        <v>65.8</v>
      </c>
      <c r="AF65">
        <f>_xlfn.XLOOKUP(B65,'22'!$A:$A,'22'!$G:$G,"pipino il breve")</f>
        <v>65.38</v>
      </c>
      <c r="AG65">
        <f>_xlfn.XLOOKUP(B65,'23'!$A:$A,'23'!$G:$G,"pipino il breve")</f>
        <v>65.95</v>
      </c>
      <c r="AH65">
        <f>_xlfn.XLOOKUP(B65,'23'!$A:$A,'23'!$G:$G,"pipino il breve")</f>
        <v>65.95</v>
      </c>
      <c r="AI65">
        <f>_xlfn.XLOOKUP(B65,'23'!$A:$A,'23'!$G:$G,"pipino il breve")</f>
        <v>65.95</v>
      </c>
      <c r="AJ65">
        <f>_xlfn.XLOOKUP(B65,'26'!$A:$A,'26'!$G:$G,"pipino il breve")</f>
        <v>66.59</v>
      </c>
      <c r="AK65">
        <f>_xlfn.XLOOKUP(B65,'27'!$A:$A,'27'!$G:$G,"pipino il breve")</f>
        <v>67.180000000000007</v>
      </c>
    </row>
    <row r="66" spans="1:37" x14ac:dyDescent="0.2">
      <c r="A66">
        <v>65</v>
      </c>
      <c r="B66" s="2" t="s">
        <v>81</v>
      </c>
      <c r="C66" s="3">
        <v>1.4750000000000001</v>
      </c>
      <c r="D66" s="2" t="s">
        <v>171</v>
      </c>
      <c r="E66" s="3">
        <v>101.71</v>
      </c>
      <c r="F66" s="3">
        <v>101.71</v>
      </c>
      <c r="G66" s="3">
        <v>101.71</v>
      </c>
      <c r="H66">
        <f>_xlfn.XLOOKUP(B66,'28'!$A:$A,'28'!$G:$G,"pipino il breve")</f>
        <v>101.74</v>
      </c>
      <c r="I66">
        <f>_xlfn.XLOOKUP(B66,'29'!$A:$A,'29'!$G:$G,"pipino il breve")</f>
        <v>101.7</v>
      </c>
      <c r="J66" s="11">
        <f>_xlfn.XLOOKUP(B66,'30'!$A:$A,'30'!$G:$G,"pipino il breve")</f>
        <v>101.75</v>
      </c>
      <c r="K66" s="3">
        <f>_xlfn.XLOOKUP(B66,'30'!$A:$A,'30'!$G:$G,"pipino il breve")</f>
        <v>101.75</v>
      </c>
      <c r="L66">
        <f>_xlfn.XLOOKUP(B66,'2'!$A:$A,'2'!$G:$G,"pipino il breve")</f>
        <v>101.67</v>
      </c>
      <c r="M66">
        <f>_xlfn.XLOOKUP(B66,'2'!$A:$A,'2'!$G:$G,"pipino il breve")</f>
        <v>101.67</v>
      </c>
      <c r="N66">
        <f>_xlfn.XLOOKUP(B66,'2'!$A:$A,'2'!$G:$G,"pipino il breve")</f>
        <v>101.67</v>
      </c>
      <c r="O66">
        <f>_xlfn.XLOOKUP(B66,'5'!$A:$A,'5'!$G:$G,"pipino il breve")</f>
        <v>101.65</v>
      </c>
      <c r="P66">
        <f>_xlfn.XLOOKUP(B66,'6'!$A:$A,'6'!$G:$G,"pipino il breve")</f>
        <v>101.68</v>
      </c>
      <c r="Q66">
        <f>_xlfn.XLOOKUP(B66,'7'!$A:$A,'7'!$G:$G,"pipino il breve")</f>
        <v>101.73</v>
      </c>
      <c r="R66">
        <f>_xlfn.XLOOKUP(B66,'8'!$A:$A,'8'!$G:$G,"pipino il breve")</f>
        <v>101.66</v>
      </c>
      <c r="S66">
        <f>_xlfn.XLOOKUP(B66,'9'!$A:$A,'9'!$G:$G,"pipino il breve")</f>
        <v>101.64</v>
      </c>
      <c r="T66">
        <f>_xlfn.XLOOKUP(B66,'9'!$A:$A,'9'!$G:$G,"pipino il breve")</f>
        <v>101.64</v>
      </c>
      <c r="U66">
        <f>_xlfn.XLOOKUP(B66,'9'!$A:$A,'9'!$G:$G,"pipino il breve")</f>
        <v>101.64</v>
      </c>
      <c r="V66">
        <f>_xlfn.XLOOKUP(B66,'12'!$A:$A,'12'!$G:$G,"pipino il breve")</f>
        <v>101.45</v>
      </c>
      <c r="W66">
        <f>_xlfn.XLOOKUP(B66,'13'!$A:$A,'13'!$G:$G,"pipino il breve")</f>
        <v>101.41</v>
      </c>
      <c r="X66">
        <f>_xlfn.XLOOKUP(B66,'14'!$A:$A,'14'!$G:$G,"pipino il breve")</f>
        <v>101.39</v>
      </c>
      <c r="Y66">
        <f>_xlfn.XLOOKUP(B66,'15'!$A:$A,'15'!$G:$G,"pipino il breve")</f>
        <v>101.49</v>
      </c>
      <c r="Z66">
        <f>_xlfn.XLOOKUP(B66,'16'!$A:$A,'16'!$G:$G,"pipino il breve")</f>
        <v>101.53</v>
      </c>
      <c r="AA66">
        <f>_xlfn.XLOOKUP(B66,'16'!$A:$A,'16'!$G:$G,"pipino il breve")</f>
        <v>101.53</v>
      </c>
      <c r="AB66">
        <f>_xlfn.XLOOKUP(B66,'16'!$A:$A,'16'!$G:$G,"pipino il breve")</f>
        <v>101.53</v>
      </c>
      <c r="AC66">
        <f>_xlfn.XLOOKUP(B66,'19'!$A:$A,'19'!$G:$G,"pipino il breve")</f>
        <v>101.54</v>
      </c>
      <c r="AD66">
        <f>_xlfn.XLOOKUP(B66,'20'!$A:$A,'20'!$G:$G,"pipino il breve")</f>
        <v>101.54</v>
      </c>
      <c r="AE66">
        <f>_xlfn.XLOOKUP(B66,'21'!$A:$A,'21'!$G:$G,"pipino il breve")</f>
        <v>101.49</v>
      </c>
      <c r="AF66">
        <f>_xlfn.XLOOKUP(B66,'22'!$A:$A,'22'!$G:$G,"pipino il breve")</f>
        <v>101.52</v>
      </c>
      <c r="AG66">
        <f>_xlfn.XLOOKUP(B66,'23'!$A:$A,'23'!$G:$G,"pipino il breve")</f>
        <v>101.61</v>
      </c>
      <c r="AH66">
        <f>_xlfn.XLOOKUP(B66,'23'!$A:$A,'23'!$G:$G,"pipino il breve")</f>
        <v>101.61</v>
      </c>
      <c r="AI66">
        <f>_xlfn.XLOOKUP(B66,'23'!$A:$A,'23'!$G:$G,"pipino il breve")</f>
        <v>101.61</v>
      </c>
      <c r="AJ66">
        <f>_xlfn.XLOOKUP(B66,'26'!$A:$A,'26'!$G:$G,"pipino il breve")</f>
        <v>101.59</v>
      </c>
      <c r="AK66">
        <f>_xlfn.XLOOKUP(B66,'27'!$A:$A,'27'!$G:$G,"pipino il breve")</f>
        <v>101.6</v>
      </c>
    </row>
    <row r="67" spans="1:37" x14ac:dyDescent="0.2">
      <c r="A67">
        <v>66</v>
      </c>
      <c r="B67" s="2" t="s">
        <v>97</v>
      </c>
      <c r="C67" s="3">
        <v>1.825</v>
      </c>
      <c r="D67" s="2" t="s">
        <v>172</v>
      </c>
      <c r="E67" s="3">
        <v>100.75</v>
      </c>
      <c r="F67" s="3">
        <v>100.75</v>
      </c>
      <c r="G67" s="3">
        <v>100.75</v>
      </c>
      <c r="H67">
        <f>_xlfn.XLOOKUP(B67,'28'!$A:$A,'28'!$G:$G,"pipino il breve")</f>
        <v>100.63</v>
      </c>
      <c r="I67">
        <f>_xlfn.XLOOKUP(B67,'29'!$A:$A,'29'!$G:$G,"pipino il breve")</f>
        <v>100.71</v>
      </c>
      <c r="J67" s="11">
        <f>_xlfn.XLOOKUP(B67,'30'!$A:$A,'30'!$G:$G,"pipino il breve")</f>
        <v>100.96</v>
      </c>
      <c r="K67" s="3">
        <f>_xlfn.XLOOKUP(B67,'30'!$A:$A,'30'!$G:$G,"pipino il breve")</f>
        <v>100.96</v>
      </c>
      <c r="L67">
        <f>_xlfn.XLOOKUP(B67,'2'!$A:$A,'2'!$G:$G,"pipino il breve")</f>
        <v>100.49</v>
      </c>
      <c r="M67">
        <f>_xlfn.XLOOKUP(B67,'2'!$A:$A,'2'!$G:$G,"pipino il breve")</f>
        <v>100.49</v>
      </c>
      <c r="N67">
        <f>_xlfn.XLOOKUP(B67,'2'!$A:$A,'2'!$G:$G,"pipino il breve")</f>
        <v>100.49</v>
      </c>
      <c r="O67">
        <f>_xlfn.XLOOKUP(B67,'5'!$A:$A,'5'!$G:$G,"pipino il breve")</f>
        <v>100.66</v>
      </c>
      <c r="P67">
        <f>_xlfn.XLOOKUP(B67,'6'!$A:$A,'6'!$G:$G,"pipino il breve")</f>
        <v>100.56</v>
      </c>
      <c r="Q67">
        <f>_xlfn.XLOOKUP(B67,'7'!$A:$A,'7'!$G:$G,"pipino il breve")</f>
        <v>101.1</v>
      </c>
      <c r="R67">
        <f>_xlfn.XLOOKUP(B67,'8'!$A:$A,'8'!$G:$G,"pipino il breve")</f>
        <v>100.95</v>
      </c>
      <c r="S67">
        <f>_xlfn.XLOOKUP(B67,'9'!$A:$A,'9'!$G:$G,"pipino il breve")</f>
        <v>100.66</v>
      </c>
      <c r="T67">
        <f>_xlfn.XLOOKUP(B67,'9'!$A:$A,'9'!$G:$G,"pipino il breve")</f>
        <v>100.66</v>
      </c>
      <c r="U67">
        <f>_xlfn.XLOOKUP(B67,'9'!$A:$A,'9'!$G:$G,"pipino il breve")</f>
        <v>100.66</v>
      </c>
      <c r="V67">
        <f>_xlfn.XLOOKUP(B67,'12'!$A:$A,'12'!$G:$G,"pipino il breve")</f>
        <v>100.15</v>
      </c>
      <c r="W67">
        <f>_xlfn.XLOOKUP(B67,'13'!$A:$A,'13'!$G:$G,"pipino il breve")</f>
        <v>99.95</v>
      </c>
      <c r="X67">
        <f>_xlfn.XLOOKUP(B67,'14'!$A:$A,'14'!$G:$G,"pipino il breve")</f>
        <v>99.84</v>
      </c>
      <c r="Y67">
        <f>_xlfn.XLOOKUP(B67,'15'!$A:$A,'15'!$G:$G,"pipino il breve")</f>
        <v>100.45</v>
      </c>
      <c r="Z67">
        <f>_xlfn.XLOOKUP(B67,'16'!$A:$A,'16'!$G:$G,"pipino il breve")</f>
        <v>100.79</v>
      </c>
      <c r="AA67">
        <f>_xlfn.XLOOKUP(B67,'16'!$A:$A,'16'!$G:$G,"pipino il breve")</f>
        <v>100.79</v>
      </c>
      <c r="AB67">
        <f>_xlfn.XLOOKUP(B67,'16'!$A:$A,'16'!$G:$G,"pipino il breve")</f>
        <v>100.79</v>
      </c>
      <c r="AC67">
        <f>_xlfn.XLOOKUP(B67,'19'!$A:$A,'19'!$G:$G,"pipino il breve")</f>
        <v>100.85</v>
      </c>
      <c r="AD67">
        <f>_xlfn.XLOOKUP(B67,'20'!$A:$A,'20'!$G:$G,"pipino il breve")</f>
        <v>100.72</v>
      </c>
      <c r="AE67">
        <f>_xlfn.XLOOKUP(B67,'21'!$A:$A,'21'!$G:$G,"pipino il breve")</f>
        <v>100.44</v>
      </c>
      <c r="AF67">
        <f>_xlfn.XLOOKUP(B67,'22'!$A:$A,'22'!$G:$G,"pipino il breve")</f>
        <v>100.26</v>
      </c>
      <c r="AG67">
        <f>_xlfn.XLOOKUP(B67,'23'!$A:$A,'23'!$G:$G,"pipino il breve")</f>
        <v>100.75</v>
      </c>
      <c r="AH67">
        <f>_xlfn.XLOOKUP(B67,'23'!$A:$A,'23'!$G:$G,"pipino il breve")</f>
        <v>100.75</v>
      </c>
      <c r="AI67">
        <f>_xlfn.XLOOKUP(B67,'23'!$A:$A,'23'!$G:$G,"pipino il breve")</f>
        <v>100.75</v>
      </c>
      <c r="AJ67">
        <f>_xlfn.XLOOKUP(B67,'26'!$A:$A,'26'!$G:$G,"pipino il breve")</f>
        <v>101.06</v>
      </c>
      <c r="AK67">
        <f>_xlfn.XLOOKUP(B67,'27'!$A:$A,'27'!$G:$G,"pipino il breve")</f>
        <v>101.31</v>
      </c>
    </row>
    <row r="68" spans="1:37" x14ac:dyDescent="0.2">
      <c r="A68">
        <v>67</v>
      </c>
      <c r="B68" s="2" t="s">
        <v>33</v>
      </c>
      <c r="C68" s="3">
        <v>1.05</v>
      </c>
      <c r="D68" s="2" t="s">
        <v>173</v>
      </c>
      <c r="E68" s="3">
        <v>100.23</v>
      </c>
      <c r="F68" s="3">
        <v>100.23</v>
      </c>
      <c r="G68" s="3">
        <v>100.23</v>
      </c>
      <c r="H68">
        <f>_xlfn.XLOOKUP(B68,'28'!$A:$A,'28'!$G:$G,"pipino il breve")</f>
        <v>100.23</v>
      </c>
      <c r="I68">
        <f>_xlfn.XLOOKUP(B68,'29'!$A:$A,'29'!$G:$G,"pipino il breve")</f>
        <v>100.23</v>
      </c>
      <c r="J68" s="11">
        <f>_xlfn.XLOOKUP(B68,'30'!$A:$A,'30'!$G:$G,"pipino il breve")</f>
        <v>100.29</v>
      </c>
      <c r="K68" s="3">
        <f>_xlfn.XLOOKUP(B68,'30'!$A:$A,'30'!$G:$G,"pipino il breve")</f>
        <v>100.29</v>
      </c>
      <c r="L68">
        <f>_xlfn.XLOOKUP(B68,'2'!$A:$A,'2'!$G:$G,"pipino il breve")</f>
        <v>100.26</v>
      </c>
      <c r="M68">
        <f>_xlfn.XLOOKUP(B68,'2'!$A:$A,'2'!$G:$G,"pipino il breve")</f>
        <v>100.26</v>
      </c>
      <c r="N68">
        <f>_xlfn.XLOOKUP(B68,'2'!$A:$A,'2'!$G:$G,"pipino il breve")</f>
        <v>100.26</v>
      </c>
      <c r="O68">
        <f>_xlfn.XLOOKUP(B68,'5'!$A:$A,'5'!$G:$G,"pipino il breve")</f>
        <v>100.24</v>
      </c>
      <c r="P68">
        <f>_xlfn.XLOOKUP(B68,'6'!$A:$A,'6'!$G:$G,"pipino il breve")</f>
        <v>100.26</v>
      </c>
      <c r="Q68">
        <f>_xlfn.XLOOKUP(B68,'7'!$A:$A,'7'!$G:$G,"pipino il breve")</f>
        <v>100.29</v>
      </c>
      <c r="R68">
        <f>_xlfn.XLOOKUP(B68,'8'!$A:$A,'8'!$G:$G,"pipino il breve")</f>
        <v>100.25</v>
      </c>
      <c r="S68">
        <f>_xlfn.XLOOKUP(B68,'9'!$A:$A,'9'!$G:$G,"pipino il breve")</f>
        <v>100.22</v>
      </c>
      <c r="T68">
        <f>_xlfn.XLOOKUP(B68,'9'!$A:$A,'9'!$G:$G,"pipino il breve")</f>
        <v>100.22</v>
      </c>
      <c r="U68">
        <f>_xlfn.XLOOKUP(B68,'9'!$A:$A,'9'!$G:$G,"pipino il breve")</f>
        <v>100.22</v>
      </c>
      <c r="V68">
        <f>_xlfn.XLOOKUP(B68,'12'!$A:$A,'12'!$G:$G,"pipino il breve")</f>
        <v>100.11</v>
      </c>
      <c r="W68">
        <f>_xlfn.XLOOKUP(B68,'13'!$A:$A,'13'!$G:$G,"pipino il breve")</f>
        <v>100.14</v>
      </c>
      <c r="X68">
        <f>_xlfn.XLOOKUP(B68,'14'!$A:$A,'14'!$G:$G,"pipino il breve")</f>
        <v>100.12</v>
      </c>
      <c r="Y68">
        <f>_xlfn.XLOOKUP(B68,'15'!$A:$A,'15'!$G:$G,"pipino il breve")</f>
        <v>100.17</v>
      </c>
      <c r="Z68">
        <f>_xlfn.XLOOKUP(B68,'16'!$A:$A,'16'!$G:$G,"pipino il breve")</f>
        <v>100.16</v>
      </c>
      <c r="AA68">
        <f>_xlfn.XLOOKUP(B68,'16'!$A:$A,'16'!$G:$G,"pipino il breve")</f>
        <v>100.16</v>
      </c>
      <c r="AB68">
        <f>_xlfn.XLOOKUP(B68,'16'!$A:$A,'16'!$G:$G,"pipino il breve")</f>
        <v>100.16</v>
      </c>
      <c r="AC68">
        <f>_xlfn.XLOOKUP(B68,'19'!$A:$A,'19'!$G:$G,"pipino il breve")</f>
        <v>100.16</v>
      </c>
      <c r="AD68">
        <f>_xlfn.XLOOKUP(B68,'20'!$A:$A,'20'!$G:$G,"pipino il breve")</f>
        <v>100.17</v>
      </c>
      <c r="AE68">
        <f>_xlfn.XLOOKUP(B68,'21'!$A:$A,'21'!$G:$G,"pipino il breve")</f>
        <v>100.18</v>
      </c>
      <c r="AF68">
        <f>_xlfn.XLOOKUP(B68,'22'!$A:$A,'22'!$G:$G,"pipino il breve")</f>
        <v>100.2</v>
      </c>
      <c r="AG68">
        <f>_xlfn.XLOOKUP(B68,'23'!$A:$A,'23'!$G:$G,"pipino il breve")</f>
        <v>100.25</v>
      </c>
      <c r="AH68">
        <f>_xlfn.XLOOKUP(B68,'23'!$A:$A,'23'!$G:$G,"pipino il breve")</f>
        <v>100.25</v>
      </c>
      <c r="AI68">
        <f>_xlfn.XLOOKUP(B68,'23'!$A:$A,'23'!$G:$G,"pipino il breve")</f>
        <v>100.25</v>
      </c>
      <c r="AJ68">
        <f>_xlfn.XLOOKUP(B68,'26'!$A:$A,'26'!$G:$G,"pipino il breve")</f>
        <v>100.22</v>
      </c>
      <c r="AK68">
        <f>_xlfn.XLOOKUP(B68,'27'!$A:$A,'27'!$G:$G,"pipino il breve")</f>
        <v>100.24</v>
      </c>
    </row>
    <row r="69" spans="1:37" x14ac:dyDescent="0.2">
      <c r="A69">
        <v>68</v>
      </c>
      <c r="B69" s="2" t="s">
        <v>89</v>
      </c>
      <c r="C69" s="3">
        <v>1.7250000000000001</v>
      </c>
      <c r="D69" s="2" t="s">
        <v>174</v>
      </c>
      <c r="E69" s="3">
        <v>102.88</v>
      </c>
      <c r="F69" s="3">
        <v>102.88</v>
      </c>
      <c r="G69" s="3">
        <v>102.88</v>
      </c>
      <c r="H69">
        <f>_xlfn.XLOOKUP(B69,'28'!$A:$A,'28'!$G:$G,"pipino il breve")</f>
        <v>102.85</v>
      </c>
      <c r="I69">
        <f>_xlfn.XLOOKUP(B69,'29'!$A:$A,'29'!$G:$G,"pipino il breve")</f>
        <v>102.79</v>
      </c>
      <c r="J69" s="11">
        <f>_xlfn.XLOOKUP(B69,'30'!$A:$A,'30'!$G:$G,"pipino il breve")</f>
        <v>102.99</v>
      </c>
      <c r="K69" s="3">
        <f>_xlfn.XLOOKUP(B69,'30'!$A:$A,'30'!$G:$G,"pipino il breve")</f>
        <v>102.99</v>
      </c>
      <c r="L69">
        <f>_xlfn.XLOOKUP(B69,'2'!$A:$A,'2'!$G:$G,"pipino il breve")</f>
        <v>102.75</v>
      </c>
      <c r="M69">
        <f>_xlfn.XLOOKUP(B69,'2'!$A:$A,'2'!$G:$G,"pipino il breve")</f>
        <v>102.75</v>
      </c>
      <c r="N69">
        <f>_xlfn.XLOOKUP(B69,'2'!$A:$A,'2'!$G:$G,"pipino il breve")</f>
        <v>102.75</v>
      </c>
      <c r="O69">
        <f>_xlfn.XLOOKUP(B69,'5'!$A:$A,'5'!$G:$G,"pipino il breve")</f>
        <v>102.76</v>
      </c>
      <c r="P69">
        <f>_xlfn.XLOOKUP(B69,'6'!$A:$A,'6'!$G:$G,"pipino il breve")</f>
        <v>102.77</v>
      </c>
      <c r="Q69">
        <f>_xlfn.XLOOKUP(B69,'7'!$A:$A,'7'!$G:$G,"pipino il breve")</f>
        <v>103.1</v>
      </c>
      <c r="R69">
        <f>_xlfn.XLOOKUP(B69,'8'!$A:$A,'8'!$G:$G,"pipino il breve")</f>
        <v>102.97</v>
      </c>
      <c r="S69">
        <f>_xlfn.XLOOKUP(B69,'9'!$A:$A,'9'!$G:$G,"pipino il breve")</f>
        <v>102.79</v>
      </c>
      <c r="T69">
        <f>_xlfn.XLOOKUP(B69,'9'!$A:$A,'9'!$G:$G,"pipino il breve")</f>
        <v>102.79</v>
      </c>
      <c r="U69">
        <f>_xlfn.XLOOKUP(B69,'9'!$A:$A,'9'!$G:$G,"pipino il breve")</f>
        <v>102.79</v>
      </c>
      <c r="V69">
        <f>_xlfn.XLOOKUP(B69,'12'!$A:$A,'12'!$G:$G,"pipino il breve")</f>
        <v>102.32</v>
      </c>
      <c r="W69">
        <f>_xlfn.XLOOKUP(B69,'13'!$A:$A,'13'!$G:$G,"pipino il breve")</f>
        <v>102.25</v>
      </c>
      <c r="X69">
        <f>_xlfn.XLOOKUP(B69,'14'!$A:$A,'14'!$G:$G,"pipino il breve")</f>
        <v>102.2</v>
      </c>
      <c r="Y69">
        <f>_xlfn.XLOOKUP(B69,'15'!$A:$A,'15'!$G:$G,"pipino il breve")</f>
        <v>102.47</v>
      </c>
      <c r="Z69">
        <f>_xlfn.XLOOKUP(B69,'16'!$A:$A,'16'!$G:$G,"pipino il breve")</f>
        <v>102.73</v>
      </c>
      <c r="AA69">
        <f>_xlfn.XLOOKUP(B69,'16'!$A:$A,'16'!$G:$G,"pipino il breve")</f>
        <v>102.73</v>
      </c>
      <c r="AB69">
        <f>_xlfn.XLOOKUP(B69,'16'!$A:$A,'16'!$G:$G,"pipino il breve")</f>
        <v>102.73</v>
      </c>
      <c r="AC69">
        <f>_xlfn.XLOOKUP(B69,'19'!$A:$A,'19'!$G:$G,"pipino il breve")</f>
        <v>102.8</v>
      </c>
      <c r="AD69">
        <f>_xlfn.XLOOKUP(B69,'20'!$A:$A,'20'!$G:$G,"pipino il breve")</f>
        <v>102.72</v>
      </c>
      <c r="AE69">
        <f>_xlfn.XLOOKUP(B69,'21'!$A:$A,'21'!$G:$G,"pipino il breve")</f>
        <v>102.57</v>
      </c>
      <c r="AF69">
        <f>_xlfn.XLOOKUP(B69,'22'!$A:$A,'22'!$G:$G,"pipino il breve")</f>
        <v>102.52</v>
      </c>
      <c r="AG69">
        <f>_xlfn.XLOOKUP(B69,'23'!$A:$A,'23'!$G:$G,"pipino il breve")</f>
        <v>102.85</v>
      </c>
      <c r="AH69">
        <f>_xlfn.XLOOKUP(B69,'23'!$A:$A,'23'!$G:$G,"pipino il breve")</f>
        <v>102.85</v>
      </c>
      <c r="AI69">
        <f>_xlfn.XLOOKUP(B69,'23'!$A:$A,'23'!$G:$G,"pipino il breve")</f>
        <v>102.85</v>
      </c>
      <c r="AJ69">
        <f>_xlfn.XLOOKUP(B69,'26'!$A:$A,'26'!$G:$G,"pipino il breve")</f>
        <v>102.96</v>
      </c>
      <c r="AK69">
        <f>_xlfn.XLOOKUP(B69,'27'!$A:$A,'27'!$G:$G,"pipino il breve")</f>
        <v>103.05</v>
      </c>
    </row>
    <row r="70" spans="1:37" x14ac:dyDescent="0.2">
      <c r="A70">
        <v>69</v>
      </c>
      <c r="B70" s="2" t="s">
        <v>44</v>
      </c>
      <c r="C70" s="3">
        <v>0.9</v>
      </c>
      <c r="D70" s="2" t="s">
        <v>175</v>
      </c>
      <c r="E70" s="3">
        <v>74.48</v>
      </c>
      <c r="F70" s="3">
        <v>74.48</v>
      </c>
      <c r="G70" s="3">
        <v>74.48</v>
      </c>
      <c r="H70">
        <f>_xlfn.XLOOKUP(B70,'28'!$A:$A,'28'!$G:$G,"pipino il breve")</f>
        <v>74.37</v>
      </c>
      <c r="I70">
        <f>_xlfn.XLOOKUP(B70,'29'!$A:$A,'29'!$G:$G,"pipino il breve")</f>
        <v>74.33</v>
      </c>
      <c r="J70" s="11">
        <f>_xlfn.XLOOKUP(B70,'30'!$A:$A,'30'!$G:$G,"pipino il breve")</f>
        <v>74.63</v>
      </c>
      <c r="K70" s="3">
        <f>_xlfn.XLOOKUP(B70,'30'!$A:$A,'30'!$G:$G,"pipino il breve")</f>
        <v>74.63</v>
      </c>
      <c r="L70">
        <f>_xlfn.XLOOKUP(B70,'2'!$A:$A,'2'!$G:$G,"pipino il breve")</f>
        <v>74</v>
      </c>
      <c r="M70">
        <f>_xlfn.XLOOKUP(B70,'2'!$A:$A,'2'!$G:$G,"pipino il breve")</f>
        <v>74</v>
      </c>
      <c r="N70">
        <f>_xlfn.XLOOKUP(B70,'2'!$A:$A,'2'!$G:$G,"pipino il breve")</f>
        <v>74</v>
      </c>
      <c r="O70">
        <f>_xlfn.XLOOKUP(B70,'5'!$A:$A,'5'!$G:$G,"pipino il breve")</f>
        <v>74.3</v>
      </c>
      <c r="P70">
        <f>_xlfn.XLOOKUP(B70,'6'!$A:$A,'6'!$G:$G,"pipino il breve")</f>
        <v>74.05</v>
      </c>
      <c r="Q70">
        <f>_xlfn.XLOOKUP(B70,'7'!$A:$A,'7'!$G:$G,"pipino il breve")</f>
        <v>74.75</v>
      </c>
      <c r="R70">
        <f>_xlfn.XLOOKUP(B70,'8'!$A:$A,'8'!$G:$G,"pipino il breve")</f>
        <v>74.53</v>
      </c>
      <c r="S70">
        <f>_xlfn.XLOOKUP(B70,'9'!$A:$A,'9'!$G:$G,"pipino il breve")</f>
        <v>74.180000000000007</v>
      </c>
      <c r="T70">
        <f>_xlfn.XLOOKUP(B70,'9'!$A:$A,'9'!$G:$G,"pipino il breve")</f>
        <v>74.180000000000007</v>
      </c>
      <c r="U70">
        <f>_xlfn.XLOOKUP(B70,'9'!$A:$A,'9'!$G:$G,"pipino il breve")</f>
        <v>74.180000000000007</v>
      </c>
      <c r="V70">
        <f>_xlfn.XLOOKUP(B70,'12'!$A:$A,'12'!$G:$G,"pipino il breve")</f>
        <v>73.790000000000006</v>
      </c>
      <c r="W70">
        <f>_xlfn.XLOOKUP(B70,'13'!$A:$A,'13'!$G:$G,"pipino il breve")</f>
        <v>73.459999999999994</v>
      </c>
      <c r="X70">
        <f>_xlfn.XLOOKUP(B70,'14'!$A:$A,'14'!$G:$G,"pipino il breve")</f>
        <v>73.459999999999994</v>
      </c>
      <c r="Y70">
        <f>_xlfn.XLOOKUP(B70,'15'!$A:$A,'15'!$G:$G,"pipino il breve")</f>
        <v>74.2</v>
      </c>
      <c r="Z70">
        <f>_xlfn.XLOOKUP(B70,'16'!$A:$A,'16'!$G:$G,"pipino il breve")</f>
        <v>74.55</v>
      </c>
      <c r="AA70">
        <f>_xlfn.XLOOKUP(B70,'16'!$A:$A,'16'!$G:$G,"pipino il breve")</f>
        <v>74.55</v>
      </c>
      <c r="AB70">
        <f>_xlfn.XLOOKUP(B70,'16'!$A:$A,'16'!$G:$G,"pipino il breve")</f>
        <v>74.55</v>
      </c>
      <c r="AC70">
        <f>_xlfn.XLOOKUP(B70,'19'!$A:$A,'19'!$G:$G,"pipino il breve")</f>
        <v>74.56</v>
      </c>
      <c r="AD70">
        <f>_xlfn.XLOOKUP(B70,'20'!$A:$A,'20'!$G:$G,"pipino il breve")</f>
        <v>74.38</v>
      </c>
      <c r="AE70">
        <f>_xlfn.XLOOKUP(B70,'21'!$A:$A,'21'!$G:$G,"pipino il breve")</f>
        <v>74.05</v>
      </c>
      <c r="AF70">
        <f>_xlfn.XLOOKUP(B70,'22'!$A:$A,'22'!$G:$G,"pipino il breve")</f>
        <v>73.819999999999993</v>
      </c>
      <c r="AG70">
        <f>_xlfn.XLOOKUP(B70,'23'!$A:$A,'23'!$G:$G,"pipino il breve")</f>
        <v>74.2</v>
      </c>
      <c r="AH70">
        <f>_xlfn.XLOOKUP(B70,'23'!$A:$A,'23'!$G:$G,"pipino il breve")</f>
        <v>74.2</v>
      </c>
      <c r="AI70">
        <f>_xlfn.XLOOKUP(B70,'23'!$A:$A,'23'!$G:$G,"pipino il breve")</f>
        <v>74.2</v>
      </c>
      <c r="AJ70">
        <f>_xlfn.XLOOKUP(B70,'26'!$A:$A,'26'!$G:$G,"pipino il breve")</f>
        <v>74.63</v>
      </c>
      <c r="AK70">
        <f>_xlfn.XLOOKUP(B70,'27'!$A:$A,'27'!$G:$G,"pipino il breve")</f>
        <v>74.94</v>
      </c>
    </row>
    <row r="71" spans="1:37" x14ac:dyDescent="0.2">
      <c r="A71">
        <v>70</v>
      </c>
      <c r="B71" s="2" t="s">
        <v>78</v>
      </c>
      <c r="C71" s="3">
        <v>2</v>
      </c>
      <c r="D71" s="2" t="s">
        <v>176</v>
      </c>
      <c r="E71" s="3">
        <v>106.19</v>
      </c>
      <c r="F71" s="3">
        <v>106.19</v>
      </c>
      <c r="G71" s="3">
        <v>106.19</v>
      </c>
      <c r="H71">
        <f>_xlfn.XLOOKUP(B71,'28'!$A:$A,'28'!$G:$G,"pipino il breve")</f>
        <v>106.19</v>
      </c>
      <c r="I71">
        <f>_xlfn.XLOOKUP(B71,'29'!$A:$A,'29'!$G:$G,"pipino il breve")</f>
        <v>106.17</v>
      </c>
      <c r="J71" s="11">
        <f>_xlfn.XLOOKUP(B71,'30'!$A:$A,'30'!$G:$G,"pipino il breve")</f>
        <v>106.3</v>
      </c>
      <c r="K71" s="3">
        <f>_xlfn.XLOOKUP(B71,'30'!$A:$A,'30'!$G:$G,"pipino il breve")</f>
        <v>106.3</v>
      </c>
      <c r="L71">
        <f>_xlfn.XLOOKUP(B71,'2'!$A:$A,'2'!$G:$G,"pipino il breve")</f>
        <v>106.1</v>
      </c>
      <c r="M71">
        <f>_xlfn.XLOOKUP(B71,'2'!$A:$A,'2'!$G:$G,"pipino il breve")</f>
        <v>106.1</v>
      </c>
      <c r="N71">
        <f>_xlfn.XLOOKUP(B71,'2'!$A:$A,'2'!$G:$G,"pipino il breve")</f>
        <v>106.1</v>
      </c>
      <c r="O71">
        <f>_xlfn.XLOOKUP(B71,'5'!$A:$A,'5'!$G:$G,"pipino il breve")</f>
        <v>106.13</v>
      </c>
      <c r="P71">
        <f>_xlfn.XLOOKUP(B71,'6'!$A:$A,'6'!$G:$G,"pipino il breve")</f>
        <v>106.07</v>
      </c>
      <c r="Q71">
        <f>_xlfn.XLOOKUP(B71,'7'!$A:$A,'7'!$G:$G,"pipino il breve")</f>
        <v>106.35</v>
      </c>
      <c r="R71">
        <f>_xlfn.XLOOKUP(B71,'8'!$A:$A,'8'!$G:$G,"pipino il breve")</f>
        <v>106.23</v>
      </c>
      <c r="S71">
        <f>_xlfn.XLOOKUP(B71,'9'!$A:$A,'9'!$G:$G,"pipino il breve")</f>
        <v>106.07</v>
      </c>
      <c r="T71">
        <f>_xlfn.XLOOKUP(B71,'9'!$A:$A,'9'!$G:$G,"pipino il breve")</f>
        <v>106.07</v>
      </c>
      <c r="U71">
        <f>_xlfn.XLOOKUP(B71,'9'!$A:$A,'9'!$G:$G,"pipino il breve")</f>
        <v>106.07</v>
      </c>
      <c r="V71">
        <f>_xlfn.XLOOKUP(B71,'12'!$A:$A,'12'!$G:$G,"pipino il breve")</f>
        <v>105.63</v>
      </c>
      <c r="W71">
        <f>_xlfn.XLOOKUP(B71,'13'!$A:$A,'13'!$G:$G,"pipino il breve")</f>
        <v>105.57</v>
      </c>
      <c r="X71">
        <f>_xlfn.XLOOKUP(B71,'14'!$A:$A,'14'!$G:$G,"pipino il breve")</f>
        <v>105.52</v>
      </c>
      <c r="Y71">
        <f>_xlfn.XLOOKUP(B71,'15'!$A:$A,'15'!$G:$G,"pipino il breve")</f>
        <v>105.76</v>
      </c>
      <c r="Z71">
        <f>_xlfn.XLOOKUP(B71,'16'!$A:$A,'16'!$G:$G,"pipino il breve")</f>
        <v>105.94</v>
      </c>
      <c r="AA71">
        <f>_xlfn.XLOOKUP(B71,'16'!$A:$A,'16'!$G:$G,"pipino il breve")</f>
        <v>105.94</v>
      </c>
      <c r="AB71">
        <f>_xlfn.XLOOKUP(B71,'16'!$A:$A,'16'!$G:$G,"pipino il breve")</f>
        <v>105.94</v>
      </c>
      <c r="AC71">
        <f>_xlfn.XLOOKUP(B71,'19'!$A:$A,'19'!$G:$G,"pipino il breve")</f>
        <v>106.07</v>
      </c>
      <c r="AD71">
        <f>_xlfn.XLOOKUP(B71,'20'!$A:$A,'20'!$G:$G,"pipino il breve")</f>
        <v>105.96</v>
      </c>
      <c r="AE71">
        <f>_xlfn.XLOOKUP(B71,'21'!$A:$A,'21'!$G:$G,"pipino il breve")</f>
        <v>105.86</v>
      </c>
      <c r="AF71">
        <f>_xlfn.XLOOKUP(B71,'22'!$A:$A,'22'!$G:$G,"pipino il breve")</f>
        <v>105.87</v>
      </c>
      <c r="AG71">
        <f>_xlfn.XLOOKUP(B71,'23'!$A:$A,'23'!$G:$G,"pipino il breve")</f>
        <v>106.06</v>
      </c>
      <c r="AH71">
        <f>_xlfn.XLOOKUP(B71,'23'!$A:$A,'23'!$G:$G,"pipino il breve")</f>
        <v>106.06</v>
      </c>
      <c r="AI71">
        <f>_xlfn.XLOOKUP(B71,'23'!$A:$A,'23'!$G:$G,"pipino il breve")</f>
        <v>106.06</v>
      </c>
      <c r="AJ71">
        <f>_xlfn.XLOOKUP(B71,'26'!$A:$A,'26'!$G:$G,"pipino il breve")</f>
        <v>106.17</v>
      </c>
      <c r="AK71">
        <f>_xlfn.XLOOKUP(B71,'27'!$A:$A,'27'!$G:$G,"pipino il breve")</f>
        <v>106.24</v>
      </c>
    </row>
    <row r="72" spans="1:37" x14ac:dyDescent="0.2">
      <c r="A72">
        <v>71</v>
      </c>
      <c r="B72" s="2" t="s">
        <v>36</v>
      </c>
      <c r="C72" s="3">
        <v>0.42499999999999999</v>
      </c>
      <c r="D72" s="2" t="s">
        <v>177</v>
      </c>
      <c r="E72" s="3">
        <v>98.28</v>
      </c>
      <c r="F72" s="3">
        <v>98.28</v>
      </c>
      <c r="G72" s="3">
        <v>98.28</v>
      </c>
      <c r="H72">
        <f>_xlfn.XLOOKUP(B72,'28'!$A:$A,'28'!$G:$G,"pipino il breve")</f>
        <v>98.32</v>
      </c>
      <c r="I72">
        <f>_xlfn.XLOOKUP(B72,'29'!$A:$A,'29'!$G:$G,"pipino il breve")</f>
        <v>98.33</v>
      </c>
      <c r="J72" s="11">
        <f>_xlfn.XLOOKUP(B72,'30'!$A:$A,'30'!$G:$G,"pipino il breve")</f>
        <v>98.37</v>
      </c>
      <c r="K72" s="3">
        <f>_xlfn.XLOOKUP(B72,'30'!$A:$A,'30'!$G:$G,"pipino il breve")</f>
        <v>98.37</v>
      </c>
      <c r="L72">
        <f>_xlfn.XLOOKUP(B72,'2'!$A:$A,'2'!$G:$G,"pipino il breve")</f>
        <v>98.33</v>
      </c>
      <c r="M72">
        <f>_xlfn.XLOOKUP(B72,'2'!$A:$A,'2'!$G:$G,"pipino il breve")</f>
        <v>98.33</v>
      </c>
      <c r="N72">
        <f>_xlfn.XLOOKUP(B72,'2'!$A:$A,'2'!$G:$G,"pipino il breve")</f>
        <v>98.33</v>
      </c>
      <c r="O72">
        <f>_xlfn.XLOOKUP(B72,'5'!$A:$A,'5'!$G:$G,"pipino il breve")</f>
        <v>98.12</v>
      </c>
      <c r="P72">
        <f>_xlfn.XLOOKUP(B72,'6'!$A:$A,'6'!$G:$G,"pipino il breve")</f>
        <v>98.36</v>
      </c>
      <c r="Q72">
        <f>_xlfn.XLOOKUP(B72,'7'!$A:$A,'7'!$G:$G,"pipino il breve")</f>
        <v>98.39</v>
      </c>
      <c r="R72">
        <f>_xlfn.XLOOKUP(B72,'8'!$A:$A,'8'!$G:$G,"pipino il breve")</f>
        <v>98.39</v>
      </c>
      <c r="S72">
        <f>_xlfn.XLOOKUP(B72,'9'!$A:$A,'9'!$G:$G,"pipino il breve")</f>
        <v>98.34</v>
      </c>
      <c r="T72">
        <f>_xlfn.XLOOKUP(B72,'9'!$A:$A,'9'!$G:$G,"pipino il breve")</f>
        <v>98.34</v>
      </c>
      <c r="U72">
        <f>_xlfn.XLOOKUP(B72,'9'!$A:$A,'9'!$G:$G,"pipino il breve")</f>
        <v>98.34</v>
      </c>
      <c r="V72">
        <f>_xlfn.XLOOKUP(B72,'12'!$A:$A,'12'!$G:$G,"pipino il breve")</f>
        <v>98.13</v>
      </c>
      <c r="W72">
        <f>_xlfn.XLOOKUP(B72,'13'!$A:$A,'13'!$G:$G,"pipino il breve")</f>
        <v>98.16</v>
      </c>
      <c r="X72">
        <f>_xlfn.XLOOKUP(B72,'14'!$A:$A,'14'!$G:$G,"pipino il breve")</f>
        <v>98.17</v>
      </c>
      <c r="Y72">
        <f>_xlfn.XLOOKUP(B72,'15'!$A:$A,'15'!$G:$G,"pipino il breve")</f>
        <v>98.21</v>
      </c>
      <c r="Z72">
        <f>_xlfn.XLOOKUP(B72,'16'!$A:$A,'16'!$G:$G,"pipino il breve")</f>
        <v>98.29</v>
      </c>
      <c r="AA72">
        <f>_xlfn.XLOOKUP(B72,'16'!$A:$A,'16'!$G:$G,"pipino il breve")</f>
        <v>98.29</v>
      </c>
      <c r="AB72">
        <f>_xlfn.XLOOKUP(B72,'16'!$A:$A,'16'!$G:$G,"pipino il breve")</f>
        <v>98.29</v>
      </c>
      <c r="AC72">
        <f>_xlfn.XLOOKUP(B72,'19'!$A:$A,'19'!$G:$G,"pipino il breve")</f>
        <v>98.31</v>
      </c>
      <c r="AD72">
        <f>_xlfn.XLOOKUP(B72,'20'!$A:$A,'20'!$G:$G,"pipino il breve")</f>
        <v>98.31</v>
      </c>
      <c r="AE72">
        <f>_xlfn.XLOOKUP(B72,'21'!$A:$A,'21'!$G:$G,"pipino il breve")</f>
        <v>98.28</v>
      </c>
      <c r="AF72">
        <f>_xlfn.XLOOKUP(B72,'22'!$A:$A,'22'!$G:$G,"pipino il breve")</f>
        <v>98.32</v>
      </c>
      <c r="AG72">
        <f>_xlfn.XLOOKUP(B72,'23'!$A:$A,'23'!$G:$G,"pipino il breve")</f>
        <v>98.41</v>
      </c>
      <c r="AH72">
        <f>_xlfn.XLOOKUP(B72,'23'!$A:$A,'23'!$G:$G,"pipino il breve")</f>
        <v>98.41</v>
      </c>
      <c r="AI72">
        <f>_xlfn.XLOOKUP(B72,'23'!$A:$A,'23'!$G:$G,"pipino il breve")</f>
        <v>98.41</v>
      </c>
      <c r="AJ72">
        <f>_xlfn.XLOOKUP(B72,'26'!$A:$A,'26'!$G:$G,"pipino il breve")</f>
        <v>98.36</v>
      </c>
      <c r="AK72">
        <f>_xlfn.XLOOKUP(B72,'27'!$A:$A,'27'!$G:$G,"pipino il breve")</f>
        <v>98.37</v>
      </c>
    </row>
    <row r="73" spans="1:37" x14ac:dyDescent="0.2">
      <c r="A73">
        <v>72</v>
      </c>
      <c r="B73" s="2" t="s">
        <v>56</v>
      </c>
      <c r="C73" s="3">
        <v>0.22500000000000001</v>
      </c>
      <c r="D73" s="2" t="s">
        <v>178</v>
      </c>
      <c r="E73" s="3">
        <v>93.25</v>
      </c>
      <c r="F73" s="3">
        <v>93.25</v>
      </c>
      <c r="G73" s="3">
        <v>93.25</v>
      </c>
      <c r="H73">
        <f>_xlfn.XLOOKUP(B73,'28'!$A:$A,'28'!$G:$G,"pipino il breve")</f>
        <v>93.3</v>
      </c>
      <c r="I73">
        <f>_xlfn.XLOOKUP(B73,'29'!$A:$A,'29'!$G:$G,"pipino il breve")</f>
        <v>93.2</v>
      </c>
      <c r="J73" s="11">
        <f>_xlfn.XLOOKUP(B73,'30'!$A:$A,'30'!$G:$G,"pipino il breve")</f>
        <v>93.35</v>
      </c>
      <c r="K73" s="3">
        <f>_xlfn.XLOOKUP(B73,'30'!$A:$A,'30'!$G:$G,"pipino il breve")</f>
        <v>93.35</v>
      </c>
      <c r="L73">
        <f>_xlfn.XLOOKUP(B73,'2'!$A:$A,'2'!$G:$G,"pipino il breve")</f>
        <v>93.21</v>
      </c>
      <c r="M73">
        <f>_xlfn.XLOOKUP(B73,'2'!$A:$A,'2'!$G:$G,"pipino il breve")</f>
        <v>93.21</v>
      </c>
      <c r="N73">
        <f>_xlfn.XLOOKUP(B73,'2'!$A:$A,'2'!$G:$G,"pipino il breve")</f>
        <v>93.21</v>
      </c>
      <c r="O73">
        <f>_xlfn.XLOOKUP(B73,'5'!$A:$A,'5'!$G:$G,"pipino il breve")</f>
        <v>93.24</v>
      </c>
      <c r="P73">
        <f>_xlfn.XLOOKUP(B73,'6'!$A:$A,'6'!$G:$G,"pipino il breve")</f>
        <v>93.42</v>
      </c>
      <c r="Q73">
        <f>_xlfn.XLOOKUP(B73,'7'!$A:$A,'7'!$G:$G,"pipino il breve")</f>
        <v>93.4</v>
      </c>
      <c r="R73">
        <f>_xlfn.XLOOKUP(B73,'8'!$A:$A,'8'!$G:$G,"pipino il breve")</f>
        <v>93.33</v>
      </c>
      <c r="S73">
        <f>_xlfn.XLOOKUP(B73,'9'!$A:$A,'9'!$G:$G,"pipino il breve")</f>
        <v>93.25</v>
      </c>
      <c r="T73">
        <f>_xlfn.XLOOKUP(B73,'9'!$A:$A,'9'!$G:$G,"pipino il breve")</f>
        <v>93.25</v>
      </c>
      <c r="U73">
        <f>_xlfn.XLOOKUP(B73,'9'!$A:$A,'9'!$G:$G,"pipino il breve")</f>
        <v>93.25</v>
      </c>
      <c r="V73">
        <f>_xlfn.XLOOKUP(B73,'12'!$A:$A,'12'!$G:$G,"pipino il breve")</f>
        <v>92.88</v>
      </c>
      <c r="W73">
        <f>_xlfn.XLOOKUP(B73,'13'!$A:$A,'13'!$G:$G,"pipino il breve")</f>
        <v>93.73</v>
      </c>
      <c r="X73">
        <f>_xlfn.XLOOKUP(B73,'14'!$A:$A,'14'!$G:$G,"pipino il breve")</f>
        <v>92.8</v>
      </c>
      <c r="Y73">
        <f>_xlfn.XLOOKUP(B73,'15'!$A:$A,'15'!$G:$G,"pipino il breve")</f>
        <v>93.04</v>
      </c>
      <c r="Z73">
        <f>_xlfn.XLOOKUP(B73,'16'!$A:$A,'16'!$G:$G,"pipino il breve")</f>
        <v>93.17</v>
      </c>
      <c r="AA73">
        <f>_xlfn.XLOOKUP(B73,'16'!$A:$A,'16'!$G:$G,"pipino il breve")</f>
        <v>93.17</v>
      </c>
      <c r="AB73">
        <f>_xlfn.XLOOKUP(B73,'16'!$A:$A,'16'!$G:$G,"pipino il breve")</f>
        <v>93.17</v>
      </c>
      <c r="AC73">
        <f>_xlfn.XLOOKUP(B73,'19'!$A:$A,'19'!$G:$G,"pipino il breve")</f>
        <v>93.23</v>
      </c>
      <c r="AD73">
        <f>_xlfn.XLOOKUP(B73,'20'!$A:$A,'20'!$G:$G,"pipino il breve")</f>
        <v>93.22</v>
      </c>
      <c r="AE73">
        <f>_xlfn.XLOOKUP(B73,'21'!$A:$A,'21'!$G:$G,"pipino il breve")</f>
        <v>93.14</v>
      </c>
      <c r="AF73">
        <f>_xlfn.XLOOKUP(B73,'22'!$A:$A,'22'!$G:$G,"pipino il breve")</f>
        <v>93.17</v>
      </c>
      <c r="AG73">
        <f>_xlfn.XLOOKUP(B73,'23'!$A:$A,'23'!$G:$G,"pipino il breve")</f>
        <v>93.31</v>
      </c>
      <c r="AH73">
        <f>_xlfn.XLOOKUP(B73,'23'!$A:$A,'23'!$G:$G,"pipino il breve")</f>
        <v>93.31</v>
      </c>
      <c r="AI73">
        <f>_xlfn.XLOOKUP(B73,'23'!$A:$A,'23'!$G:$G,"pipino il breve")</f>
        <v>93.31</v>
      </c>
      <c r="AJ73">
        <f>_xlfn.XLOOKUP(B73,'26'!$A:$A,'26'!$G:$G,"pipino il breve")</f>
        <v>93.48</v>
      </c>
      <c r="AK73">
        <f>_xlfn.XLOOKUP(B73,'27'!$A:$A,'27'!$G:$G,"pipino il breve")</f>
        <v>93.41</v>
      </c>
    </row>
    <row r="74" spans="1:37" x14ac:dyDescent="0.2">
      <c r="A74">
        <v>73</v>
      </c>
      <c r="B74" s="2" t="s">
        <v>66</v>
      </c>
      <c r="C74" s="3">
        <v>1.925</v>
      </c>
      <c r="D74" s="2" t="s">
        <v>179</v>
      </c>
      <c r="E74" s="3">
        <v>105.65</v>
      </c>
      <c r="F74" s="3">
        <v>105.65</v>
      </c>
      <c r="G74" s="3">
        <v>105.65</v>
      </c>
      <c r="H74">
        <f>_xlfn.XLOOKUP(B74,'28'!$A:$A,'28'!$G:$G,"pipino il breve")</f>
        <v>105.65</v>
      </c>
      <c r="I74">
        <f>_xlfn.XLOOKUP(B74,'29'!$A:$A,'29'!$G:$G,"pipino il breve")</f>
        <v>105.63</v>
      </c>
      <c r="J74" s="11">
        <f>_xlfn.XLOOKUP(B74,'30'!$A:$A,'30'!$G:$G,"pipino il breve")</f>
        <v>105.8</v>
      </c>
      <c r="K74" s="3">
        <f>_xlfn.XLOOKUP(B74,'30'!$A:$A,'30'!$G:$G,"pipino il breve")</f>
        <v>105.8</v>
      </c>
      <c r="L74">
        <f>_xlfn.XLOOKUP(B74,'2'!$A:$A,'2'!$G:$G,"pipino il breve")</f>
        <v>105.54</v>
      </c>
      <c r="M74">
        <f>_xlfn.XLOOKUP(B74,'2'!$A:$A,'2'!$G:$G,"pipino il breve")</f>
        <v>105.54</v>
      </c>
      <c r="N74">
        <f>_xlfn.XLOOKUP(B74,'2'!$A:$A,'2'!$G:$G,"pipino il breve")</f>
        <v>105.54</v>
      </c>
      <c r="O74">
        <f>_xlfn.XLOOKUP(B74,'5'!$A:$A,'5'!$G:$G,"pipino il breve")</f>
        <v>105.57</v>
      </c>
      <c r="P74">
        <f>_xlfn.XLOOKUP(B74,'6'!$A:$A,'6'!$G:$G,"pipino il breve")</f>
        <v>105.57</v>
      </c>
      <c r="Q74">
        <f>_xlfn.XLOOKUP(B74,'7'!$A:$A,'7'!$G:$G,"pipino il breve")</f>
        <v>105.84</v>
      </c>
      <c r="R74">
        <f>_xlfn.XLOOKUP(B74,'8'!$A:$A,'8'!$G:$G,"pipino il breve")</f>
        <v>105.7</v>
      </c>
      <c r="S74">
        <f>_xlfn.XLOOKUP(B74,'9'!$A:$A,'9'!$G:$G,"pipino il breve")</f>
        <v>105.51</v>
      </c>
      <c r="T74">
        <f>_xlfn.XLOOKUP(B74,'9'!$A:$A,'9'!$G:$G,"pipino il breve")</f>
        <v>105.51</v>
      </c>
      <c r="U74">
        <f>_xlfn.XLOOKUP(B74,'9'!$A:$A,'9'!$G:$G,"pipino il breve")</f>
        <v>105.51</v>
      </c>
      <c r="V74">
        <f>_xlfn.XLOOKUP(B74,'12'!$A:$A,'12'!$G:$G,"pipino il breve")</f>
        <v>105.12</v>
      </c>
      <c r="W74">
        <f>_xlfn.XLOOKUP(B74,'13'!$A:$A,'13'!$G:$G,"pipino il breve")</f>
        <v>105.04</v>
      </c>
      <c r="X74">
        <f>_xlfn.XLOOKUP(B74,'14'!$A:$A,'14'!$G:$G,"pipino il breve")</f>
        <v>105.03</v>
      </c>
      <c r="Y74">
        <f>_xlfn.XLOOKUP(B74,'15'!$A:$A,'15'!$G:$G,"pipino il breve")</f>
        <v>105.22</v>
      </c>
      <c r="Z74">
        <f>_xlfn.XLOOKUP(B74,'16'!$A:$A,'16'!$G:$G,"pipino il breve")</f>
        <v>105.39</v>
      </c>
      <c r="AA74">
        <f>_xlfn.XLOOKUP(B74,'16'!$A:$A,'16'!$G:$G,"pipino il breve")</f>
        <v>105.39</v>
      </c>
      <c r="AB74">
        <f>_xlfn.XLOOKUP(B74,'16'!$A:$A,'16'!$G:$G,"pipino il breve")</f>
        <v>105.39</v>
      </c>
      <c r="AC74">
        <f>_xlfn.XLOOKUP(B74,'19'!$A:$A,'19'!$G:$G,"pipino il breve")</f>
        <v>105.41</v>
      </c>
      <c r="AD74">
        <f>_xlfn.XLOOKUP(B74,'20'!$A:$A,'20'!$G:$G,"pipino il breve")</f>
        <v>105.39</v>
      </c>
      <c r="AE74">
        <f>_xlfn.XLOOKUP(B74,'21'!$A:$A,'21'!$G:$G,"pipino il breve")</f>
        <v>105.27</v>
      </c>
      <c r="AF74">
        <f>_xlfn.XLOOKUP(B74,'22'!$A:$A,'22'!$G:$G,"pipino il breve")</f>
        <v>105.26</v>
      </c>
      <c r="AG74">
        <f>_xlfn.XLOOKUP(B74,'23'!$A:$A,'23'!$G:$G,"pipino il breve")</f>
        <v>105.49</v>
      </c>
      <c r="AH74">
        <f>_xlfn.XLOOKUP(B74,'23'!$A:$A,'23'!$G:$G,"pipino il breve")</f>
        <v>105.49</v>
      </c>
      <c r="AI74">
        <f>_xlfn.XLOOKUP(B74,'23'!$A:$A,'23'!$G:$G,"pipino il breve")</f>
        <v>105.49</v>
      </c>
      <c r="AJ74">
        <f>_xlfn.XLOOKUP(B74,'26'!$A:$A,'26'!$G:$G,"pipino il breve")</f>
        <v>105.58</v>
      </c>
      <c r="AK74">
        <f>_xlfn.XLOOKUP(B74,'27'!$A:$A,'27'!$G:$G,"pipino il breve")</f>
        <v>105.57</v>
      </c>
    </row>
    <row r="75" spans="1:37" x14ac:dyDescent="0.2">
      <c r="A75">
        <v>74</v>
      </c>
      <c r="B75" s="2" t="s">
        <v>96</v>
      </c>
      <c r="C75" s="3">
        <v>1.35</v>
      </c>
      <c r="D75" s="2" t="s">
        <v>180</v>
      </c>
      <c r="E75" s="3">
        <v>101.48</v>
      </c>
      <c r="F75" s="3">
        <v>101.48</v>
      </c>
      <c r="G75" s="3">
        <v>101.48</v>
      </c>
      <c r="H75">
        <f>_xlfn.XLOOKUP(B75,'28'!$A:$A,'28'!$G:$G,"pipino il breve")</f>
        <v>101.55</v>
      </c>
      <c r="I75">
        <f>_xlfn.XLOOKUP(B75,'29'!$A:$A,'29'!$G:$G,"pipino il breve")</f>
        <v>101.46</v>
      </c>
      <c r="J75" s="11">
        <f>_xlfn.XLOOKUP(B75,'30'!$A:$A,'30'!$G:$G,"pipino il breve")</f>
        <v>101.52</v>
      </c>
      <c r="K75" s="3">
        <f>_xlfn.XLOOKUP(B75,'30'!$A:$A,'30'!$G:$G,"pipino il breve")</f>
        <v>101.52</v>
      </c>
      <c r="L75">
        <f>_xlfn.XLOOKUP(B75,'2'!$A:$A,'2'!$G:$G,"pipino il breve")</f>
        <v>101.48</v>
      </c>
      <c r="M75">
        <f>_xlfn.XLOOKUP(B75,'2'!$A:$A,'2'!$G:$G,"pipino il breve")</f>
        <v>101.48</v>
      </c>
      <c r="N75">
        <f>_xlfn.XLOOKUP(B75,'2'!$A:$A,'2'!$G:$G,"pipino il breve")</f>
        <v>101.48</v>
      </c>
      <c r="O75">
        <f>_xlfn.XLOOKUP(B75,'5'!$A:$A,'5'!$G:$G,"pipino il breve")</f>
        <v>101.49</v>
      </c>
      <c r="P75">
        <f>_xlfn.XLOOKUP(B75,'6'!$A:$A,'6'!$G:$G,"pipino il breve")</f>
        <v>101.47</v>
      </c>
      <c r="Q75">
        <f>_xlfn.XLOOKUP(B75,'7'!$A:$A,'7'!$G:$G,"pipino il breve")</f>
        <v>101.6</v>
      </c>
      <c r="R75">
        <f>_xlfn.XLOOKUP(B75,'8'!$A:$A,'8'!$G:$G,"pipino il breve")</f>
        <v>101.45</v>
      </c>
      <c r="S75">
        <f>_xlfn.XLOOKUP(B75,'9'!$A:$A,'9'!$G:$G,"pipino il breve")</f>
        <v>101.4</v>
      </c>
      <c r="T75">
        <f>_xlfn.XLOOKUP(B75,'9'!$A:$A,'9'!$G:$G,"pipino il breve")</f>
        <v>101.4</v>
      </c>
      <c r="U75">
        <f>_xlfn.XLOOKUP(B75,'9'!$A:$A,'9'!$G:$G,"pipino il breve")</f>
        <v>101.4</v>
      </c>
      <c r="V75">
        <f>_xlfn.XLOOKUP(B75,'12'!$A:$A,'12'!$G:$G,"pipino il breve")</f>
        <v>101.14</v>
      </c>
      <c r="W75">
        <f>_xlfn.XLOOKUP(B75,'13'!$A:$A,'13'!$G:$G,"pipino il breve")</f>
        <v>101.12</v>
      </c>
      <c r="X75">
        <f>_xlfn.XLOOKUP(B75,'14'!$A:$A,'14'!$G:$G,"pipino il breve")</f>
        <v>101.12</v>
      </c>
      <c r="Y75">
        <f>_xlfn.XLOOKUP(B75,'15'!$A:$A,'15'!$G:$G,"pipino il breve")</f>
        <v>101.22</v>
      </c>
      <c r="Z75">
        <f>_xlfn.XLOOKUP(B75,'16'!$A:$A,'16'!$G:$G,"pipino il breve")</f>
        <v>101.27</v>
      </c>
      <c r="AA75">
        <f>_xlfn.XLOOKUP(B75,'16'!$A:$A,'16'!$G:$G,"pipino il breve")</f>
        <v>101.27</v>
      </c>
      <c r="AB75">
        <f>_xlfn.XLOOKUP(B75,'16'!$A:$A,'16'!$G:$G,"pipino il breve")</f>
        <v>101.27</v>
      </c>
      <c r="AC75">
        <f>_xlfn.XLOOKUP(B75,'19'!$A:$A,'19'!$G:$G,"pipino il breve")</f>
        <v>101.34</v>
      </c>
      <c r="AD75">
        <f>_xlfn.XLOOKUP(B75,'20'!$A:$A,'20'!$G:$G,"pipino il breve")</f>
        <v>101.34</v>
      </c>
      <c r="AE75">
        <f>_xlfn.XLOOKUP(B75,'21'!$A:$A,'21'!$G:$G,"pipino il breve")</f>
        <v>101.28</v>
      </c>
      <c r="AF75">
        <f>_xlfn.XLOOKUP(B75,'22'!$A:$A,'22'!$G:$G,"pipino il breve")</f>
        <v>101.28</v>
      </c>
      <c r="AG75">
        <f>_xlfn.XLOOKUP(B75,'23'!$A:$A,'23'!$G:$G,"pipino il breve")</f>
        <v>101.46</v>
      </c>
      <c r="AH75">
        <f>_xlfn.XLOOKUP(B75,'23'!$A:$A,'23'!$G:$G,"pipino il breve")</f>
        <v>101.46</v>
      </c>
      <c r="AI75">
        <f>_xlfn.XLOOKUP(B75,'23'!$A:$A,'23'!$G:$G,"pipino il breve")</f>
        <v>101.46</v>
      </c>
      <c r="AJ75">
        <f>_xlfn.XLOOKUP(B75,'26'!$A:$A,'26'!$G:$G,"pipino il breve")</f>
        <v>101.42</v>
      </c>
      <c r="AK75">
        <f>_xlfn.XLOOKUP(B75,'27'!$A:$A,'27'!$G:$G,"pipino il breve")</f>
        <v>101.41</v>
      </c>
    </row>
    <row r="76" spans="1:37" x14ac:dyDescent="0.2">
      <c r="A76">
        <v>75</v>
      </c>
      <c r="B76" s="2" t="s">
        <v>82</v>
      </c>
      <c r="C76" s="3">
        <v>1.75</v>
      </c>
      <c r="D76" s="2" t="s">
        <v>181</v>
      </c>
      <c r="E76" s="3">
        <v>103.47</v>
      </c>
      <c r="F76" s="3">
        <v>103.47</v>
      </c>
      <c r="G76" s="3">
        <v>103.47</v>
      </c>
      <c r="H76">
        <f>_xlfn.XLOOKUP(B76,'28'!$A:$A,'28'!$G:$G,"pipino il breve")</f>
        <v>103.46</v>
      </c>
      <c r="I76">
        <f>_xlfn.XLOOKUP(B76,'29'!$A:$A,'29'!$G:$G,"pipino il breve")</f>
        <v>103.39</v>
      </c>
      <c r="J76" s="11">
        <f>_xlfn.XLOOKUP(B76,'30'!$A:$A,'30'!$G:$G,"pipino il breve")</f>
        <v>103.52</v>
      </c>
      <c r="K76" s="3">
        <f>_xlfn.XLOOKUP(B76,'30'!$A:$A,'30'!$G:$G,"pipino il breve")</f>
        <v>103.52</v>
      </c>
      <c r="L76">
        <f>_xlfn.XLOOKUP(B76,'2'!$A:$A,'2'!$G:$G,"pipino il breve")</f>
        <v>103.38</v>
      </c>
      <c r="M76">
        <f>_xlfn.XLOOKUP(B76,'2'!$A:$A,'2'!$G:$G,"pipino il breve")</f>
        <v>103.38</v>
      </c>
      <c r="N76">
        <f>_xlfn.XLOOKUP(B76,'2'!$A:$A,'2'!$G:$G,"pipino il breve")</f>
        <v>103.38</v>
      </c>
      <c r="O76">
        <f>_xlfn.XLOOKUP(B76,'5'!$A:$A,'5'!$G:$G,"pipino il breve")</f>
        <v>103.3</v>
      </c>
      <c r="P76">
        <f>_xlfn.XLOOKUP(B76,'6'!$A:$A,'6'!$G:$G,"pipino il breve")</f>
        <v>103.28</v>
      </c>
      <c r="Q76">
        <f>_xlfn.XLOOKUP(B76,'7'!$A:$A,'7'!$G:$G,"pipino il breve")</f>
        <v>103.65</v>
      </c>
      <c r="R76">
        <f>_xlfn.XLOOKUP(B76,'8'!$A:$A,'8'!$G:$G,"pipino il breve")</f>
        <v>103.52</v>
      </c>
      <c r="S76">
        <f>_xlfn.XLOOKUP(B76,'9'!$A:$A,'9'!$G:$G,"pipino il breve")</f>
        <v>103.35</v>
      </c>
      <c r="T76">
        <f>_xlfn.XLOOKUP(B76,'9'!$A:$A,'9'!$G:$G,"pipino il breve")</f>
        <v>103.35</v>
      </c>
      <c r="U76">
        <f>_xlfn.XLOOKUP(B76,'9'!$A:$A,'9'!$G:$G,"pipino il breve")</f>
        <v>103.35</v>
      </c>
      <c r="V76">
        <f>_xlfn.XLOOKUP(B76,'12'!$A:$A,'12'!$G:$G,"pipino il breve")</f>
        <v>102.85</v>
      </c>
      <c r="W76">
        <f>_xlfn.XLOOKUP(B76,'13'!$A:$A,'13'!$G:$G,"pipino il breve")</f>
        <v>102.82</v>
      </c>
      <c r="X76">
        <f>_xlfn.XLOOKUP(B76,'14'!$A:$A,'14'!$G:$G,"pipino il breve")</f>
        <v>102.73</v>
      </c>
      <c r="Y76">
        <f>_xlfn.XLOOKUP(B76,'15'!$A:$A,'15'!$G:$G,"pipino il breve")</f>
        <v>102.97</v>
      </c>
      <c r="Z76">
        <f>_xlfn.XLOOKUP(B76,'16'!$A:$A,'16'!$G:$G,"pipino il breve")</f>
        <v>103.21</v>
      </c>
      <c r="AA76">
        <f>_xlfn.XLOOKUP(B76,'16'!$A:$A,'16'!$G:$G,"pipino il breve")</f>
        <v>103.21</v>
      </c>
      <c r="AB76">
        <f>_xlfn.XLOOKUP(B76,'16'!$A:$A,'16'!$G:$G,"pipino il breve")</f>
        <v>103.21</v>
      </c>
      <c r="AC76">
        <f>_xlfn.XLOOKUP(B76,'19'!$A:$A,'19'!$G:$G,"pipino il breve")</f>
        <v>103.28</v>
      </c>
      <c r="AD76">
        <f>_xlfn.XLOOKUP(B76,'20'!$A:$A,'20'!$G:$G,"pipino il breve")</f>
        <v>103.21</v>
      </c>
      <c r="AE76">
        <f>_xlfn.XLOOKUP(B76,'21'!$A:$A,'21'!$G:$G,"pipino il breve")</f>
        <v>103.12</v>
      </c>
      <c r="AF76">
        <f>_xlfn.XLOOKUP(B76,'22'!$A:$A,'22'!$G:$G,"pipino il breve")</f>
        <v>103.08</v>
      </c>
      <c r="AG76">
        <f>_xlfn.XLOOKUP(B76,'23'!$A:$A,'23'!$G:$G,"pipino il breve")</f>
        <v>103.36</v>
      </c>
      <c r="AH76">
        <f>_xlfn.XLOOKUP(B76,'23'!$A:$A,'23'!$G:$G,"pipino il breve")</f>
        <v>103.36</v>
      </c>
      <c r="AI76">
        <f>_xlfn.XLOOKUP(B76,'23'!$A:$A,'23'!$G:$G,"pipino il breve")</f>
        <v>103.36</v>
      </c>
      <c r="AJ76">
        <f>_xlfn.XLOOKUP(B76,'26'!$A:$A,'26'!$G:$G,"pipino il breve")</f>
        <v>103.49</v>
      </c>
      <c r="AK76">
        <f>_xlfn.XLOOKUP(B76,'27'!$A:$A,'27'!$G:$G,"pipino il breve")</f>
        <v>103.5</v>
      </c>
    </row>
    <row r="77" spans="1:37" x14ac:dyDescent="0.2">
      <c r="A77">
        <v>76</v>
      </c>
      <c r="B77" s="2" t="s">
        <v>70</v>
      </c>
      <c r="C77" s="3">
        <v>1.9</v>
      </c>
      <c r="D77" s="2" t="s">
        <v>182</v>
      </c>
      <c r="E77" s="3">
        <v>101.8</v>
      </c>
      <c r="F77" s="3">
        <v>101.8</v>
      </c>
      <c r="G77" s="3">
        <v>101.8</v>
      </c>
      <c r="H77">
        <f>_xlfn.XLOOKUP(B77,'28'!$A:$A,'28'!$G:$G,"pipino il breve")</f>
        <v>101.745</v>
      </c>
      <c r="I77">
        <f>_xlfn.XLOOKUP(B77,'29'!$A:$A,'29'!$G:$G,"pipino il breve")</f>
        <v>101.73</v>
      </c>
      <c r="J77" s="11">
        <f>_xlfn.XLOOKUP(B77,'30'!$A:$A,'30'!$G:$G,"pipino il breve")</f>
        <v>101.708</v>
      </c>
      <c r="K77" s="3">
        <f>_xlfn.XLOOKUP(B77,'30'!$A:$A,'30'!$G:$G,"pipino il breve")</f>
        <v>101.708</v>
      </c>
      <c r="L77">
        <f>_xlfn.XLOOKUP(B77,'2'!$A:$A,'2'!$G:$G,"pipino il breve")</f>
        <v>101.681</v>
      </c>
      <c r="M77">
        <f>_xlfn.XLOOKUP(B77,'2'!$A:$A,'2'!$G:$G,"pipino il breve")</f>
        <v>101.681</v>
      </c>
      <c r="N77">
        <f>_xlfn.XLOOKUP(B77,'2'!$A:$A,'2'!$G:$G,"pipino il breve")</f>
        <v>101.681</v>
      </c>
      <c r="O77">
        <f>_xlfn.XLOOKUP(B77,'5'!$A:$A,'5'!$G:$G,"pipino il breve")</f>
        <v>101.684</v>
      </c>
      <c r="P77">
        <f>_xlfn.XLOOKUP(B77,'6'!$A:$A,'6'!$G:$G,"pipino il breve")</f>
        <v>101.697</v>
      </c>
      <c r="Q77">
        <f>_xlfn.XLOOKUP(B77,'7'!$A:$A,'7'!$G:$G,"pipino il breve")</f>
        <v>101.70099999999999</v>
      </c>
      <c r="R77">
        <f>_xlfn.XLOOKUP(B77,'8'!$A:$A,'8'!$G:$G,"pipino il breve")</f>
        <v>101.69499999999999</v>
      </c>
      <c r="S77">
        <f>_xlfn.XLOOKUP(B77,'9'!$A:$A,'9'!$G:$G,"pipino il breve")</f>
        <v>101.669</v>
      </c>
      <c r="T77">
        <f>_xlfn.XLOOKUP(B77,'9'!$A:$A,'9'!$G:$G,"pipino il breve")</f>
        <v>101.669</v>
      </c>
      <c r="U77">
        <f>_xlfn.XLOOKUP(B77,'9'!$A:$A,'9'!$G:$G,"pipino il breve")</f>
        <v>101.669</v>
      </c>
      <c r="V77">
        <f>_xlfn.XLOOKUP(B77,'12'!$A:$A,'12'!$G:$G,"pipino il breve")</f>
        <v>101.563</v>
      </c>
      <c r="W77">
        <f>_xlfn.XLOOKUP(B77,'13'!$A:$A,'13'!$G:$G,"pipino il breve")</f>
        <v>101.559</v>
      </c>
      <c r="X77">
        <f>_xlfn.XLOOKUP(B77,'14'!$A:$A,'14'!$G:$G,"pipino il breve")</f>
        <v>101.572</v>
      </c>
      <c r="Y77">
        <f>_xlfn.XLOOKUP(B77,'15'!$A:$A,'15'!$G:$G,"pipino il breve")</f>
        <v>101.572</v>
      </c>
      <c r="Z77">
        <f>_xlfn.XLOOKUP(B77,'16'!$A:$A,'16'!$G:$G,"pipino il breve")</f>
        <v>101.574</v>
      </c>
      <c r="AA77">
        <f>_xlfn.XLOOKUP(B77,'16'!$A:$A,'16'!$G:$G,"pipino il breve")</f>
        <v>101.574</v>
      </c>
      <c r="AB77">
        <f>_xlfn.XLOOKUP(B77,'16'!$A:$A,'16'!$G:$G,"pipino il breve")</f>
        <v>101.574</v>
      </c>
      <c r="AC77">
        <f>_xlfn.XLOOKUP(B77,'19'!$A:$A,'19'!$G:$G,"pipino il breve")</f>
        <v>101.562</v>
      </c>
      <c r="AD77">
        <f>_xlfn.XLOOKUP(B77,'20'!$A:$A,'20'!$G:$G,"pipino il breve")</f>
        <v>101.56699999999999</v>
      </c>
      <c r="AE77">
        <f>_xlfn.XLOOKUP(B77,'21'!$A:$A,'21'!$G:$G,"pipino il breve")</f>
        <v>101.551</v>
      </c>
      <c r="AF77">
        <f>_xlfn.XLOOKUP(B77,'22'!$A:$A,'22'!$G:$G,"pipino il breve")</f>
        <v>101.554</v>
      </c>
      <c r="AG77">
        <f>_xlfn.XLOOKUP(B77,'23'!$A:$A,'23'!$G:$G,"pipino il breve")</f>
        <v>101.58499999999999</v>
      </c>
      <c r="AH77">
        <f>_xlfn.XLOOKUP(B77,'23'!$A:$A,'23'!$G:$G,"pipino il breve")</f>
        <v>101.58499999999999</v>
      </c>
      <c r="AI77">
        <f>_xlfn.XLOOKUP(B77,'23'!$A:$A,'23'!$G:$G,"pipino il breve")</f>
        <v>101.58499999999999</v>
      </c>
      <c r="AJ77">
        <f>_xlfn.XLOOKUP(B77,'26'!$A:$A,'26'!$G:$G,"pipino il breve")</f>
        <v>101.565</v>
      </c>
      <c r="AK77">
        <f>_xlfn.XLOOKUP(B77,'27'!$A:$A,'27'!$G:$G,"pipino il breve")</f>
        <v>101.556</v>
      </c>
    </row>
    <row r="78" spans="1:37" x14ac:dyDescent="0.2">
      <c r="A78">
        <v>77</v>
      </c>
      <c r="B78" s="2" t="s">
        <v>61</v>
      </c>
      <c r="C78" s="3">
        <v>1.4</v>
      </c>
      <c r="D78" s="2" t="s">
        <v>183</v>
      </c>
      <c r="E78" s="3">
        <v>101.5</v>
      </c>
      <c r="F78" s="3">
        <v>101.5</v>
      </c>
      <c r="G78" s="3">
        <v>101.5</v>
      </c>
      <c r="H78">
        <f>_xlfn.XLOOKUP(B78,'28'!$A:$A,'28'!$G:$G,"pipino il breve")</f>
        <v>101.34</v>
      </c>
      <c r="I78">
        <f>_xlfn.XLOOKUP(B78,'29'!$A:$A,'29'!$G:$G,"pipino il breve")</f>
        <v>101.49</v>
      </c>
      <c r="J78" s="11">
        <f>_xlfn.XLOOKUP(B78,'30'!$A:$A,'30'!$G:$G,"pipino il breve")</f>
        <v>101.6</v>
      </c>
      <c r="K78" s="3">
        <f>_xlfn.XLOOKUP(B78,'30'!$A:$A,'30'!$G:$G,"pipino il breve")</f>
        <v>101.6</v>
      </c>
      <c r="L78">
        <f>_xlfn.XLOOKUP(B78,'2'!$A:$A,'2'!$G:$G,"pipino il breve")</f>
        <v>101.43</v>
      </c>
      <c r="M78">
        <f>_xlfn.XLOOKUP(B78,'2'!$A:$A,'2'!$G:$G,"pipino il breve")</f>
        <v>101.43</v>
      </c>
      <c r="N78">
        <f>_xlfn.XLOOKUP(B78,'2'!$A:$A,'2'!$G:$G,"pipino il breve")</f>
        <v>101.43</v>
      </c>
      <c r="O78">
        <f>_xlfn.XLOOKUP(B78,'5'!$A:$A,'5'!$G:$G,"pipino il breve")</f>
        <v>101.44</v>
      </c>
      <c r="P78">
        <f>_xlfn.XLOOKUP(B78,'6'!$A:$A,'6'!$G:$G,"pipino il breve")</f>
        <v>101.43</v>
      </c>
      <c r="Q78">
        <f>_xlfn.XLOOKUP(B78,'7'!$A:$A,'7'!$G:$G,"pipino il breve")</f>
        <v>101.66</v>
      </c>
      <c r="R78">
        <f>_xlfn.XLOOKUP(B78,'8'!$A:$A,'8'!$G:$G,"pipino il breve")</f>
        <v>101.52</v>
      </c>
      <c r="S78">
        <f>_xlfn.XLOOKUP(B78,'9'!$A:$A,'9'!$G:$G,"pipino il breve")</f>
        <v>101.38</v>
      </c>
      <c r="T78">
        <f>_xlfn.XLOOKUP(B78,'9'!$A:$A,'9'!$G:$G,"pipino il breve")</f>
        <v>101.38</v>
      </c>
      <c r="U78">
        <f>_xlfn.XLOOKUP(B78,'9'!$A:$A,'9'!$G:$G,"pipino il breve")</f>
        <v>101.38</v>
      </c>
      <c r="V78">
        <f>_xlfn.XLOOKUP(B78,'12'!$A:$A,'12'!$G:$G,"pipino il breve")</f>
        <v>101.02</v>
      </c>
      <c r="W78">
        <f>_xlfn.XLOOKUP(B78,'13'!$A:$A,'13'!$G:$G,"pipino il breve")</f>
        <v>100.95</v>
      </c>
      <c r="X78">
        <f>_xlfn.XLOOKUP(B78,'14'!$A:$A,'14'!$G:$G,"pipino il breve")</f>
        <v>100.9</v>
      </c>
      <c r="Y78">
        <f>_xlfn.XLOOKUP(B78,'15'!$A:$A,'15'!$G:$G,"pipino il breve")</f>
        <v>101.12</v>
      </c>
      <c r="Z78">
        <f>_xlfn.XLOOKUP(B78,'16'!$A:$A,'16'!$G:$G,"pipino il breve")</f>
        <v>101.31</v>
      </c>
      <c r="AA78">
        <f>_xlfn.XLOOKUP(B78,'16'!$A:$A,'16'!$G:$G,"pipino il breve")</f>
        <v>101.31</v>
      </c>
      <c r="AB78">
        <f>_xlfn.XLOOKUP(B78,'16'!$A:$A,'16'!$G:$G,"pipino il breve")</f>
        <v>101.31</v>
      </c>
      <c r="AC78">
        <f>_xlfn.XLOOKUP(B78,'19'!$A:$A,'19'!$G:$G,"pipino il breve")</f>
        <v>101.32</v>
      </c>
      <c r="AD78">
        <f>_xlfn.XLOOKUP(B78,'20'!$A:$A,'20'!$G:$G,"pipino il breve")</f>
        <v>101.32</v>
      </c>
      <c r="AE78">
        <f>_xlfn.XLOOKUP(B78,'21'!$A:$A,'21'!$G:$G,"pipino il breve")</f>
        <v>101.49</v>
      </c>
      <c r="AF78">
        <f>_xlfn.XLOOKUP(B78,'22'!$A:$A,'22'!$G:$G,"pipino il breve")</f>
        <v>101.2</v>
      </c>
      <c r="AG78">
        <f>_xlfn.XLOOKUP(B78,'23'!$A:$A,'23'!$G:$G,"pipino il breve")</f>
        <v>101.38</v>
      </c>
      <c r="AH78">
        <f>_xlfn.XLOOKUP(B78,'23'!$A:$A,'23'!$G:$G,"pipino il breve")</f>
        <v>101.38</v>
      </c>
      <c r="AI78">
        <f>_xlfn.XLOOKUP(B78,'23'!$A:$A,'23'!$G:$G,"pipino il breve")</f>
        <v>101.38</v>
      </c>
      <c r="AJ78">
        <f>_xlfn.XLOOKUP(B78,'26'!$A:$A,'26'!$G:$G,"pipino il breve")</f>
        <v>101.45</v>
      </c>
      <c r="AK78">
        <f>_xlfn.XLOOKUP(B78,'27'!$A:$A,'27'!$G:$G,"pipino il breve")</f>
        <v>101.48</v>
      </c>
    </row>
    <row r="79" spans="1:37" x14ac:dyDescent="0.2">
      <c r="A79">
        <v>78</v>
      </c>
      <c r="B79" s="2" t="s">
        <v>42</v>
      </c>
      <c r="C79" s="3">
        <v>0.47499999999999998</v>
      </c>
      <c r="D79" s="2" t="s">
        <v>184</v>
      </c>
      <c r="E79" s="3">
        <v>97.63</v>
      </c>
      <c r="F79" s="3">
        <v>97.63</v>
      </c>
      <c r="G79" s="3">
        <v>97.63</v>
      </c>
      <c r="H79">
        <f>_xlfn.XLOOKUP(B79,'28'!$A:$A,'28'!$G:$G,"pipino il breve")</f>
        <v>97.66</v>
      </c>
      <c r="I79">
        <f>_xlfn.XLOOKUP(B79,'29'!$A:$A,'29'!$G:$G,"pipino il breve")</f>
        <v>97.64</v>
      </c>
      <c r="J79" s="11">
        <f>_xlfn.XLOOKUP(B79,'30'!$A:$A,'30'!$G:$G,"pipino il breve")</f>
        <v>97.71</v>
      </c>
      <c r="K79" s="3">
        <f>_xlfn.XLOOKUP(B79,'30'!$A:$A,'30'!$G:$G,"pipino il breve")</f>
        <v>97.71</v>
      </c>
      <c r="L79">
        <f>_xlfn.XLOOKUP(B79,'2'!$A:$A,'2'!$G:$G,"pipino il breve")</f>
        <v>97.72</v>
      </c>
      <c r="M79">
        <f>_xlfn.XLOOKUP(B79,'2'!$A:$A,'2'!$G:$G,"pipino il breve")</f>
        <v>97.72</v>
      </c>
      <c r="N79">
        <f>_xlfn.XLOOKUP(B79,'2'!$A:$A,'2'!$G:$G,"pipino il breve")</f>
        <v>97.72</v>
      </c>
      <c r="O79">
        <f>_xlfn.XLOOKUP(B79,'5'!$A:$A,'5'!$G:$G,"pipino il breve")</f>
        <v>97.63</v>
      </c>
      <c r="P79">
        <f>_xlfn.XLOOKUP(B79,'6'!$A:$A,'6'!$G:$G,"pipino il breve")</f>
        <v>97.67</v>
      </c>
      <c r="Q79">
        <f>_xlfn.XLOOKUP(B79,'7'!$A:$A,'7'!$G:$G,"pipino il breve")</f>
        <v>97.74</v>
      </c>
      <c r="R79">
        <f>_xlfn.XLOOKUP(B79,'8'!$A:$A,'8'!$G:$G,"pipino il breve")</f>
        <v>97.67</v>
      </c>
      <c r="S79">
        <f>_xlfn.XLOOKUP(B79,'9'!$A:$A,'9'!$G:$G,"pipino il breve")</f>
        <v>97.61</v>
      </c>
      <c r="T79">
        <f>_xlfn.XLOOKUP(B79,'9'!$A:$A,'9'!$G:$G,"pipino il breve")</f>
        <v>97.61</v>
      </c>
      <c r="U79">
        <f>_xlfn.XLOOKUP(B79,'9'!$A:$A,'9'!$G:$G,"pipino il breve")</f>
        <v>97.61</v>
      </c>
      <c r="V79">
        <f>_xlfn.XLOOKUP(B79,'12'!$A:$A,'12'!$G:$G,"pipino il breve")</f>
        <v>97.32</v>
      </c>
      <c r="W79">
        <f>_xlfn.XLOOKUP(B79,'13'!$A:$A,'13'!$G:$G,"pipino il breve")</f>
        <v>97.4</v>
      </c>
      <c r="X79">
        <f>_xlfn.XLOOKUP(B79,'14'!$A:$A,'14'!$G:$G,"pipino il breve")</f>
        <v>97.34</v>
      </c>
      <c r="Y79">
        <f>_xlfn.XLOOKUP(B79,'15'!$A:$A,'15'!$G:$G,"pipino il breve")</f>
        <v>97.47</v>
      </c>
      <c r="Z79">
        <f>_xlfn.XLOOKUP(B79,'16'!$A:$A,'16'!$G:$G,"pipino il breve")</f>
        <v>97.53</v>
      </c>
      <c r="AA79">
        <f>_xlfn.XLOOKUP(B79,'16'!$A:$A,'16'!$G:$G,"pipino il breve")</f>
        <v>97.53</v>
      </c>
      <c r="AB79">
        <f>_xlfn.XLOOKUP(B79,'16'!$A:$A,'16'!$G:$G,"pipino il breve")</f>
        <v>97.53</v>
      </c>
      <c r="AC79">
        <f>_xlfn.XLOOKUP(B79,'19'!$A:$A,'19'!$G:$G,"pipino il breve")</f>
        <v>97.56</v>
      </c>
      <c r="AD79">
        <f>_xlfn.XLOOKUP(B79,'20'!$A:$A,'20'!$G:$G,"pipino il breve")</f>
        <v>97.55</v>
      </c>
      <c r="AE79">
        <f>_xlfn.XLOOKUP(B79,'21'!$A:$A,'21'!$G:$G,"pipino il breve")</f>
        <v>97.78</v>
      </c>
      <c r="AF79">
        <f>_xlfn.XLOOKUP(B79,'22'!$A:$A,'22'!$G:$G,"pipino il breve")</f>
        <v>97.58</v>
      </c>
      <c r="AG79">
        <f>_xlfn.XLOOKUP(B79,'23'!$A:$A,'23'!$G:$G,"pipino il breve")</f>
        <v>97.66</v>
      </c>
      <c r="AH79">
        <f>_xlfn.XLOOKUP(B79,'23'!$A:$A,'23'!$G:$G,"pipino il breve")</f>
        <v>97.66</v>
      </c>
      <c r="AI79">
        <f>_xlfn.XLOOKUP(B79,'23'!$A:$A,'23'!$G:$G,"pipino il breve")</f>
        <v>97.66</v>
      </c>
      <c r="AJ79">
        <f>_xlfn.XLOOKUP(B79,'26'!$A:$A,'26'!$G:$G,"pipino il breve")</f>
        <v>97.66</v>
      </c>
      <c r="AK79">
        <f>_xlfn.XLOOKUP(B79,'27'!$A:$A,'27'!$G:$G,"pipino il breve")</f>
        <v>97.67</v>
      </c>
    </row>
    <row r="80" spans="1:37" x14ac:dyDescent="0.2">
      <c r="A80">
        <v>79</v>
      </c>
      <c r="B80" s="2" t="s">
        <v>101</v>
      </c>
      <c r="C80" s="3">
        <v>0.6552</v>
      </c>
      <c r="D80" s="2" t="s">
        <v>185</v>
      </c>
      <c r="E80" s="3">
        <v>101.24</v>
      </c>
      <c r="F80" s="3">
        <v>101.24</v>
      </c>
      <c r="G80" s="3">
        <v>101.24</v>
      </c>
      <c r="H80">
        <f>_xlfn.XLOOKUP(B80,'28'!$A:$A,'28'!$G:$G,"pipino il breve")</f>
        <v>101.24</v>
      </c>
      <c r="I80">
        <f>_xlfn.XLOOKUP(B80,'29'!$A:$A,'29'!$G:$G,"pipino il breve")</f>
        <v>101.23</v>
      </c>
      <c r="J80" s="11">
        <f>_xlfn.XLOOKUP(B80,'30'!$A:$A,'30'!$G:$G,"pipino il breve")</f>
        <v>101.33</v>
      </c>
      <c r="K80" s="3">
        <f>_xlfn.XLOOKUP(B80,'30'!$A:$A,'30'!$G:$G,"pipino il breve")</f>
        <v>101.33</v>
      </c>
      <c r="L80">
        <f>_xlfn.XLOOKUP(B80,'2'!$A:$A,'2'!$G:$G,"pipino il breve")</f>
        <v>101.22</v>
      </c>
      <c r="M80">
        <f>_xlfn.XLOOKUP(B80,'2'!$A:$A,'2'!$G:$G,"pipino il breve")</f>
        <v>101.22</v>
      </c>
      <c r="N80">
        <f>_xlfn.XLOOKUP(B80,'2'!$A:$A,'2'!$G:$G,"pipino il breve")</f>
        <v>101.22</v>
      </c>
      <c r="O80">
        <f>_xlfn.XLOOKUP(B80,'5'!$A:$A,'5'!$G:$G,"pipino il breve")</f>
        <v>101.22</v>
      </c>
      <c r="P80">
        <f>_xlfn.XLOOKUP(B80,'6'!$A:$A,'6'!$G:$G,"pipino il breve")</f>
        <v>101.26</v>
      </c>
      <c r="Q80">
        <f>_xlfn.XLOOKUP(B80,'7'!$A:$A,'7'!$G:$G,"pipino il breve")</f>
        <v>101.28</v>
      </c>
      <c r="R80">
        <f>_xlfn.XLOOKUP(B80,'8'!$A:$A,'8'!$G:$G,"pipino il breve")</f>
        <v>101.28</v>
      </c>
      <c r="S80">
        <f>_xlfn.XLOOKUP(B80,'9'!$A:$A,'9'!$G:$G,"pipino il breve")</f>
        <v>101.16</v>
      </c>
      <c r="T80">
        <f>_xlfn.XLOOKUP(B80,'9'!$A:$A,'9'!$G:$G,"pipino il breve")</f>
        <v>101.16</v>
      </c>
      <c r="U80">
        <f>_xlfn.XLOOKUP(B80,'9'!$A:$A,'9'!$G:$G,"pipino il breve")</f>
        <v>101.16</v>
      </c>
      <c r="V80">
        <f>_xlfn.XLOOKUP(B80,'12'!$A:$A,'12'!$G:$G,"pipino il breve")</f>
        <v>100.8</v>
      </c>
      <c r="W80">
        <f>_xlfn.XLOOKUP(B80,'13'!$A:$A,'13'!$G:$G,"pipino il breve")</f>
        <v>100.79</v>
      </c>
      <c r="X80">
        <f>_xlfn.XLOOKUP(B80,'14'!$A:$A,'14'!$G:$G,"pipino il breve")</f>
        <v>100.76</v>
      </c>
      <c r="Y80">
        <f>_xlfn.XLOOKUP(B80,'15'!$A:$A,'15'!$G:$G,"pipino il breve")</f>
        <v>100.88</v>
      </c>
      <c r="Z80">
        <f>_xlfn.XLOOKUP(B80,'16'!$A:$A,'16'!$G:$G,"pipino il breve")</f>
        <v>101.02</v>
      </c>
      <c r="AA80">
        <f>_xlfn.XLOOKUP(B80,'16'!$A:$A,'16'!$G:$G,"pipino il breve")</f>
        <v>101.02</v>
      </c>
      <c r="AB80">
        <f>_xlfn.XLOOKUP(B80,'16'!$A:$A,'16'!$G:$G,"pipino il breve")</f>
        <v>101.02</v>
      </c>
      <c r="AC80">
        <f>_xlfn.XLOOKUP(B80,'19'!$A:$A,'19'!$G:$G,"pipino il breve")</f>
        <v>101.04</v>
      </c>
      <c r="AD80">
        <f>_xlfn.XLOOKUP(B80,'20'!$A:$A,'20'!$G:$G,"pipino il breve")</f>
        <v>101.04</v>
      </c>
      <c r="AE80">
        <f>_xlfn.XLOOKUP(B80,'21'!$A:$A,'21'!$G:$G,"pipino il breve")</f>
        <v>100.97</v>
      </c>
      <c r="AF80">
        <f>_xlfn.XLOOKUP(B80,'22'!$A:$A,'22'!$G:$G,"pipino il breve")</f>
        <v>101.01</v>
      </c>
      <c r="AG80">
        <f>_xlfn.XLOOKUP(B80,'23'!$A:$A,'23'!$G:$G,"pipino il breve")</f>
        <v>101.17</v>
      </c>
      <c r="AH80">
        <f>_xlfn.XLOOKUP(B80,'23'!$A:$A,'23'!$G:$G,"pipino il breve")</f>
        <v>101.17</v>
      </c>
      <c r="AI80">
        <f>_xlfn.XLOOKUP(B80,'23'!$A:$A,'23'!$G:$G,"pipino il breve")</f>
        <v>101.17</v>
      </c>
      <c r="AJ80">
        <f>_xlfn.XLOOKUP(B80,'26'!$A:$A,'26'!$G:$G,"pipino il breve")</f>
        <v>101.17</v>
      </c>
      <c r="AK80">
        <f>_xlfn.XLOOKUP(B80,'27'!$A:$A,'27'!$G:$G,"pipino il breve")</f>
        <v>101.15</v>
      </c>
    </row>
    <row r="81" spans="1:37" x14ac:dyDescent="0.2">
      <c r="A81">
        <v>80</v>
      </c>
      <c r="B81" s="2" t="s">
        <v>71</v>
      </c>
      <c r="C81" s="3">
        <v>1.85</v>
      </c>
      <c r="D81" s="2" t="s">
        <v>186</v>
      </c>
      <c r="E81" s="3">
        <v>104.84</v>
      </c>
      <c r="F81" s="3">
        <v>104.84</v>
      </c>
      <c r="G81" s="3">
        <v>104.84</v>
      </c>
      <c r="H81">
        <f>_xlfn.XLOOKUP(B81,'28'!$A:$A,'28'!$G:$G,"pipino il breve")</f>
        <v>104.82</v>
      </c>
      <c r="I81">
        <f>_xlfn.XLOOKUP(B81,'29'!$A:$A,'29'!$G:$G,"pipino il breve")</f>
        <v>104.78</v>
      </c>
      <c r="J81" s="11">
        <f>_xlfn.XLOOKUP(B81,'30'!$A:$A,'30'!$G:$G,"pipino il breve")</f>
        <v>104.9</v>
      </c>
      <c r="K81" s="3">
        <f>_xlfn.XLOOKUP(B81,'30'!$A:$A,'30'!$G:$G,"pipino il breve")</f>
        <v>104.9</v>
      </c>
      <c r="L81">
        <f>_xlfn.XLOOKUP(B81,'2'!$A:$A,'2'!$G:$G,"pipino il breve")</f>
        <v>104.71</v>
      </c>
      <c r="M81">
        <f>_xlfn.XLOOKUP(B81,'2'!$A:$A,'2'!$G:$G,"pipino il breve")</f>
        <v>104.71</v>
      </c>
      <c r="N81">
        <f>_xlfn.XLOOKUP(B81,'2'!$A:$A,'2'!$G:$G,"pipino il breve")</f>
        <v>104.71</v>
      </c>
      <c r="O81">
        <f>_xlfn.XLOOKUP(B81,'5'!$A:$A,'5'!$G:$G,"pipino il breve")</f>
        <v>104.77</v>
      </c>
      <c r="P81">
        <f>_xlfn.XLOOKUP(B81,'6'!$A:$A,'6'!$G:$G,"pipino il breve")</f>
        <v>104.71</v>
      </c>
      <c r="Q81">
        <f>_xlfn.XLOOKUP(B81,'7'!$A:$A,'7'!$G:$G,"pipino il breve")</f>
        <v>105</v>
      </c>
      <c r="R81">
        <f>_xlfn.XLOOKUP(B81,'8'!$A:$A,'8'!$G:$G,"pipino il breve")</f>
        <v>104.89</v>
      </c>
      <c r="S81">
        <f>_xlfn.XLOOKUP(B81,'9'!$A:$A,'9'!$G:$G,"pipino il breve")</f>
        <v>104.72</v>
      </c>
      <c r="T81">
        <f>_xlfn.XLOOKUP(B81,'9'!$A:$A,'9'!$G:$G,"pipino il breve")</f>
        <v>104.72</v>
      </c>
      <c r="U81">
        <f>_xlfn.XLOOKUP(B81,'9'!$A:$A,'9'!$G:$G,"pipino il breve")</f>
        <v>104.72</v>
      </c>
      <c r="V81">
        <f>_xlfn.XLOOKUP(B81,'12'!$A:$A,'12'!$G:$G,"pipino il breve")</f>
        <v>104.23</v>
      </c>
      <c r="W81">
        <f>_xlfn.XLOOKUP(B81,'13'!$A:$A,'13'!$G:$G,"pipino il breve")</f>
        <v>104.16</v>
      </c>
      <c r="X81">
        <f>_xlfn.XLOOKUP(B81,'14'!$A:$A,'14'!$G:$G,"pipino il breve")</f>
        <v>104.26</v>
      </c>
      <c r="Y81">
        <f>_xlfn.XLOOKUP(B81,'15'!$A:$A,'15'!$G:$G,"pipino il breve")</f>
        <v>104.34</v>
      </c>
      <c r="Z81">
        <f>_xlfn.XLOOKUP(B81,'16'!$A:$A,'16'!$G:$G,"pipino il breve")</f>
        <v>104.55</v>
      </c>
      <c r="AA81">
        <f>_xlfn.XLOOKUP(B81,'16'!$A:$A,'16'!$G:$G,"pipino il breve")</f>
        <v>104.55</v>
      </c>
      <c r="AB81">
        <f>_xlfn.XLOOKUP(B81,'16'!$A:$A,'16'!$G:$G,"pipino il breve")</f>
        <v>104.55</v>
      </c>
      <c r="AC81">
        <f>_xlfn.XLOOKUP(B81,'19'!$A:$A,'19'!$G:$G,"pipino il breve")</f>
        <v>104.66</v>
      </c>
      <c r="AD81">
        <f>_xlfn.XLOOKUP(B81,'20'!$A:$A,'20'!$G:$G,"pipino il breve")</f>
        <v>104.62</v>
      </c>
      <c r="AE81">
        <f>_xlfn.XLOOKUP(B81,'21'!$A:$A,'21'!$G:$G,"pipino il breve")</f>
        <v>104.47</v>
      </c>
      <c r="AF81">
        <f>_xlfn.XLOOKUP(B81,'22'!$A:$A,'22'!$G:$G,"pipino il breve")</f>
        <v>104.46</v>
      </c>
      <c r="AG81">
        <f>_xlfn.XLOOKUP(B81,'23'!$A:$A,'23'!$G:$G,"pipino il breve")</f>
        <v>104.69</v>
      </c>
      <c r="AH81">
        <f>_xlfn.XLOOKUP(B81,'23'!$A:$A,'23'!$G:$G,"pipino il breve")</f>
        <v>104.69</v>
      </c>
      <c r="AI81">
        <f>_xlfn.XLOOKUP(B81,'23'!$A:$A,'23'!$G:$G,"pipino il breve")</f>
        <v>104.69</v>
      </c>
      <c r="AJ81">
        <f>_xlfn.XLOOKUP(B81,'26'!$A:$A,'26'!$G:$G,"pipino il breve")</f>
        <v>104.79</v>
      </c>
      <c r="AK81">
        <f>_xlfn.XLOOKUP(B81,'27'!$A:$A,'27'!$G:$G,"pipino il breve")</f>
        <v>104.82</v>
      </c>
    </row>
    <row r="82" spans="1:37" x14ac:dyDescent="0.2">
      <c r="A82">
        <v>81</v>
      </c>
      <c r="B82" s="2" t="s">
        <v>52</v>
      </c>
      <c r="C82" s="3">
        <v>0.25</v>
      </c>
      <c r="D82" s="2" t="s">
        <v>187</v>
      </c>
      <c r="E82" s="3">
        <v>94.81</v>
      </c>
      <c r="F82" s="3">
        <v>94.81</v>
      </c>
      <c r="G82" s="3">
        <v>94.81</v>
      </c>
      <c r="H82">
        <f>_xlfn.XLOOKUP(B82,'28'!$A:$A,'28'!$G:$G,"pipino il breve")</f>
        <v>94.85</v>
      </c>
      <c r="I82">
        <f>_xlfn.XLOOKUP(B82,'29'!$A:$A,'29'!$G:$G,"pipino il breve")</f>
        <v>94.92</v>
      </c>
      <c r="J82" s="11">
        <f>_xlfn.XLOOKUP(B82,'30'!$A:$A,'30'!$G:$G,"pipino il breve")</f>
        <v>94.94</v>
      </c>
      <c r="K82" s="3">
        <f>_xlfn.XLOOKUP(B82,'30'!$A:$A,'30'!$G:$G,"pipino il breve")</f>
        <v>94.94</v>
      </c>
      <c r="L82">
        <f>_xlfn.XLOOKUP(B82,'2'!$A:$A,'2'!$G:$G,"pipino il breve")</f>
        <v>94.77</v>
      </c>
      <c r="M82">
        <f>_xlfn.XLOOKUP(B82,'2'!$A:$A,'2'!$G:$G,"pipino il breve")</f>
        <v>94.77</v>
      </c>
      <c r="N82">
        <f>_xlfn.XLOOKUP(B82,'2'!$A:$A,'2'!$G:$G,"pipino il breve")</f>
        <v>94.77</v>
      </c>
      <c r="O82">
        <f>_xlfn.XLOOKUP(B82,'5'!$A:$A,'5'!$G:$G,"pipino il breve")</f>
        <v>94.84</v>
      </c>
      <c r="P82">
        <f>_xlfn.XLOOKUP(B82,'6'!$A:$A,'6'!$G:$G,"pipino il breve")</f>
        <v>94.85</v>
      </c>
      <c r="Q82">
        <f>_xlfn.XLOOKUP(B82,'7'!$A:$A,'7'!$G:$G,"pipino il breve")</f>
        <v>94.99</v>
      </c>
      <c r="R82">
        <f>_xlfn.XLOOKUP(B82,'8'!$A:$A,'8'!$G:$G,"pipino il breve")</f>
        <v>94.86</v>
      </c>
      <c r="S82">
        <f>_xlfn.XLOOKUP(B82,'9'!$A:$A,'9'!$G:$G,"pipino il breve")</f>
        <v>94.99</v>
      </c>
      <c r="T82">
        <f>_xlfn.XLOOKUP(B82,'9'!$A:$A,'9'!$G:$G,"pipino il breve")</f>
        <v>94.99</v>
      </c>
      <c r="U82">
        <f>_xlfn.XLOOKUP(B82,'9'!$A:$A,'9'!$G:$G,"pipino il breve")</f>
        <v>94.99</v>
      </c>
      <c r="V82">
        <f>_xlfn.XLOOKUP(B82,'12'!$A:$A,'12'!$G:$G,"pipino il breve")</f>
        <v>94.51</v>
      </c>
      <c r="W82">
        <f>_xlfn.XLOOKUP(B82,'13'!$A:$A,'13'!$G:$G,"pipino il breve")</f>
        <v>94.94</v>
      </c>
      <c r="X82">
        <f>_xlfn.XLOOKUP(B82,'14'!$A:$A,'14'!$G:$G,"pipino il breve")</f>
        <v>94.44</v>
      </c>
      <c r="Y82">
        <f>_xlfn.XLOOKUP(B82,'15'!$A:$A,'15'!$G:$G,"pipino il breve")</f>
        <v>94.6</v>
      </c>
      <c r="Z82">
        <f>_xlfn.XLOOKUP(B82,'16'!$A:$A,'16'!$G:$G,"pipino il breve")</f>
        <v>94.7</v>
      </c>
      <c r="AA82">
        <f>_xlfn.XLOOKUP(B82,'16'!$A:$A,'16'!$G:$G,"pipino il breve")</f>
        <v>94.7</v>
      </c>
      <c r="AB82">
        <f>_xlfn.XLOOKUP(B82,'16'!$A:$A,'16'!$G:$G,"pipino il breve")</f>
        <v>94.7</v>
      </c>
      <c r="AC82">
        <f>_xlfn.XLOOKUP(B82,'19'!$A:$A,'19'!$G:$G,"pipino il breve")</f>
        <v>94.79</v>
      </c>
      <c r="AD82">
        <f>_xlfn.XLOOKUP(B82,'20'!$A:$A,'20'!$G:$G,"pipino il breve")</f>
        <v>94.8</v>
      </c>
      <c r="AE82">
        <f>_xlfn.XLOOKUP(B82,'21'!$A:$A,'21'!$G:$G,"pipino il breve")</f>
        <v>94.73</v>
      </c>
      <c r="AF82">
        <f>_xlfn.XLOOKUP(B82,'22'!$A:$A,'22'!$G:$G,"pipino il breve")</f>
        <v>94.75</v>
      </c>
      <c r="AG82">
        <f>_xlfn.XLOOKUP(B82,'23'!$A:$A,'23'!$G:$G,"pipino il breve")</f>
        <v>94.94</v>
      </c>
      <c r="AH82">
        <f>_xlfn.XLOOKUP(B82,'23'!$A:$A,'23'!$G:$G,"pipino il breve")</f>
        <v>94.94</v>
      </c>
      <c r="AI82">
        <f>_xlfn.XLOOKUP(B82,'23'!$A:$A,'23'!$G:$G,"pipino il breve")</f>
        <v>94.94</v>
      </c>
      <c r="AJ82">
        <f>_xlfn.XLOOKUP(B82,'26'!$A:$A,'26'!$G:$G,"pipino il breve")</f>
        <v>94.94</v>
      </c>
      <c r="AK82">
        <f>_xlfn.XLOOKUP(B82,'27'!$A:$A,'27'!$G:$G,"pipino il breve")</f>
        <v>94.96</v>
      </c>
    </row>
    <row r="83" spans="1:37" x14ac:dyDescent="0.2">
      <c r="A83">
        <v>82</v>
      </c>
      <c r="B83" s="2" t="s">
        <v>90</v>
      </c>
      <c r="C83" s="3">
        <v>1.7250000000000001</v>
      </c>
      <c r="D83" s="2" t="s">
        <v>188</v>
      </c>
      <c r="E83" s="3">
        <v>103.09</v>
      </c>
      <c r="F83" s="3">
        <v>103.09</v>
      </c>
      <c r="G83" s="3">
        <v>103.09</v>
      </c>
      <c r="H83">
        <f>_xlfn.XLOOKUP(B83,'28'!$A:$A,'28'!$G:$G,"pipino il breve")</f>
        <v>103.09</v>
      </c>
      <c r="I83">
        <f>_xlfn.XLOOKUP(B83,'29'!$A:$A,'29'!$G:$G,"pipino il breve")</f>
        <v>103.07</v>
      </c>
      <c r="J83" s="11">
        <f>_xlfn.XLOOKUP(B83,'30'!$A:$A,'30'!$G:$G,"pipino il breve")</f>
        <v>103.15</v>
      </c>
      <c r="K83" s="3">
        <f>_xlfn.XLOOKUP(B83,'30'!$A:$A,'30'!$G:$G,"pipino il breve")</f>
        <v>103.15</v>
      </c>
      <c r="L83">
        <f>_xlfn.XLOOKUP(B83,'2'!$A:$A,'2'!$G:$G,"pipino il breve")</f>
        <v>103.01</v>
      </c>
      <c r="M83">
        <f>_xlfn.XLOOKUP(B83,'2'!$A:$A,'2'!$G:$G,"pipino il breve")</f>
        <v>103.01</v>
      </c>
      <c r="N83">
        <f>_xlfn.XLOOKUP(B83,'2'!$A:$A,'2'!$G:$G,"pipino il breve")</f>
        <v>103.01</v>
      </c>
      <c r="O83">
        <f>_xlfn.XLOOKUP(B83,'5'!$A:$A,'5'!$G:$G,"pipino il breve")</f>
        <v>103.04</v>
      </c>
      <c r="P83">
        <f>_xlfn.XLOOKUP(B83,'6'!$A:$A,'6'!$G:$G,"pipino il breve")</f>
        <v>103.01</v>
      </c>
      <c r="Q83">
        <f>_xlfn.XLOOKUP(B83,'7'!$A:$A,'7'!$G:$G,"pipino il breve")</f>
        <v>103.04</v>
      </c>
      <c r="R83">
        <f>_xlfn.XLOOKUP(B83,'8'!$A:$A,'8'!$G:$G,"pipino il breve")</f>
        <v>103.04</v>
      </c>
      <c r="S83">
        <f>_xlfn.XLOOKUP(B83,'9'!$A:$A,'9'!$G:$G,"pipino il breve")</f>
        <v>102.97</v>
      </c>
      <c r="T83">
        <f>_xlfn.XLOOKUP(B83,'9'!$A:$A,'9'!$G:$G,"pipino il breve")</f>
        <v>102.97</v>
      </c>
      <c r="U83">
        <f>_xlfn.XLOOKUP(B83,'9'!$A:$A,'9'!$G:$G,"pipino il breve")</f>
        <v>102.97</v>
      </c>
      <c r="V83">
        <f>_xlfn.XLOOKUP(B83,'12'!$A:$A,'12'!$G:$G,"pipino il breve")</f>
        <v>102.71</v>
      </c>
      <c r="W83">
        <f>_xlfn.XLOOKUP(B83,'13'!$A:$A,'13'!$G:$G,"pipino il breve")</f>
        <v>102.68</v>
      </c>
      <c r="X83">
        <f>_xlfn.XLOOKUP(B83,'14'!$A:$A,'14'!$G:$G,"pipino il breve")</f>
        <v>102.68</v>
      </c>
      <c r="Y83">
        <f>_xlfn.XLOOKUP(B83,'15'!$A:$A,'15'!$G:$G,"pipino il breve")</f>
        <v>102.76</v>
      </c>
      <c r="Z83">
        <f>_xlfn.XLOOKUP(B83,'16'!$A:$A,'16'!$G:$G,"pipino il breve")</f>
        <v>102.85</v>
      </c>
      <c r="AA83">
        <f>_xlfn.XLOOKUP(B83,'16'!$A:$A,'16'!$G:$G,"pipino il breve")</f>
        <v>102.85</v>
      </c>
      <c r="AB83">
        <f>_xlfn.XLOOKUP(B83,'16'!$A:$A,'16'!$G:$G,"pipino il breve")</f>
        <v>102.85</v>
      </c>
      <c r="AC83">
        <f>_xlfn.XLOOKUP(B83,'19'!$A:$A,'19'!$G:$G,"pipino il breve")</f>
        <v>102.85</v>
      </c>
      <c r="AD83">
        <f>_xlfn.XLOOKUP(B83,'20'!$A:$A,'20'!$G:$G,"pipino il breve")</f>
        <v>102.9</v>
      </c>
      <c r="AE83">
        <f>_xlfn.XLOOKUP(B83,'21'!$A:$A,'21'!$G:$G,"pipino il breve")</f>
        <v>102.81</v>
      </c>
      <c r="AF83">
        <f>_xlfn.XLOOKUP(B83,'22'!$A:$A,'22'!$G:$G,"pipino il breve")</f>
        <v>102.82</v>
      </c>
      <c r="AG83">
        <f>_xlfn.XLOOKUP(B83,'23'!$A:$A,'23'!$G:$G,"pipino il breve")</f>
        <v>102.97</v>
      </c>
      <c r="AH83">
        <f>_xlfn.XLOOKUP(B83,'23'!$A:$A,'23'!$G:$G,"pipino il breve")</f>
        <v>102.97</v>
      </c>
      <c r="AI83">
        <f>_xlfn.XLOOKUP(B83,'23'!$A:$A,'23'!$G:$G,"pipino il breve")</f>
        <v>102.97</v>
      </c>
      <c r="AJ83">
        <f>_xlfn.XLOOKUP(B83,'26'!$A:$A,'26'!$G:$G,"pipino il breve")</f>
        <v>102.91</v>
      </c>
      <c r="AK83">
        <f>_xlfn.XLOOKUP(B83,'27'!$A:$A,'27'!$G:$G,"pipino il breve")</f>
        <v>102.89</v>
      </c>
    </row>
    <row r="84" spans="1:37" x14ac:dyDescent="0.2">
      <c r="A84">
        <v>83</v>
      </c>
      <c r="B84" s="2" t="s">
        <v>75</v>
      </c>
      <c r="C84" s="3">
        <v>1.925</v>
      </c>
      <c r="D84" s="2" t="s">
        <v>189</v>
      </c>
      <c r="E84" s="3">
        <v>102.56</v>
      </c>
      <c r="F84" s="3">
        <v>102.56</v>
      </c>
      <c r="G84" s="3">
        <v>102.56</v>
      </c>
      <c r="H84">
        <f>_xlfn.XLOOKUP(B84,'28'!$A:$A,'28'!$G:$G,"pipino il breve")</f>
        <v>102.55</v>
      </c>
      <c r="I84">
        <f>_xlfn.XLOOKUP(B84,'29'!$A:$A,'29'!$G:$G,"pipino il breve")</f>
        <v>102.51</v>
      </c>
      <c r="J84" s="11">
        <f>_xlfn.XLOOKUP(B84,'30'!$A:$A,'30'!$G:$G,"pipino il breve")</f>
        <v>102.52</v>
      </c>
      <c r="K84" s="3">
        <f>_xlfn.XLOOKUP(B84,'30'!$A:$A,'30'!$G:$G,"pipino il breve")</f>
        <v>102.52</v>
      </c>
      <c r="L84">
        <f>_xlfn.XLOOKUP(B84,'2'!$A:$A,'2'!$G:$G,"pipino il breve")</f>
        <v>102.48</v>
      </c>
      <c r="M84">
        <f>_xlfn.XLOOKUP(B84,'2'!$A:$A,'2'!$G:$G,"pipino il breve")</f>
        <v>102.48</v>
      </c>
      <c r="N84">
        <f>_xlfn.XLOOKUP(B84,'2'!$A:$A,'2'!$G:$G,"pipino il breve")</f>
        <v>102.48</v>
      </c>
      <c r="O84">
        <f>_xlfn.XLOOKUP(B84,'5'!$A:$A,'5'!$G:$G,"pipino il breve")</f>
        <v>102.5</v>
      </c>
      <c r="P84">
        <f>_xlfn.XLOOKUP(B84,'6'!$A:$A,'6'!$G:$G,"pipino il breve")</f>
        <v>102.49</v>
      </c>
      <c r="Q84">
        <f>_xlfn.XLOOKUP(B84,'7'!$A:$A,'7'!$G:$G,"pipino il breve")</f>
        <v>102.56</v>
      </c>
      <c r="R84">
        <f>_xlfn.XLOOKUP(B84,'8'!$A:$A,'8'!$G:$G,"pipino il breve")</f>
        <v>102.5</v>
      </c>
      <c r="S84">
        <f>_xlfn.XLOOKUP(B84,'9'!$A:$A,'9'!$G:$G,"pipino il breve")</f>
        <v>102.46</v>
      </c>
      <c r="T84">
        <f>_xlfn.XLOOKUP(B84,'9'!$A:$A,'9'!$G:$G,"pipino il breve")</f>
        <v>102.46</v>
      </c>
      <c r="U84">
        <f>_xlfn.XLOOKUP(B84,'9'!$A:$A,'9'!$G:$G,"pipino il breve")</f>
        <v>102.46</v>
      </c>
      <c r="V84">
        <f>_xlfn.XLOOKUP(B84,'12'!$A:$A,'12'!$G:$G,"pipino il breve")</f>
        <v>102.31</v>
      </c>
      <c r="W84">
        <f>_xlfn.XLOOKUP(B84,'13'!$A:$A,'13'!$G:$G,"pipino il breve")</f>
        <v>102.3</v>
      </c>
      <c r="X84">
        <f>_xlfn.XLOOKUP(B84,'14'!$A:$A,'14'!$G:$G,"pipino il breve")</f>
        <v>102.3</v>
      </c>
      <c r="Y84">
        <f>_xlfn.XLOOKUP(B84,'15'!$A:$A,'15'!$G:$G,"pipino il breve")</f>
        <v>102.33</v>
      </c>
      <c r="Z84">
        <f>_xlfn.XLOOKUP(B84,'16'!$A:$A,'16'!$G:$G,"pipino il breve")</f>
        <v>102.37</v>
      </c>
      <c r="AA84">
        <f>_xlfn.XLOOKUP(B84,'16'!$A:$A,'16'!$G:$G,"pipino il breve")</f>
        <v>102.37</v>
      </c>
      <c r="AB84">
        <f>_xlfn.XLOOKUP(B84,'16'!$A:$A,'16'!$G:$G,"pipino il breve")</f>
        <v>102.37</v>
      </c>
      <c r="AC84">
        <f>_xlfn.XLOOKUP(B84,'19'!$A:$A,'19'!$G:$G,"pipino il breve")</f>
        <v>102.35</v>
      </c>
      <c r="AD84">
        <f>_xlfn.XLOOKUP(B84,'20'!$A:$A,'20'!$G:$G,"pipino il breve")</f>
        <v>102.37</v>
      </c>
      <c r="AE84">
        <f>_xlfn.XLOOKUP(B84,'21'!$A:$A,'21'!$G:$G,"pipino il breve")</f>
        <v>102.33</v>
      </c>
      <c r="AF84">
        <f>_xlfn.XLOOKUP(B84,'22'!$A:$A,'22'!$G:$G,"pipino il breve")</f>
        <v>102.34</v>
      </c>
      <c r="AG84">
        <f>_xlfn.XLOOKUP(B84,'23'!$A:$A,'23'!$G:$G,"pipino il breve")</f>
        <v>102.41</v>
      </c>
      <c r="AH84">
        <f>_xlfn.XLOOKUP(B84,'23'!$A:$A,'23'!$G:$G,"pipino il breve")</f>
        <v>102.41</v>
      </c>
      <c r="AI84">
        <f>_xlfn.XLOOKUP(B84,'23'!$A:$A,'23'!$G:$G,"pipino il breve")</f>
        <v>102.41</v>
      </c>
      <c r="AJ84">
        <f>_xlfn.XLOOKUP(B84,'26'!$A:$A,'26'!$G:$G,"pipino il breve")</f>
        <v>102.37</v>
      </c>
      <c r="AK84">
        <f>_xlfn.XLOOKUP(B84,'27'!$A:$A,'27'!$G:$G,"pipino il breve")</f>
        <v>101.96</v>
      </c>
    </row>
    <row r="85" spans="1:37" x14ac:dyDescent="0.2">
      <c r="A85">
        <v>84</v>
      </c>
      <c r="B85" s="2" t="s">
        <v>29</v>
      </c>
      <c r="C85" s="3">
        <v>1.25</v>
      </c>
      <c r="D85" s="2" t="s">
        <v>190</v>
      </c>
      <c r="E85" s="3">
        <v>100.298</v>
      </c>
      <c r="F85" s="3">
        <v>100.298</v>
      </c>
      <c r="G85" s="3">
        <v>100.298</v>
      </c>
      <c r="H85">
        <f>_xlfn.XLOOKUP(B85,'28'!$A:$A,'28'!$G:$G,"pipino il breve")</f>
        <v>100.304</v>
      </c>
      <c r="I85">
        <f>_xlfn.XLOOKUP(B85,'29'!$A:$A,'29'!$G:$G,"pipino il breve")</f>
        <v>100.294</v>
      </c>
      <c r="J85" s="11">
        <f>_xlfn.XLOOKUP(B85,'30'!$A:$A,'30'!$G:$G,"pipino il breve")</f>
        <v>100.30500000000001</v>
      </c>
      <c r="K85" s="3">
        <f>_xlfn.XLOOKUP(B85,'30'!$A:$A,'30'!$G:$G,"pipino il breve")</f>
        <v>100.30500000000001</v>
      </c>
      <c r="L85">
        <f>_xlfn.XLOOKUP(B85,'2'!$A:$A,'2'!$G:$G,"pipino il breve")</f>
        <v>100.28100000000001</v>
      </c>
      <c r="M85">
        <f>_xlfn.XLOOKUP(B85,'2'!$A:$A,'2'!$G:$G,"pipino il breve")</f>
        <v>100.28100000000001</v>
      </c>
      <c r="N85">
        <f>_xlfn.XLOOKUP(B85,'2'!$A:$A,'2'!$G:$G,"pipino il breve")</f>
        <v>100.28100000000001</v>
      </c>
      <c r="O85">
        <f>_xlfn.XLOOKUP(B85,'5'!$A:$A,'5'!$G:$G,"pipino il breve")</f>
        <v>100.282</v>
      </c>
      <c r="P85">
        <f>_xlfn.XLOOKUP(B85,'6'!$A:$A,'6'!$G:$G,"pipino il breve")</f>
        <v>100.28400000000001</v>
      </c>
      <c r="Q85">
        <f>_xlfn.XLOOKUP(B85,'7'!$A:$A,'7'!$G:$G,"pipino il breve")</f>
        <v>100.33</v>
      </c>
      <c r="R85">
        <f>_xlfn.XLOOKUP(B85,'8'!$A:$A,'8'!$G:$G,"pipino il breve")</f>
        <v>100.27200000000001</v>
      </c>
      <c r="S85">
        <f>_xlfn.XLOOKUP(B85,'9'!$A:$A,'9'!$G:$G,"pipino il breve")</f>
        <v>100.26600000000001</v>
      </c>
      <c r="T85">
        <f>_xlfn.XLOOKUP(B85,'9'!$A:$A,'9'!$G:$G,"pipino il breve")</f>
        <v>100.26600000000001</v>
      </c>
      <c r="U85">
        <f>_xlfn.XLOOKUP(B85,'9'!$A:$A,'9'!$G:$G,"pipino il breve")</f>
        <v>100.26600000000001</v>
      </c>
      <c r="V85">
        <f>_xlfn.XLOOKUP(B85,'12'!$A:$A,'12'!$G:$G,"pipino il breve")</f>
        <v>100.238</v>
      </c>
      <c r="W85">
        <f>_xlfn.XLOOKUP(B85,'13'!$A:$A,'13'!$G:$G,"pipino il breve")</f>
        <v>100.245</v>
      </c>
      <c r="X85">
        <f>_xlfn.XLOOKUP(B85,'14'!$A:$A,'14'!$G:$G,"pipino il breve")</f>
        <v>100.242</v>
      </c>
      <c r="Y85">
        <f>_xlfn.XLOOKUP(B85,'15'!$A:$A,'15'!$G:$G,"pipino il breve")</f>
        <v>100.239</v>
      </c>
      <c r="Z85">
        <f>_xlfn.XLOOKUP(B85,'16'!$A:$A,'16'!$G:$G,"pipino il breve")</f>
        <v>100.24</v>
      </c>
      <c r="AA85">
        <f>_xlfn.XLOOKUP(B85,'16'!$A:$A,'16'!$G:$G,"pipino il breve")</f>
        <v>100.24</v>
      </c>
      <c r="AB85">
        <f>_xlfn.XLOOKUP(B85,'16'!$A:$A,'16'!$G:$G,"pipino il breve")</f>
        <v>100.24</v>
      </c>
      <c r="AC85">
        <f>_xlfn.XLOOKUP(B85,'19'!$A:$A,'19'!$G:$G,"pipino il breve")</f>
        <v>100.241</v>
      </c>
      <c r="AD85">
        <f>_xlfn.XLOOKUP(B85,'20'!$A:$A,'20'!$G:$G,"pipino il breve")</f>
        <v>100.24</v>
      </c>
      <c r="AE85">
        <f>_xlfn.XLOOKUP(B85,'21'!$A:$A,'21'!$G:$G,"pipino il breve")</f>
        <v>100.24</v>
      </c>
      <c r="AF85">
        <f>_xlfn.XLOOKUP(B85,'22'!$A:$A,'22'!$G:$G,"pipino il breve")</f>
        <v>100.247</v>
      </c>
      <c r="AG85">
        <f>_xlfn.XLOOKUP(B85,'23'!$A:$A,'23'!$G:$G,"pipino il breve")</f>
        <v>100.26300000000001</v>
      </c>
      <c r="AH85">
        <f>_xlfn.XLOOKUP(B85,'23'!$A:$A,'23'!$G:$G,"pipino il breve")</f>
        <v>100.26300000000001</v>
      </c>
      <c r="AI85">
        <f>_xlfn.XLOOKUP(B85,'23'!$A:$A,'23'!$G:$G,"pipino il breve")</f>
        <v>100.26300000000001</v>
      </c>
      <c r="AJ85">
        <f>_xlfn.XLOOKUP(B85,'26'!$A:$A,'26'!$G:$G,"pipino il breve")</f>
        <v>100.255</v>
      </c>
      <c r="AK85">
        <f>_xlfn.XLOOKUP(B85,'27'!$A:$A,'27'!$G:$G,"pipino il breve")</f>
        <v>100.251</v>
      </c>
    </row>
    <row r="86" spans="1:37" x14ac:dyDescent="0.2">
      <c r="A86">
        <v>85</v>
      </c>
      <c r="B86" s="2" t="s">
        <v>94</v>
      </c>
      <c r="C86" s="3">
        <v>2.15</v>
      </c>
      <c r="D86" s="2" t="s">
        <v>191</v>
      </c>
      <c r="E86" s="3">
        <v>99.15</v>
      </c>
      <c r="F86" s="3">
        <v>99.15</v>
      </c>
      <c r="G86" s="3">
        <v>99.15</v>
      </c>
      <c r="H86">
        <f>_xlfn.XLOOKUP(B86,'28'!$A:$A,'28'!$G:$G,"pipino il breve")</f>
        <v>98.75</v>
      </c>
      <c r="I86">
        <f>_xlfn.XLOOKUP(B86,'29'!$A:$A,'29'!$G:$G,"pipino il breve")</f>
        <v>98.66</v>
      </c>
      <c r="J86" s="11">
        <f>_xlfn.XLOOKUP(B86,'30'!$A:$A,'30'!$G:$G,"pipino il breve")</f>
        <v>99.33</v>
      </c>
      <c r="K86" s="3">
        <f>_xlfn.XLOOKUP(B86,'30'!$A:$A,'30'!$G:$G,"pipino il breve")</f>
        <v>99.33</v>
      </c>
      <c r="L86">
        <f>_xlfn.XLOOKUP(B86,'2'!$A:$A,'2'!$G:$G,"pipino il breve")</f>
        <v>98.28</v>
      </c>
      <c r="M86">
        <f>_xlfn.XLOOKUP(B86,'2'!$A:$A,'2'!$G:$G,"pipino il breve")</f>
        <v>98.28</v>
      </c>
      <c r="N86">
        <f>_xlfn.XLOOKUP(B86,'2'!$A:$A,'2'!$G:$G,"pipino il breve")</f>
        <v>98.28</v>
      </c>
      <c r="O86">
        <f>_xlfn.XLOOKUP(B86,'5'!$A:$A,'5'!$G:$G,"pipino il breve")</f>
        <v>98.41</v>
      </c>
      <c r="P86">
        <f>_xlfn.XLOOKUP(B86,'6'!$A:$A,'6'!$G:$G,"pipino il breve")</f>
        <v>98.02</v>
      </c>
      <c r="Q86">
        <f>_xlfn.XLOOKUP(B86,'7'!$A:$A,'7'!$G:$G,"pipino il breve")</f>
        <v>99.26</v>
      </c>
      <c r="R86">
        <f>_xlfn.XLOOKUP(B86,'8'!$A:$A,'8'!$G:$G,"pipino il breve")</f>
        <v>98.8</v>
      </c>
      <c r="S86">
        <f>_xlfn.XLOOKUP(B86,'9'!$A:$A,'9'!$G:$G,"pipino il breve")</f>
        <v>98.35</v>
      </c>
      <c r="T86">
        <f>_xlfn.XLOOKUP(B86,'9'!$A:$A,'9'!$G:$G,"pipino il breve")</f>
        <v>98.35</v>
      </c>
      <c r="U86">
        <f>_xlfn.XLOOKUP(B86,'9'!$A:$A,'9'!$G:$G,"pipino il breve")</f>
        <v>98.35</v>
      </c>
      <c r="V86">
        <f>_xlfn.XLOOKUP(B86,'12'!$A:$A,'12'!$G:$G,"pipino il breve")</f>
        <v>97.9</v>
      </c>
      <c r="W86">
        <f>_xlfn.XLOOKUP(B86,'13'!$A:$A,'13'!$G:$G,"pipino il breve")</f>
        <v>97.26</v>
      </c>
      <c r="X86">
        <f>_xlfn.XLOOKUP(B86,'14'!$A:$A,'14'!$G:$G,"pipino il breve")</f>
        <v>97.15</v>
      </c>
      <c r="Y86">
        <f>_xlfn.XLOOKUP(B86,'15'!$A:$A,'15'!$G:$G,"pipino il breve")</f>
        <v>98.27</v>
      </c>
      <c r="Z86">
        <f>_xlfn.XLOOKUP(B86,'16'!$A:$A,'16'!$G:$G,"pipino il breve")</f>
        <v>98.96</v>
      </c>
      <c r="AA86">
        <f>_xlfn.XLOOKUP(B86,'16'!$A:$A,'16'!$G:$G,"pipino il breve")</f>
        <v>98.96</v>
      </c>
      <c r="AB86">
        <f>_xlfn.XLOOKUP(B86,'16'!$A:$A,'16'!$G:$G,"pipino il breve")</f>
        <v>98.96</v>
      </c>
      <c r="AC86">
        <f>_xlfn.XLOOKUP(B86,'19'!$A:$A,'19'!$G:$G,"pipino il breve")</f>
        <v>98.91</v>
      </c>
      <c r="AD86">
        <f>_xlfn.XLOOKUP(B86,'20'!$A:$A,'20'!$G:$G,"pipino il breve")</f>
        <v>98.36</v>
      </c>
      <c r="AE86">
        <f>_xlfn.XLOOKUP(B86,'21'!$A:$A,'21'!$G:$G,"pipino il breve")</f>
        <v>97.71</v>
      </c>
      <c r="AF86">
        <f>_xlfn.XLOOKUP(B86,'22'!$A:$A,'22'!$G:$G,"pipino il breve")</f>
        <v>97.09</v>
      </c>
      <c r="AG86">
        <f>_xlfn.XLOOKUP(B86,'23'!$A:$A,'23'!$G:$G,"pipino il breve")</f>
        <v>97.7</v>
      </c>
      <c r="AH86">
        <f>_xlfn.XLOOKUP(B86,'23'!$A:$A,'23'!$G:$G,"pipino il breve")</f>
        <v>97.7</v>
      </c>
      <c r="AI86">
        <f>_xlfn.XLOOKUP(B86,'23'!$A:$A,'23'!$G:$G,"pipino il breve")</f>
        <v>97.7</v>
      </c>
      <c r="AJ86">
        <f>_xlfn.XLOOKUP(B86,'26'!$A:$A,'26'!$G:$G,"pipino il breve")</f>
        <v>98.6</v>
      </c>
      <c r="AK86">
        <f>_xlfn.XLOOKUP(B86,'27'!$A:$A,'27'!$G:$G,"pipino il breve")</f>
        <v>99.41</v>
      </c>
    </row>
    <row r="87" spans="1:37" x14ac:dyDescent="0.2">
      <c r="A87">
        <v>86</v>
      </c>
      <c r="B87" s="2" t="s">
        <v>64</v>
      </c>
      <c r="C87" s="3">
        <v>1.75</v>
      </c>
      <c r="D87" s="2" t="s">
        <v>192</v>
      </c>
      <c r="E87" s="3">
        <v>101.045</v>
      </c>
      <c r="F87" s="3">
        <v>101.045</v>
      </c>
      <c r="G87" s="3">
        <v>101.045</v>
      </c>
      <c r="H87">
        <f>_xlfn.XLOOKUP(B87,'28'!$A:$A,'28'!$G:$G,"pipino il breve")</f>
        <v>101.057</v>
      </c>
      <c r="I87">
        <f>_xlfn.XLOOKUP(B87,'29'!$A:$A,'29'!$G:$G,"pipino il breve")</f>
        <v>101.038</v>
      </c>
      <c r="J87" s="11">
        <f>_xlfn.XLOOKUP(B87,'30'!$A:$A,'30'!$G:$G,"pipino il breve")</f>
        <v>101.03</v>
      </c>
      <c r="K87" s="3">
        <f>_xlfn.XLOOKUP(B87,'30'!$A:$A,'30'!$G:$G,"pipino il breve")</f>
        <v>101.03</v>
      </c>
      <c r="L87">
        <f>_xlfn.XLOOKUP(B87,'2'!$A:$A,'2'!$G:$G,"pipino il breve")</f>
        <v>100.994</v>
      </c>
      <c r="M87">
        <f>_xlfn.XLOOKUP(B87,'2'!$A:$A,'2'!$G:$G,"pipino il breve")</f>
        <v>100.994</v>
      </c>
      <c r="N87">
        <f>_xlfn.XLOOKUP(B87,'2'!$A:$A,'2'!$G:$G,"pipino il breve")</f>
        <v>100.994</v>
      </c>
      <c r="O87">
        <f>_xlfn.XLOOKUP(B87,'5'!$A:$A,'5'!$G:$G,"pipino il breve")</f>
        <v>101.003</v>
      </c>
      <c r="P87">
        <f>_xlfn.XLOOKUP(B87,'6'!$A:$A,'6'!$G:$G,"pipino il breve")</f>
        <v>101.004</v>
      </c>
      <c r="Q87">
        <f>_xlfn.XLOOKUP(B87,'7'!$A:$A,'7'!$G:$G,"pipino il breve")</f>
        <v>101.012</v>
      </c>
      <c r="R87">
        <f>_xlfn.XLOOKUP(B87,'8'!$A:$A,'8'!$G:$G,"pipino il breve")</f>
        <v>100.995</v>
      </c>
      <c r="S87">
        <f>_xlfn.XLOOKUP(B87,'9'!$A:$A,'9'!$G:$G,"pipino il breve")</f>
        <v>100.98</v>
      </c>
      <c r="T87">
        <f>_xlfn.XLOOKUP(B87,'9'!$A:$A,'9'!$G:$G,"pipino il breve")</f>
        <v>100.98</v>
      </c>
      <c r="U87">
        <f>_xlfn.XLOOKUP(B87,'9'!$A:$A,'9'!$G:$G,"pipino il breve")</f>
        <v>100.98</v>
      </c>
      <c r="V87">
        <f>_xlfn.XLOOKUP(B87,'12'!$A:$A,'12'!$G:$G,"pipino il breve")</f>
        <v>100.925</v>
      </c>
      <c r="W87">
        <f>_xlfn.XLOOKUP(B87,'13'!$A:$A,'13'!$G:$G,"pipino il breve")</f>
        <v>100.925</v>
      </c>
      <c r="X87">
        <f>_xlfn.XLOOKUP(B87,'14'!$A:$A,'14'!$G:$G,"pipino il breve")</f>
        <v>100.91200000000001</v>
      </c>
      <c r="Y87">
        <f>_xlfn.XLOOKUP(B87,'15'!$A:$A,'15'!$G:$G,"pipino il breve")</f>
        <v>100.935</v>
      </c>
      <c r="Z87">
        <f>_xlfn.XLOOKUP(B87,'16'!$A:$A,'16'!$G:$G,"pipino il breve")</f>
        <v>100.93</v>
      </c>
      <c r="AA87">
        <f>_xlfn.XLOOKUP(B87,'16'!$A:$A,'16'!$G:$G,"pipino il breve")</f>
        <v>100.93</v>
      </c>
      <c r="AB87">
        <f>_xlfn.XLOOKUP(B87,'16'!$A:$A,'16'!$G:$G,"pipino il breve")</f>
        <v>100.93</v>
      </c>
      <c r="AC87">
        <f>_xlfn.XLOOKUP(B87,'19'!$A:$A,'19'!$G:$G,"pipino il breve")</f>
        <v>100.925</v>
      </c>
      <c r="AD87">
        <f>_xlfn.XLOOKUP(B87,'20'!$A:$A,'20'!$G:$G,"pipino il breve")</f>
        <v>100.92</v>
      </c>
      <c r="AE87">
        <f>_xlfn.XLOOKUP(B87,'21'!$A:$A,'21'!$G:$G,"pipino il breve")</f>
        <v>100.92700000000001</v>
      </c>
      <c r="AF87">
        <f>_xlfn.XLOOKUP(B87,'22'!$A:$A,'22'!$G:$G,"pipino il breve")</f>
        <v>100.92700000000001</v>
      </c>
      <c r="AG87">
        <f>_xlfn.XLOOKUP(B87,'23'!$A:$A,'23'!$G:$G,"pipino il breve")</f>
        <v>100.934</v>
      </c>
      <c r="AH87">
        <f>_xlfn.XLOOKUP(B87,'23'!$A:$A,'23'!$G:$G,"pipino il breve")</f>
        <v>100.934</v>
      </c>
      <c r="AI87">
        <f>_xlfn.XLOOKUP(B87,'23'!$A:$A,'23'!$G:$G,"pipino il breve")</f>
        <v>100.934</v>
      </c>
      <c r="AJ87">
        <f>_xlfn.XLOOKUP(B87,'26'!$A:$A,'26'!$G:$G,"pipino il breve")</f>
        <v>100.925</v>
      </c>
      <c r="AK87">
        <f>_xlfn.XLOOKUP(B87,'27'!$A:$A,'27'!$G:$G,"pipino il breve")</f>
        <v>100.93300000000001</v>
      </c>
    </row>
    <row r="88" spans="1:37" x14ac:dyDescent="0.2">
      <c r="A88">
        <v>87</v>
      </c>
      <c r="B88" s="2" t="s">
        <v>48</v>
      </c>
      <c r="C88" s="3">
        <v>0.125</v>
      </c>
      <c r="D88" s="2" t="s">
        <v>193</v>
      </c>
      <c r="E88" s="3">
        <v>94.85</v>
      </c>
      <c r="F88" s="3">
        <v>94.85</v>
      </c>
      <c r="G88" s="3">
        <v>94.85</v>
      </c>
      <c r="H88">
        <f>_xlfn.XLOOKUP(B88,'28'!$A:$A,'28'!$G:$G,"pipino il breve")</f>
        <v>94.89</v>
      </c>
      <c r="I88">
        <f>_xlfn.XLOOKUP(B88,'29'!$A:$A,'29'!$G:$G,"pipino il breve")</f>
        <v>94.85</v>
      </c>
      <c r="J88" s="11">
        <f>_xlfn.XLOOKUP(B88,'30'!$A:$A,'30'!$G:$G,"pipino il breve")</f>
        <v>94.95</v>
      </c>
      <c r="K88" s="3">
        <f>_xlfn.XLOOKUP(B88,'30'!$A:$A,'30'!$G:$G,"pipino il breve")</f>
        <v>94.95</v>
      </c>
      <c r="L88">
        <f>_xlfn.XLOOKUP(B88,'2'!$A:$A,'2'!$G:$G,"pipino il breve")</f>
        <v>95.04</v>
      </c>
      <c r="M88">
        <f>_xlfn.XLOOKUP(B88,'2'!$A:$A,'2'!$G:$G,"pipino il breve")</f>
        <v>95.04</v>
      </c>
      <c r="N88">
        <f>_xlfn.XLOOKUP(B88,'2'!$A:$A,'2'!$G:$G,"pipino il breve")</f>
        <v>95.04</v>
      </c>
      <c r="O88">
        <f>_xlfn.XLOOKUP(B88,'5'!$A:$A,'5'!$G:$G,"pipino il breve")</f>
        <v>94.9</v>
      </c>
      <c r="P88">
        <f>_xlfn.XLOOKUP(B88,'6'!$A:$A,'6'!$G:$G,"pipino il breve")</f>
        <v>94.9</v>
      </c>
      <c r="Q88">
        <f>_xlfn.XLOOKUP(B88,'7'!$A:$A,'7'!$G:$G,"pipino il breve")</f>
        <v>95</v>
      </c>
      <c r="R88">
        <f>_xlfn.XLOOKUP(B88,'8'!$A:$A,'8'!$G:$G,"pipino il breve")</f>
        <v>94.98</v>
      </c>
      <c r="S88">
        <f>_xlfn.XLOOKUP(B88,'9'!$A:$A,'9'!$G:$G,"pipino il breve")</f>
        <v>94.83</v>
      </c>
      <c r="T88">
        <f>_xlfn.XLOOKUP(B88,'9'!$A:$A,'9'!$G:$G,"pipino il breve")</f>
        <v>94.83</v>
      </c>
      <c r="U88">
        <f>_xlfn.XLOOKUP(B88,'9'!$A:$A,'9'!$G:$G,"pipino il breve")</f>
        <v>94.83</v>
      </c>
      <c r="V88">
        <f>_xlfn.XLOOKUP(B88,'12'!$A:$A,'12'!$G:$G,"pipino il breve")</f>
        <v>94.51</v>
      </c>
      <c r="W88">
        <f>_xlfn.XLOOKUP(B88,'13'!$A:$A,'13'!$G:$G,"pipino il breve")</f>
        <v>94.72</v>
      </c>
      <c r="X88">
        <f>_xlfn.XLOOKUP(B88,'14'!$A:$A,'14'!$G:$G,"pipino il breve")</f>
        <v>94.5</v>
      </c>
      <c r="Y88">
        <f>_xlfn.XLOOKUP(B88,'15'!$A:$A,'15'!$G:$G,"pipino il breve")</f>
        <v>94.64</v>
      </c>
      <c r="Z88">
        <f>_xlfn.XLOOKUP(B88,'16'!$A:$A,'16'!$G:$G,"pipino il breve")</f>
        <v>94.77</v>
      </c>
      <c r="AA88">
        <f>_xlfn.XLOOKUP(B88,'16'!$A:$A,'16'!$G:$G,"pipino il breve")</f>
        <v>94.77</v>
      </c>
      <c r="AB88">
        <f>_xlfn.XLOOKUP(B88,'16'!$A:$A,'16'!$G:$G,"pipino il breve")</f>
        <v>94.77</v>
      </c>
      <c r="AC88">
        <f>_xlfn.XLOOKUP(B88,'19'!$A:$A,'19'!$G:$G,"pipino il breve")</f>
        <v>94.79</v>
      </c>
      <c r="AD88">
        <f>_xlfn.XLOOKUP(B88,'20'!$A:$A,'20'!$G:$G,"pipino il breve")</f>
        <v>94.97</v>
      </c>
      <c r="AE88">
        <f>_xlfn.XLOOKUP(B88,'21'!$A:$A,'21'!$G:$G,"pipino il breve")</f>
        <v>94.75</v>
      </c>
      <c r="AF88">
        <f>_xlfn.XLOOKUP(B88,'22'!$A:$A,'22'!$G:$G,"pipino il breve")</f>
        <v>94.79</v>
      </c>
      <c r="AG88">
        <f>_xlfn.XLOOKUP(B88,'23'!$A:$A,'23'!$G:$G,"pipino il breve")</f>
        <v>94.94</v>
      </c>
      <c r="AH88">
        <f>_xlfn.XLOOKUP(B88,'23'!$A:$A,'23'!$G:$G,"pipino il breve")</f>
        <v>94.94</v>
      </c>
      <c r="AI88">
        <f>_xlfn.XLOOKUP(B88,'23'!$A:$A,'23'!$G:$G,"pipino il breve")</f>
        <v>94.94</v>
      </c>
      <c r="AJ88">
        <f>_xlfn.XLOOKUP(B88,'26'!$A:$A,'26'!$G:$G,"pipino il breve")</f>
        <v>94.94</v>
      </c>
      <c r="AK88">
        <f>_xlfn.XLOOKUP(B88,'27'!$A:$A,'27'!$G:$G,"pipino il breve")</f>
        <v>94.94</v>
      </c>
    </row>
    <row r="89" spans="1:37" x14ac:dyDescent="0.2">
      <c r="A89">
        <v>88</v>
      </c>
      <c r="B89" s="2" t="s">
        <v>38</v>
      </c>
      <c r="C89" s="3">
        <v>0.72499999999999998</v>
      </c>
      <c r="D89" s="2" t="s">
        <v>194</v>
      </c>
      <c r="E89" s="3">
        <v>80.83</v>
      </c>
      <c r="F89" s="3">
        <v>80.83</v>
      </c>
      <c r="G89" s="3">
        <v>80.83</v>
      </c>
      <c r="H89">
        <f>_xlfn.XLOOKUP(B89,'28'!$A:$A,'28'!$G:$G,"pipino il breve")</f>
        <v>80.66</v>
      </c>
      <c r="I89">
        <f>_xlfn.XLOOKUP(B89,'29'!$A:$A,'29'!$G:$G,"pipino il breve")</f>
        <v>80.709999999999994</v>
      </c>
      <c r="J89" s="11">
        <f>_xlfn.XLOOKUP(B89,'30'!$A:$A,'30'!$G:$G,"pipino il breve")</f>
        <v>80.989999999999995</v>
      </c>
      <c r="K89" s="3">
        <f>_xlfn.XLOOKUP(B89,'30'!$A:$A,'30'!$G:$G,"pipino il breve")</f>
        <v>80.989999999999995</v>
      </c>
      <c r="L89">
        <f>_xlfn.XLOOKUP(B89,'2'!$A:$A,'2'!$G:$G,"pipino il breve")</f>
        <v>80.66</v>
      </c>
      <c r="M89">
        <f>_xlfn.XLOOKUP(B89,'2'!$A:$A,'2'!$G:$G,"pipino il breve")</f>
        <v>80.66</v>
      </c>
      <c r="N89">
        <f>_xlfn.XLOOKUP(B89,'2'!$A:$A,'2'!$G:$G,"pipino il breve")</f>
        <v>80.66</v>
      </c>
      <c r="O89">
        <f>_xlfn.XLOOKUP(B89,'5'!$A:$A,'5'!$G:$G,"pipino il breve")</f>
        <v>80.77</v>
      </c>
      <c r="P89">
        <f>_xlfn.XLOOKUP(B89,'6'!$A:$A,'6'!$G:$G,"pipino il breve")</f>
        <v>80.709999999999994</v>
      </c>
      <c r="Q89">
        <f>_xlfn.XLOOKUP(B89,'7'!$A:$A,'7'!$G:$G,"pipino il breve")</f>
        <v>81.180000000000007</v>
      </c>
      <c r="R89">
        <f>_xlfn.XLOOKUP(B89,'8'!$A:$A,'8'!$G:$G,"pipino il breve")</f>
        <v>81.099999999999994</v>
      </c>
      <c r="S89">
        <f>_xlfn.XLOOKUP(B89,'9'!$A:$A,'9'!$G:$G,"pipino il breve")</f>
        <v>80.86</v>
      </c>
      <c r="T89">
        <f>_xlfn.XLOOKUP(B89,'9'!$A:$A,'9'!$G:$G,"pipino il breve")</f>
        <v>80.86</v>
      </c>
      <c r="U89">
        <f>_xlfn.XLOOKUP(B89,'9'!$A:$A,'9'!$G:$G,"pipino il breve")</f>
        <v>80.86</v>
      </c>
      <c r="V89">
        <f>_xlfn.XLOOKUP(B89,'12'!$A:$A,'12'!$G:$G,"pipino il breve")</f>
        <v>80.39</v>
      </c>
      <c r="W89">
        <f>_xlfn.XLOOKUP(B89,'13'!$A:$A,'13'!$G:$G,"pipino il breve")</f>
        <v>80.239999999999995</v>
      </c>
      <c r="X89">
        <f>_xlfn.XLOOKUP(B89,'14'!$A:$A,'14'!$G:$G,"pipino il breve")</f>
        <v>80.13</v>
      </c>
      <c r="Y89">
        <f>_xlfn.XLOOKUP(B89,'15'!$A:$A,'15'!$G:$G,"pipino il breve")</f>
        <v>80.7</v>
      </c>
      <c r="Z89">
        <f>_xlfn.XLOOKUP(B89,'16'!$A:$A,'16'!$G:$G,"pipino il breve")</f>
        <v>80.989999999999995</v>
      </c>
      <c r="AA89">
        <f>_xlfn.XLOOKUP(B89,'16'!$A:$A,'16'!$G:$G,"pipino il breve")</f>
        <v>80.989999999999995</v>
      </c>
      <c r="AB89">
        <f>_xlfn.XLOOKUP(B89,'16'!$A:$A,'16'!$G:$G,"pipino il breve")</f>
        <v>80.989999999999995</v>
      </c>
      <c r="AC89">
        <f>_xlfn.XLOOKUP(B89,'19'!$A:$A,'19'!$G:$G,"pipino il breve")</f>
        <v>81.010000000000005</v>
      </c>
      <c r="AD89">
        <f>_xlfn.XLOOKUP(B89,'20'!$A:$A,'20'!$G:$G,"pipino il breve")</f>
        <v>80.900000000000006</v>
      </c>
      <c r="AE89">
        <f>_xlfn.XLOOKUP(B89,'21'!$A:$A,'21'!$G:$G,"pipino il breve")</f>
        <v>80.66</v>
      </c>
      <c r="AF89">
        <f>_xlfn.XLOOKUP(B89,'22'!$A:$A,'22'!$G:$G,"pipino il breve")</f>
        <v>80.53</v>
      </c>
      <c r="AG89">
        <f>_xlfn.XLOOKUP(B89,'23'!$A:$A,'23'!$G:$G,"pipino il breve")</f>
        <v>80.95</v>
      </c>
      <c r="AH89">
        <f>_xlfn.XLOOKUP(B89,'23'!$A:$A,'23'!$G:$G,"pipino il breve")</f>
        <v>80.95</v>
      </c>
      <c r="AI89">
        <f>_xlfn.XLOOKUP(B89,'23'!$A:$A,'23'!$G:$G,"pipino il breve")</f>
        <v>80.95</v>
      </c>
      <c r="AJ89">
        <f>_xlfn.XLOOKUP(B89,'26'!$A:$A,'26'!$G:$G,"pipino il breve")</f>
        <v>81.260000000000005</v>
      </c>
      <c r="AK89">
        <f>_xlfn.XLOOKUP(B89,'27'!$A:$A,'27'!$G:$G,"pipino il breve")</f>
        <v>81.510000000000005</v>
      </c>
    </row>
    <row r="90" spans="1:37" x14ac:dyDescent="0.2">
      <c r="A90">
        <v>89</v>
      </c>
      <c r="B90" s="2" t="s">
        <v>99</v>
      </c>
      <c r="C90" s="3">
        <v>1.925</v>
      </c>
      <c r="D90" s="2" t="s">
        <v>195</v>
      </c>
      <c r="E90" s="3">
        <v>98.13</v>
      </c>
      <c r="F90" s="3">
        <v>98.13</v>
      </c>
      <c r="G90" s="3">
        <v>98.13</v>
      </c>
      <c r="H90">
        <f>_xlfn.XLOOKUP(B90,'28'!$A:$A,'28'!$G:$G,"pipino il breve")</f>
        <v>97.95</v>
      </c>
      <c r="I90">
        <f>_xlfn.XLOOKUP(B90,'29'!$A:$A,'29'!$G:$G,"pipino il breve")</f>
        <v>97.84</v>
      </c>
      <c r="J90" s="11">
        <f>_xlfn.XLOOKUP(B90,'30'!$A:$A,'30'!$G:$G,"pipino il breve")</f>
        <v>98.25</v>
      </c>
      <c r="K90" s="3">
        <f>_xlfn.XLOOKUP(B90,'30'!$A:$A,'30'!$G:$G,"pipino il breve")</f>
        <v>98.25</v>
      </c>
      <c r="L90">
        <f>_xlfn.XLOOKUP(B90,'2'!$A:$A,'2'!$G:$G,"pipino il breve")</f>
        <v>97.79</v>
      </c>
      <c r="M90">
        <f>_xlfn.XLOOKUP(B90,'2'!$A:$A,'2'!$G:$G,"pipino il breve")</f>
        <v>97.79</v>
      </c>
      <c r="N90">
        <f>_xlfn.XLOOKUP(B90,'2'!$A:$A,'2'!$G:$G,"pipino il breve")</f>
        <v>97.79</v>
      </c>
      <c r="O90">
        <f>_xlfn.XLOOKUP(B90,'5'!$A:$A,'5'!$G:$G,"pipino il breve")</f>
        <v>97.83</v>
      </c>
      <c r="P90">
        <f>_xlfn.XLOOKUP(B90,'6'!$A:$A,'6'!$G:$G,"pipino il breve")</f>
        <v>97.57</v>
      </c>
      <c r="Q90">
        <f>_xlfn.XLOOKUP(B90,'7'!$A:$A,'7'!$G:$G,"pipino il breve")</f>
        <v>98.41</v>
      </c>
      <c r="R90">
        <f>_xlfn.XLOOKUP(B90,'8'!$A:$A,'8'!$G:$G,"pipino il breve")</f>
        <v>98.1</v>
      </c>
      <c r="S90">
        <f>_xlfn.XLOOKUP(B90,'9'!$A:$A,'9'!$G:$G,"pipino il breve")</f>
        <v>97.78</v>
      </c>
      <c r="T90">
        <f>_xlfn.XLOOKUP(B90,'9'!$A:$A,'9'!$G:$G,"pipino il breve")</f>
        <v>97.78</v>
      </c>
      <c r="U90">
        <f>_xlfn.XLOOKUP(B90,'9'!$A:$A,'9'!$G:$G,"pipino il breve")</f>
        <v>97.78</v>
      </c>
      <c r="V90">
        <f>_xlfn.XLOOKUP(B90,'12'!$A:$A,'12'!$G:$G,"pipino il breve")</f>
        <v>97.31</v>
      </c>
      <c r="W90">
        <f>_xlfn.XLOOKUP(B90,'13'!$A:$A,'13'!$G:$G,"pipino il breve")</f>
        <v>96.88</v>
      </c>
      <c r="X90">
        <f>_xlfn.XLOOKUP(B90,'14'!$A:$A,'14'!$G:$G,"pipino il breve")</f>
        <v>96.85</v>
      </c>
      <c r="Y90">
        <f>_xlfn.XLOOKUP(B90,'15'!$A:$A,'15'!$G:$G,"pipino il breve")</f>
        <v>97.65</v>
      </c>
      <c r="Z90">
        <f>_xlfn.XLOOKUP(B90,'16'!$A:$A,'16'!$G:$G,"pipino il breve")</f>
        <v>98.11</v>
      </c>
      <c r="AA90">
        <f>_xlfn.XLOOKUP(B90,'16'!$A:$A,'16'!$G:$G,"pipino il breve")</f>
        <v>98.11</v>
      </c>
      <c r="AB90">
        <f>_xlfn.XLOOKUP(B90,'16'!$A:$A,'16'!$G:$G,"pipino il breve")</f>
        <v>98.11</v>
      </c>
      <c r="AC90">
        <f>_xlfn.XLOOKUP(B90,'19'!$A:$A,'19'!$G:$G,"pipino il breve")</f>
        <v>98.13</v>
      </c>
      <c r="AD90">
        <f>_xlfn.XLOOKUP(B90,'20'!$A:$A,'20'!$G:$G,"pipino il breve")</f>
        <v>97.84</v>
      </c>
      <c r="AE90">
        <f>_xlfn.XLOOKUP(B90,'21'!$A:$A,'21'!$G:$G,"pipino il breve")</f>
        <v>97.52</v>
      </c>
      <c r="AF90">
        <f>_xlfn.XLOOKUP(B90,'22'!$A:$A,'22'!$G:$G,"pipino il breve")</f>
        <v>97.39</v>
      </c>
      <c r="AG90">
        <f>_xlfn.XLOOKUP(B90,'23'!$A:$A,'23'!$G:$G,"pipino il breve")</f>
        <v>97.81</v>
      </c>
      <c r="AH90">
        <f>_xlfn.XLOOKUP(B90,'23'!$A:$A,'23'!$G:$G,"pipino il breve")</f>
        <v>97.81</v>
      </c>
      <c r="AI90">
        <f>_xlfn.XLOOKUP(B90,'23'!$A:$A,'23'!$G:$G,"pipino il breve")</f>
        <v>97.81</v>
      </c>
      <c r="AJ90">
        <f>_xlfn.XLOOKUP(B90,'26'!$A:$A,'26'!$G:$G,"pipino il breve")</f>
        <v>98.3</v>
      </c>
      <c r="AK90">
        <f>_xlfn.XLOOKUP(B90,'27'!$A:$A,'27'!$G:$G,"pipino il breve")</f>
        <v>98.71</v>
      </c>
    </row>
    <row r="91" spans="1:37" x14ac:dyDescent="0.2">
      <c r="A91">
        <v>90</v>
      </c>
      <c r="B91" s="2" t="s">
        <v>59</v>
      </c>
      <c r="C91" s="3">
        <v>0.6</v>
      </c>
      <c r="D91" s="2" t="s">
        <v>196</v>
      </c>
      <c r="E91" s="3">
        <v>99.745999999999995</v>
      </c>
      <c r="F91" s="3">
        <v>99.745999999999995</v>
      </c>
      <c r="G91" s="3">
        <v>99.745999999999995</v>
      </c>
      <c r="H91">
        <f>_xlfn.XLOOKUP(B91,'28'!$A:$A,'28'!$G:$G,"pipino il breve")</f>
        <v>99.745999999999995</v>
      </c>
      <c r="I91">
        <f>_xlfn.XLOOKUP(B91,'29'!$A:$A,'29'!$G:$G,"pipino il breve")</f>
        <v>99.757999999999996</v>
      </c>
      <c r="J91" s="11">
        <f>_xlfn.XLOOKUP(B91,'30'!$A:$A,'30'!$G:$G,"pipino il breve")</f>
        <v>99.766999999999996</v>
      </c>
      <c r="K91" s="3">
        <f>_xlfn.XLOOKUP(B91,'30'!$A:$A,'30'!$G:$G,"pipino il breve")</f>
        <v>99.766999999999996</v>
      </c>
      <c r="L91">
        <f>_xlfn.XLOOKUP(B91,'2'!$A:$A,'2'!$G:$G,"pipino il breve")</f>
        <v>99.76</v>
      </c>
      <c r="M91">
        <f>_xlfn.XLOOKUP(B91,'2'!$A:$A,'2'!$G:$G,"pipino il breve")</f>
        <v>99.76</v>
      </c>
      <c r="N91">
        <f>_xlfn.XLOOKUP(B91,'2'!$A:$A,'2'!$G:$G,"pipino il breve")</f>
        <v>99.76</v>
      </c>
      <c r="O91">
        <f>_xlfn.XLOOKUP(B91,'5'!$A:$A,'5'!$G:$G,"pipino il breve")</f>
        <v>99.766000000000005</v>
      </c>
      <c r="P91">
        <f>_xlfn.XLOOKUP(B91,'6'!$A:$A,'6'!$G:$G,"pipino il breve")</f>
        <v>99.77</v>
      </c>
      <c r="Q91">
        <f>_xlfn.XLOOKUP(B91,'7'!$A:$A,'7'!$G:$G,"pipino il breve")</f>
        <v>99.775000000000006</v>
      </c>
      <c r="R91">
        <f>_xlfn.XLOOKUP(B91,'8'!$A:$A,'8'!$G:$G,"pipino il breve")</f>
        <v>99.78</v>
      </c>
      <c r="S91">
        <f>_xlfn.XLOOKUP(B91,'9'!$A:$A,'9'!$G:$G,"pipino il breve")</f>
        <v>99.778000000000006</v>
      </c>
      <c r="T91">
        <f>_xlfn.XLOOKUP(B91,'9'!$A:$A,'9'!$G:$G,"pipino il breve")</f>
        <v>99.778000000000006</v>
      </c>
      <c r="U91">
        <f>_xlfn.XLOOKUP(B91,'9'!$A:$A,'9'!$G:$G,"pipino il breve")</f>
        <v>99.778000000000006</v>
      </c>
      <c r="V91">
        <f>_xlfn.XLOOKUP(B91,'12'!$A:$A,'12'!$G:$G,"pipino il breve")</f>
        <v>99.772000000000006</v>
      </c>
      <c r="W91">
        <f>_xlfn.XLOOKUP(B91,'13'!$A:$A,'13'!$G:$G,"pipino il breve")</f>
        <v>99.772999999999996</v>
      </c>
      <c r="X91">
        <f>_xlfn.XLOOKUP(B91,'14'!$A:$A,'14'!$G:$G,"pipino il breve")</f>
        <v>99.778999999999996</v>
      </c>
      <c r="Y91">
        <f>_xlfn.XLOOKUP(B91,'15'!$A:$A,'15'!$G:$G,"pipino il breve")</f>
        <v>99.795000000000002</v>
      </c>
      <c r="Z91">
        <f>_xlfn.XLOOKUP(B91,'16'!$A:$A,'16'!$G:$G,"pipino il breve")</f>
        <v>99.795000000000002</v>
      </c>
      <c r="AA91">
        <f>_xlfn.XLOOKUP(B91,'16'!$A:$A,'16'!$G:$G,"pipino il breve")</f>
        <v>99.795000000000002</v>
      </c>
      <c r="AB91">
        <f>_xlfn.XLOOKUP(B91,'16'!$A:$A,'16'!$G:$G,"pipino il breve")</f>
        <v>99.795000000000002</v>
      </c>
      <c r="AC91">
        <f>_xlfn.XLOOKUP(B91,'19'!$A:$A,'19'!$G:$G,"pipino il breve")</f>
        <v>99.802999999999997</v>
      </c>
      <c r="AD91">
        <f>_xlfn.XLOOKUP(B91,'20'!$A:$A,'20'!$G:$G,"pipino il breve")</f>
        <v>99.811000000000007</v>
      </c>
      <c r="AE91">
        <f>_xlfn.XLOOKUP(B91,'21'!$A:$A,'21'!$G:$G,"pipino il breve")</f>
        <v>99.822999999999993</v>
      </c>
      <c r="AF91">
        <f>_xlfn.XLOOKUP(B91,'22'!$A:$A,'22'!$G:$G,"pipino il breve")</f>
        <v>99.837999999999994</v>
      </c>
      <c r="AG91">
        <f>_xlfn.XLOOKUP(B91,'23'!$A:$A,'23'!$G:$G,"pipino il breve")</f>
        <v>99.850999999999999</v>
      </c>
      <c r="AH91">
        <f>_xlfn.XLOOKUP(B91,'23'!$A:$A,'23'!$G:$G,"pipino il breve")</f>
        <v>99.850999999999999</v>
      </c>
      <c r="AI91">
        <f>_xlfn.XLOOKUP(B91,'23'!$A:$A,'23'!$G:$G,"pipino il breve")</f>
        <v>99.850999999999999</v>
      </c>
      <c r="AJ91">
        <f>_xlfn.XLOOKUP(B91,'26'!$A:$A,'26'!$G:$G,"pipino il breve")</f>
        <v>99.84</v>
      </c>
      <c r="AK91">
        <f>_xlfn.XLOOKUP(B91,'27'!$A:$A,'27'!$G:$G,"pipino il breve")</f>
        <v>99.844999999999999</v>
      </c>
    </row>
    <row r="92" spans="1:37" x14ac:dyDescent="0.2">
      <c r="A92">
        <v>91</v>
      </c>
      <c r="B92" s="2" t="s">
        <v>10</v>
      </c>
      <c r="C92" s="3">
        <v>2.375</v>
      </c>
      <c r="D92" s="2" t="s">
        <v>199</v>
      </c>
      <c r="E92" s="3">
        <v>108.05</v>
      </c>
      <c r="F92" s="3">
        <v>108.05</v>
      </c>
      <c r="G92" s="3">
        <v>108.05</v>
      </c>
      <c r="H92">
        <f>_xlfn.XLOOKUP(B92,'28'!$A:$A,'28'!$G:$G,"pipino il breve")</f>
        <v>108.07</v>
      </c>
      <c r="I92">
        <f>_xlfn.XLOOKUP(B92,'29'!$A:$A,'29'!$G:$G,"pipino il breve")</f>
        <v>107.98</v>
      </c>
      <c r="J92" s="11">
        <f>_xlfn.XLOOKUP(B92,'30'!$A:$A,'30'!$G:$G,"pipino il breve")</f>
        <v>108.07</v>
      </c>
      <c r="K92" s="3">
        <f>_xlfn.XLOOKUP(B92,'30'!$A:$A,'30'!$G:$G,"pipino il breve")</f>
        <v>108.07</v>
      </c>
      <c r="L92">
        <f>_xlfn.XLOOKUP(B92,'2'!$A:$A,'2'!$G:$G,"pipino il breve")</f>
        <v>107.94</v>
      </c>
      <c r="M92">
        <f>_xlfn.XLOOKUP(B92,'2'!$A:$A,'2'!$G:$G,"pipino il breve")</f>
        <v>107.94</v>
      </c>
      <c r="N92">
        <f>_xlfn.XLOOKUP(B92,'2'!$A:$A,'2'!$G:$G,"pipino il breve")</f>
        <v>107.94</v>
      </c>
      <c r="O92">
        <f>_xlfn.XLOOKUP(B92,'5'!$A:$A,'5'!$G:$G,"pipino il breve")</f>
        <v>107.97</v>
      </c>
      <c r="P92">
        <f>_xlfn.XLOOKUP(B92,'6'!$A:$A,'6'!$G:$G,"pipino il breve")</f>
        <v>107.98</v>
      </c>
      <c r="Q92">
        <f>_xlfn.XLOOKUP(B92,'7'!$A:$A,'7'!$G:$G,"pipino il breve")</f>
        <v>108.13</v>
      </c>
      <c r="R92">
        <f>_xlfn.XLOOKUP(B92,'8'!$A:$A,'8'!$G:$G,"pipino il breve")</f>
        <v>107.98</v>
      </c>
      <c r="S92">
        <f>_xlfn.XLOOKUP(B92,'9'!$A:$A,'9'!$G:$G,"pipino il breve")</f>
        <v>107.88</v>
      </c>
      <c r="T92">
        <f>_xlfn.XLOOKUP(B92,'9'!$A:$A,'9'!$G:$G,"pipino il breve")</f>
        <v>107.88</v>
      </c>
      <c r="U92">
        <f>_xlfn.XLOOKUP(B92,'9'!$A:$A,'9'!$G:$G,"pipino il breve")</f>
        <v>107.88</v>
      </c>
      <c r="V92">
        <f>_xlfn.XLOOKUP(B92,'12'!$A:$A,'12'!$G:$G,"pipino il breve")</f>
        <v>107.54</v>
      </c>
      <c r="W92">
        <f>_xlfn.XLOOKUP(B92,'13'!$A:$A,'13'!$G:$G,"pipino il breve")</f>
        <v>107.5</v>
      </c>
      <c r="X92">
        <f>_xlfn.XLOOKUP(B92,'14'!$A:$A,'14'!$G:$G,"pipino il breve")</f>
        <v>107.45</v>
      </c>
      <c r="Y92">
        <f>_xlfn.XLOOKUP(B92,'15'!$A:$A,'15'!$G:$G,"pipino il breve")</f>
        <v>107.59</v>
      </c>
      <c r="Z92">
        <f>_xlfn.XLOOKUP(B92,'16'!$A:$A,'16'!$G:$G,"pipino il breve")</f>
        <v>107.74</v>
      </c>
      <c r="AA92">
        <f>_xlfn.XLOOKUP(B92,'16'!$A:$A,'16'!$G:$G,"pipino il breve")</f>
        <v>107.74</v>
      </c>
      <c r="AB92">
        <f>_xlfn.XLOOKUP(B92,'16'!$A:$A,'16'!$G:$G,"pipino il breve")</f>
        <v>107.74</v>
      </c>
      <c r="AC92">
        <f>_xlfn.XLOOKUP(B92,'19'!$A:$A,'19'!$G:$G,"pipino il breve")</f>
        <v>107.77</v>
      </c>
      <c r="AD92">
        <f>_xlfn.XLOOKUP(B92,'20'!$A:$A,'20'!$G:$G,"pipino il breve")</f>
        <v>107.75</v>
      </c>
      <c r="AE92">
        <f>_xlfn.XLOOKUP(B92,'21'!$A:$A,'21'!$G:$G,"pipino il breve")</f>
        <v>107.68</v>
      </c>
      <c r="AF92">
        <f>_xlfn.XLOOKUP(B92,'22'!$A:$A,'22'!$G:$G,"pipino il breve")</f>
        <v>107.69</v>
      </c>
      <c r="AG92">
        <f>_xlfn.XLOOKUP(B92,'23'!$A:$A,'23'!$G:$G,"pipino il breve")</f>
        <v>107.84</v>
      </c>
      <c r="AH92">
        <f>_xlfn.XLOOKUP(B92,'23'!$A:$A,'23'!$G:$G,"pipino il breve")</f>
        <v>107.84</v>
      </c>
      <c r="AI92">
        <f>_xlfn.XLOOKUP(B92,'23'!$A:$A,'23'!$G:$G,"pipino il breve")</f>
        <v>107.84</v>
      </c>
      <c r="AJ92">
        <f>_xlfn.XLOOKUP(B92,'26'!$A:$A,'26'!$G:$G,"pipino il breve")</f>
        <v>107.89</v>
      </c>
      <c r="AK92">
        <f>_xlfn.XLOOKUP(B92,'27'!$A:$A,'27'!$G:$G,"pipino il breve")</f>
        <v>107.85</v>
      </c>
    </row>
    <row r="93" spans="1:37" x14ac:dyDescent="0.2">
      <c r="A93">
        <v>92</v>
      </c>
      <c r="B93" s="2" t="s">
        <v>69</v>
      </c>
      <c r="C93" s="3">
        <v>2.25</v>
      </c>
      <c r="D93" s="2" t="s">
        <v>200</v>
      </c>
      <c r="E93" s="3">
        <v>102.84</v>
      </c>
      <c r="F93" s="3">
        <v>102.84</v>
      </c>
      <c r="G93" s="3">
        <v>102.84</v>
      </c>
      <c r="H93">
        <f>_xlfn.XLOOKUP(B93,'28'!$A:$A,'28'!$G:$G,"pipino il breve")</f>
        <v>102.56</v>
      </c>
      <c r="I93">
        <f>_xlfn.XLOOKUP(B93,'29'!$A:$A,'29'!$G:$G,"pipino il breve")</f>
        <v>102.34</v>
      </c>
      <c r="J93" s="11">
        <f>_xlfn.XLOOKUP(B93,'30'!$A:$A,'30'!$G:$G,"pipino il breve")</f>
        <v>102.92</v>
      </c>
      <c r="K93" s="3">
        <f>_xlfn.XLOOKUP(B93,'30'!$A:$A,'30'!$G:$G,"pipino il breve")</f>
        <v>102.92</v>
      </c>
      <c r="L93">
        <f>_xlfn.XLOOKUP(B93,'2'!$A:$A,'2'!$G:$G,"pipino il breve")</f>
        <v>102</v>
      </c>
      <c r="M93">
        <f>_xlfn.XLOOKUP(B93,'2'!$A:$A,'2'!$G:$G,"pipino il breve")</f>
        <v>102</v>
      </c>
      <c r="N93">
        <f>_xlfn.XLOOKUP(B93,'2'!$A:$A,'2'!$G:$G,"pipino il breve")</f>
        <v>102</v>
      </c>
      <c r="O93">
        <f>_xlfn.XLOOKUP(B93,'5'!$A:$A,'5'!$G:$G,"pipino il breve")</f>
        <v>102.1</v>
      </c>
      <c r="P93">
        <f>_xlfn.XLOOKUP(B93,'6'!$A:$A,'6'!$G:$G,"pipino il breve")</f>
        <v>101.68</v>
      </c>
      <c r="Q93">
        <f>_xlfn.XLOOKUP(B93,'7'!$A:$A,'7'!$G:$G,"pipino il breve")</f>
        <v>102.96</v>
      </c>
      <c r="R93">
        <f>_xlfn.XLOOKUP(B93,'8'!$A:$A,'8'!$G:$G,"pipino il breve")</f>
        <v>102.68</v>
      </c>
      <c r="S93">
        <f>_xlfn.XLOOKUP(B93,'9'!$A:$A,'9'!$G:$G,"pipino il breve")</f>
        <v>102.02</v>
      </c>
      <c r="T93">
        <f>_xlfn.XLOOKUP(B93,'9'!$A:$A,'9'!$G:$G,"pipino il breve")</f>
        <v>102.02</v>
      </c>
      <c r="U93">
        <f>_xlfn.XLOOKUP(B93,'9'!$A:$A,'9'!$G:$G,"pipino il breve")</f>
        <v>102.02</v>
      </c>
      <c r="V93">
        <f>_xlfn.XLOOKUP(B93,'12'!$A:$A,'12'!$G:$G,"pipino il breve")</f>
        <v>101.5</v>
      </c>
      <c r="W93">
        <f>_xlfn.XLOOKUP(B93,'13'!$A:$A,'13'!$G:$G,"pipino il breve")</f>
        <v>100.9</v>
      </c>
      <c r="X93">
        <f>_xlfn.XLOOKUP(B93,'14'!$A:$A,'14'!$G:$G,"pipino il breve")</f>
        <v>100.81</v>
      </c>
      <c r="Y93">
        <f>_xlfn.XLOOKUP(B93,'15'!$A:$A,'15'!$G:$G,"pipino il breve")</f>
        <v>102.02</v>
      </c>
      <c r="Z93">
        <f>_xlfn.XLOOKUP(B93,'16'!$A:$A,'16'!$G:$G,"pipino il breve")</f>
        <v>102.66</v>
      </c>
      <c r="AA93">
        <f>_xlfn.XLOOKUP(B93,'16'!$A:$A,'16'!$G:$G,"pipino il breve")</f>
        <v>102.66</v>
      </c>
      <c r="AB93">
        <f>_xlfn.XLOOKUP(B93,'16'!$A:$A,'16'!$G:$G,"pipino il breve")</f>
        <v>102.66</v>
      </c>
      <c r="AC93">
        <f>_xlfn.XLOOKUP(B93,'19'!$A:$A,'19'!$G:$G,"pipino il breve")</f>
        <v>102.57</v>
      </c>
      <c r="AD93">
        <f>_xlfn.XLOOKUP(B93,'20'!$A:$A,'20'!$G:$G,"pipino il breve")</f>
        <v>101.94</v>
      </c>
      <c r="AE93">
        <f>_xlfn.XLOOKUP(B93,'21'!$A:$A,'21'!$G:$G,"pipino il breve")</f>
        <v>101.28</v>
      </c>
      <c r="AF93">
        <f>_xlfn.XLOOKUP(B93,'22'!$A:$A,'22'!$G:$G,"pipino il breve")</f>
        <v>100.71</v>
      </c>
      <c r="AG93">
        <f>_xlfn.XLOOKUP(B93,'23'!$A:$A,'23'!$G:$G,"pipino il breve")</f>
        <v>101.42</v>
      </c>
      <c r="AH93">
        <f>_xlfn.XLOOKUP(B93,'23'!$A:$A,'23'!$G:$G,"pipino il breve")</f>
        <v>101.42</v>
      </c>
      <c r="AI93">
        <f>_xlfn.XLOOKUP(B93,'23'!$A:$A,'23'!$G:$G,"pipino il breve")</f>
        <v>101.42</v>
      </c>
      <c r="AJ93">
        <f>_xlfn.XLOOKUP(B93,'26'!$A:$A,'26'!$G:$G,"pipino il breve")</f>
        <v>102.28</v>
      </c>
      <c r="AK93">
        <f>_xlfn.XLOOKUP(B93,'27'!$A:$A,'27'!$G:$G,"pipino il breve")</f>
        <v>103.1</v>
      </c>
    </row>
    <row r="94" spans="1:37" x14ac:dyDescent="0.2">
      <c r="A94">
        <v>93</v>
      </c>
      <c r="B94" s="2" t="s">
        <v>201</v>
      </c>
      <c r="C94" s="3">
        <v>0.72719999999999996</v>
      </c>
      <c r="D94" s="2" t="s">
        <v>202</v>
      </c>
      <c r="E94" s="3">
        <v>100.75</v>
      </c>
      <c r="F94" s="3">
        <v>100.75</v>
      </c>
      <c r="G94" s="3">
        <v>100.75</v>
      </c>
      <c r="H94">
        <f>_xlfn.XLOOKUP(B94,'28'!$A:$A,'28'!$G:$G,"pipino il breve")</f>
        <v>100.61</v>
      </c>
      <c r="I94">
        <f>_xlfn.XLOOKUP(B94,'29'!$A:$A,'29'!$G:$G,"pipino il breve")</f>
        <v>100.69</v>
      </c>
      <c r="J94" s="11">
        <f>_xlfn.XLOOKUP(B94,'30'!$A:$A,'30'!$G:$G,"pipino il breve")</f>
        <v>100.9</v>
      </c>
      <c r="K94" s="3">
        <f>_xlfn.XLOOKUP(B94,'30'!$A:$A,'30'!$G:$G,"pipino il breve")</f>
        <v>100.9</v>
      </c>
      <c r="L94">
        <f>_xlfn.XLOOKUP(B94,'2'!$A:$A,'2'!$G:$G,"pipino il breve")</f>
        <v>100.63</v>
      </c>
      <c r="M94">
        <f>_xlfn.XLOOKUP(B94,'2'!$A:$A,'2'!$G:$G,"pipino il breve")</f>
        <v>100.63</v>
      </c>
      <c r="N94">
        <f>_xlfn.XLOOKUP(B94,'2'!$A:$A,'2'!$G:$G,"pipino il breve")</f>
        <v>100.63</v>
      </c>
      <c r="O94">
        <f>_xlfn.XLOOKUP(B94,'5'!$A:$A,'5'!$G:$G,"pipino il breve")</f>
        <v>100.64</v>
      </c>
      <c r="P94">
        <f>_xlfn.XLOOKUP(B94,'6'!$A:$A,'6'!$G:$G,"pipino il breve")</f>
        <v>100.61</v>
      </c>
      <c r="Q94">
        <f>_xlfn.XLOOKUP(B94,'7'!$A:$A,'7'!$G:$G,"pipino il breve")</f>
        <v>101.01</v>
      </c>
      <c r="R94">
        <f>_xlfn.XLOOKUP(B94,'8'!$A:$A,'8'!$G:$G,"pipino il breve")</f>
        <v>100.87</v>
      </c>
      <c r="S94">
        <f>_xlfn.XLOOKUP(B94,'9'!$A:$A,'9'!$G:$G,"pipino il breve")</f>
        <v>100.65</v>
      </c>
      <c r="T94">
        <f>_xlfn.XLOOKUP(B94,'9'!$A:$A,'9'!$G:$G,"pipino il breve")</f>
        <v>100.65</v>
      </c>
      <c r="U94">
        <f>_xlfn.XLOOKUP(B94,'9'!$A:$A,'9'!$G:$G,"pipino il breve")</f>
        <v>100.65</v>
      </c>
      <c r="V94">
        <f>_xlfn.XLOOKUP(B94,'12'!$A:$A,'12'!$G:$G,"pipino il breve")</f>
        <v>100.13</v>
      </c>
      <c r="W94">
        <f>_xlfn.XLOOKUP(B94,'13'!$A:$A,'13'!$G:$G,"pipino il breve")</f>
        <v>101.12</v>
      </c>
      <c r="X94">
        <f>_xlfn.XLOOKUP(B94,'14'!$A:$A,'14'!$G:$G,"pipino il breve")</f>
        <v>99.91</v>
      </c>
      <c r="Y94">
        <f>_xlfn.XLOOKUP(B94,'15'!$A:$A,'15'!$G:$G,"pipino il breve")</f>
        <v>100.38</v>
      </c>
      <c r="Z94">
        <f>_xlfn.XLOOKUP(B94,'16'!$A:$A,'16'!$G:$G,"pipino il breve")</f>
        <v>100.59</v>
      </c>
      <c r="AA94">
        <f>_xlfn.XLOOKUP(B94,'16'!$A:$A,'16'!$G:$G,"pipino il breve")</f>
        <v>100.59</v>
      </c>
      <c r="AB94">
        <f>_xlfn.XLOOKUP(B94,'16'!$A:$A,'16'!$G:$G,"pipino il breve")</f>
        <v>100.59</v>
      </c>
      <c r="AC94">
        <f>_xlfn.XLOOKUP(B94,'19'!$A:$A,'19'!$G:$G,"pipino il breve")</f>
        <v>100.65</v>
      </c>
      <c r="AD94">
        <f>_xlfn.XLOOKUP(B94,'20'!$A:$A,'20'!$G:$G,"pipino il breve")</f>
        <v>100.55</v>
      </c>
      <c r="AE94">
        <f>_xlfn.XLOOKUP(B94,'21'!$A:$A,'21'!$G:$G,"pipino il breve")</f>
        <v>101.09</v>
      </c>
      <c r="AF94">
        <f>_xlfn.XLOOKUP(B94,'22'!$A:$A,'22'!$G:$G,"pipino il breve")</f>
        <v>100.37</v>
      </c>
      <c r="AG94">
        <f>_xlfn.XLOOKUP(B94,'23'!$A:$A,'23'!$G:$G,"pipino il breve")</f>
        <v>100.72</v>
      </c>
      <c r="AH94">
        <f>_xlfn.XLOOKUP(B94,'23'!$A:$A,'23'!$G:$G,"pipino il breve")</f>
        <v>100.72</v>
      </c>
      <c r="AI94">
        <f>_xlfn.XLOOKUP(B94,'23'!$A:$A,'23'!$G:$G,"pipino il breve")</f>
        <v>100.72</v>
      </c>
      <c r="AJ94">
        <f>_xlfn.XLOOKUP(B94,'26'!$A:$A,'26'!$G:$G,"pipino il breve")</f>
        <v>100.92</v>
      </c>
      <c r="AK94">
        <f>_xlfn.XLOOKUP(B94,'27'!$A:$A,'27'!$G:$G,"pipino il breve")</f>
        <v>101.05</v>
      </c>
    </row>
    <row r="95" spans="1:37" x14ac:dyDescent="0.2">
      <c r="A95">
        <v>94</v>
      </c>
      <c r="B95" s="2" t="s">
        <v>85</v>
      </c>
      <c r="C95" s="3">
        <v>1.6</v>
      </c>
      <c r="D95" s="2" t="s">
        <v>203</v>
      </c>
      <c r="E95" s="3">
        <v>100.87</v>
      </c>
      <c r="F95" s="3">
        <v>100.87</v>
      </c>
      <c r="G95" s="3">
        <v>100.87</v>
      </c>
      <c r="H95">
        <f>_xlfn.XLOOKUP(B95,'28'!$A:$A,'28'!$G:$G,"pipino il breve")</f>
        <v>100.875</v>
      </c>
      <c r="I95">
        <f>_xlfn.XLOOKUP(B95,'29'!$A:$A,'29'!$G:$G,"pipino il breve")</f>
        <v>100.861</v>
      </c>
      <c r="J95" s="11">
        <f>_xlfn.XLOOKUP(B95,'30'!$A:$A,'30'!$G:$G,"pipino il breve")</f>
        <v>100.867</v>
      </c>
      <c r="K95" s="3">
        <f>_xlfn.XLOOKUP(B95,'30'!$A:$A,'30'!$G:$G,"pipino il breve")</f>
        <v>100.867</v>
      </c>
      <c r="L95">
        <f>_xlfn.XLOOKUP(B95,'2'!$A:$A,'2'!$G:$G,"pipino il breve")</f>
        <v>100.861</v>
      </c>
      <c r="M95">
        <f>_xlfn.XLOOKUP(B95,'2'!$A:$A,'2'!$G:$G,"pipino il breve")</f>
        <v>100.861</v>
      </c>
      <c r="N95">
        <f>_xlfn.XLOOKUP(B95,'2'!$A:$A,'2'!$G:$G,"pipino il breve")</f>
        <v>100.861</v>
      </c>
      <c r="O95">
        <f>_xlfn.XLOOKUP(B95,'5'!$A:$A,'5'!$G:$G,"pipino il breve")</f>
        <v>100.854</v>
      </c>
      <c r="P95">
        <f>_xlfn.XLOOKUP(B95,'6'!$A:$A,'6'!$G:$G,"pipino il breve")</f>
        <v>100.87</v>
      </c>
      <c r="Q95">
        <f>_xlfn.XLOOKUP(B95,'7'!$A:$A,'7'!$G:$G,"pipino il breve")</f>
        <v>100.864</v>
      </c>
      <c r="R95">
        <f>_xlfn.XLOOKUP(B95,'8'!$A:$A,'8'!$G:$G,"pipino il breve")</f>
        <v>100.848</v>
      </c>
      <c r="S95">
        <f>_xlfn.XLOOKUP(B95,'9'!$A:$A,'9'!$G:$G,"pipino il breve")</f>
        <v>100.818</v>
      </c>
      <c r="T95">
        <f>_xlfn.XLOOKUP(B95,'9'!$A:$A,'9'!$G:$G,"pipino il breve")</f>
        <v>100.818</v>
      </c>
      <c r="U95">
        <f>_xlfn.XLOOKUP(B95,'9'!$A:$A,'9'!$G:$G,"pipino il breve")</f>
        <v>100.818</v>
      </c>
      <c r="V95">
        <f>_xlfn.XLOOKUP(B95,'12'!$A:$A,'12'!$G:$G,"pipino il breve")</f>
        <v>100.85</v>
      </c>
      <c r="W95">
        <f>_xlfn.XLOOKUP(B95,'13'!$A:$A,'13'!$G:$G,"pipino il breve")</f>
        <v>100.755</v>
      </c>
      <c r="X95">
        <f>_xlfn.XLOOKUP(B95,'14'!$A:$A,'14'!$G:$G,"pipino il breve")</f>
        <v>100.761</v>
      </c>
      <c r="Y95">
        <f>_xlfn.XLOOKUP(B95,'15'!$A:$A,'15'!$G:$G,"pipino il breve")</f>
        <v>100.768</v>
      </c>
      <c r="Z95">
        <f>_xlfn.XLOOKUP(B95,'16'!$A:$A,'16'!$G:$G,"pipino il breve")</f>
        <v>100.77</v>
      </c>
      <c r="AA95">
        <f>_xlfn.XLOOKUP(B95,'16'!$A:$A,'16'!$G:$G,"pipino il breve")</f>
        <v>100.77</v>
      </c>
      <c r="AB95">
        <f>_xlfn.XLOOKUP(B95,'16'!$A:$A,'16'!$G:$G,"pipino il breve")</f>
        <v>100.77</v>
      </c>
      <c r="AC95">
        <f>_xlfn.XLOOKUP(B95,'19'!$A:$A,'19'!$G:$G,"pipino il breve")</f>
        <v>100.753</v>
      </c>
      <c r="AD95">
        <f>_xlfn.XLOOKUP(B95,'20'!$A:$A,'20'!$G:$G,"pipino il breve")</f>
        <v>100.774</v>
      </c>
      <c r="AE95">
        <f>_xlfn.XLOOKUP(B95,'21'!$A:$A,'21'!$G:$G,"pipino il breve")</f>
        <v>100.76900000000001</v>
      </c>
      <c r="AF95">
        <f>_xlfn.XLOOKUP(B95,'22'!$A:$A,'22'!$G:$G,"pipino il breve")</f>
        <v>100.758</v>
      </c>
      <c r="AG95">
        <f>_xlfn.XLOOKUP(B95,'23'!$A:$A,'23'!$G:$G,"pipino il breve")</f>
        <v>100.78400000000001</v>
      </c>
      <c r="AH95">
        <f>_xlfn.XLOOKUP(B95,'23'!$A:$A,'23'!$G:$G,"pipino il breve")</f>
        <v>100.78400000000001</v>
      </c>
      <c r="AI95">
        <f>_xlfn.XLOOKUP(B95,'23'!$A:$A,'23'!$G:$G,"pipino il breve")</f>
        <v>100.78400000000001</v>
      </c>
      <c r="AJ95">
        <f>_xlfn.XLOOKUP(B95,'26'!$A:$A,'26'!$G:$G,"pipino il breve")</f>
        <v>100.78100000000001</v>
      </c>
      <c r="AK95">
        <f>_xlfn.XLOOKUP(B95,'27'!$A:$A,'27'!$G:$G,"pipino il breve")</f>
        <v>100.771</v>
      </c>
    </row>
    <row r="96" spans="1:37" x14ac:dyDescent="0.2">
      <c r="A96">
        <v>95</v>
      </c>
      <c r="B96" s="2" t="s">
        <v>76</v>
      </c>
      <c r="C96" s="3">
        <v>1.8</v>
      </c>
      <c r="D96" s="2" t="s">
        <v>204</v>
      </c>
      <c r="E96" s="3">
        <v>100.61499999999999</v>
      </c>
      <c r="F96" s="3">
        <v>100.61499999999999</v>
      </c>
      <c r="G96" s="3">
        <v>100.61499999999999</v>
      </c>
      <c r="H96">
        <f>_xlfn.XLOOKUP(B96,'28'!$A:$A,'28'!$G:$G,"pipino il breve")</f>
        <v>100.61799999999999</v>
      </c>
      <c r="I96">
        <f>_xlfn.XLOOKUP(B96,'29'!$A:$A,'29'!$G:$G,"pipino il breve")</f>
        <v>100.604</v>
      </c>
      <c r="J96" s="11">
        <f>_xlfn.XLOOKUP(B96,'30'!$A:$A,'30'!$G:$G,"pipino il breve")</f>
        <v>100.593</v>
      </c>
      <c r="K96" s="3">
        <f>_xlfn.XLOOKUP(B96,'30'!$A:$A,'30'!$G:$G,"pipino il breve")</f>
        <v>100.593</v>
      </c>
      <c r="L96">
        <f>_xlfn.XLOOKUP(B96,'2'!$A:$A,'2'!$G:$G,"pipino il breve")</f>
        <v>100.584</v>
      </c>
      <c r="M96">
        <f>_xlfn.XLOOKUP(B96,'2'!$A:$A,'2'!$G:$G,"pipino il breve")</f>
        <v>100.584</v>
      </c>
      <c r="N96">
        <f>_xlfn.XLOOKUP(B96,'2'!$A:$A,'2'!$G:$G,"pipino il breve")</f>
        <v>100.584</v>
      </c>
      <c r="O96">
        <f>_xlfn.XLOOKUP(B96,'5'!$A:$A,'5'!$G:$G,"pipino il breve")</f>
        <v>100.58</v>
      </c>
      <c r="P96">
        <f>_xlfn.XLOOKUP(B96,'6'!$A:$A,'6'!$G:$G,"pipino il breve")</f>
        <v>100.589</v>
      </c>
      <c r="Q96">
        <f>_xlfn.XLOOKUP(B96,'7'!$A:$A,'7'!$G:$G,"pipino il breve")</f>
        <v>100.58</v>
      </c>
      <c r="R96">
        <f>_xlfn.XLOOKUP(B96,'8'!$A:$A,'8'!$G:$G,"pipino il breve")</f>
        <v>100.569</v>
      </c>
      <c r="S96">
        <f>_xlfn.XLOOKUP(B96,'9'!$A:$A,'9'!$G:$G,"pipino il breve")</f>
        <v>100.554</v>
      </c>
      <c r="T96">
        <f>_xlfn.XLOOKUP(B96,'9'!$A:$A,'9'!$G:$G,"pipino il breve")</f>
        <v>100.554</v>
      </c>
      <c r="U96">
        <f>_xlfn.XLOOKUP(B96,'9'!$A:$A,'9'!$G:$G,"pipino il breve")</f>
        <v>100.554</v>
      </c>
      <c r="V96">
        <f>_xlfn.XLOOKUP(B96,'12'!$A:$A,'12'!$G:$G,"pipino il breve")</f>
        <v>100.536</v>
      </c>
      <c r="W96">
        <f>_xlfn.XLOOKUP(B96,'13'!$A:$A,'13'!$G:$G,"pipino il breve")</f>
        <v>100.541</v>
      </c>
      <c r="X96">
        <f>_xlfn.XLOOKUP(B96,'14'!$A:$A,'14'!$G:$G,"pipino il breve")</f>
        <v>100.538</v>
      </c>
      <c r="Y96">
        <f>_xlfn.XLOOKUP(B96,'15'!$A:$A,'15'!$G:$G,"pipino il breve")</f>
        <v>100.533</v>
      </c>
      <c r="Z96">
        <f>_xlfn.XLOOKUP(B96,'16'!$A:$A,'16'!$G:$G,"pipino il breve")</f>
        <v>100.52</v>
      </c>
      <c r="AA96">
        <f>_xlfn.XLOOKUP(B96,'16'!$A:$A,'16'!$G:$G,"pipino il breve")</f>
        <v>100.52</v>
      </c>
      <c r="AB96">
        <f>_xlfn.XLOOKUP(B96,'16'!$A:$A,'16'!$G:$G,"pipino il breve")</f>
        <v>100.52</v>
      </c>
      <c r="AC96">
        <f>_xlfn.XLOOKUP(B96,'19'!$A:$A,'19'!$G:$G,"pipino il breve")</f>
        <v>100.52</v>
      </c>
      <c r="AD96">
        <f>_xlfn.XLOOKUP(B96,'20'!$A:$A,'20'!$G:$G,"pipino il breve")</f>
        <v>100.524</v>
      </c>
      <c r="AE96">
        <f>_xlfn.XLOOKUP(B96,'21'!$A:$A,'21'!$G:$G,"pipino il breve")</f>
        <v>100.529</v>
      </c>
      <c r="AF96">
        <f>_xlfn.XLOOKUP(B96,'22'!$A:$A,'22'!$G:$G,"pipino il breve")</f>
        <v>100.52</v>
      </c>
      <c r="AG96">
        <f>_xlfn.XLOOKUP(B96,'23'!$A:$A,'23'!$G:$G,"pipino il breve")</f>
        <v>100.52</v>
      </c>
      <c r="AH96">
        <f>_xlfn.XLOOKUP(B96,'23'!$A:$A,'23'!$G:$G,"pipino il breve")</f>
        <v>100.52</v>
      </c>
      <c r="AI96">
        <f>_xlfn.XLOOKUP(B96,'23'!$A:$A,'23'!$G:$G,"pipino il breve")</f>
        <v>100.52</v>
      </c>
      <c r="AJ96">
        <f>_xlfn.XLOOKUP(B96,'26'!$A:$A,'26'!$G:$G,"pipino il breve")</f>
        <v>100.51900000000001</v>
      </c>
      <c r="AK96">
        <f>_xlfn.XLOOKUP(B96,'27'!$A:$A,'27'!$G:$G,"pipino il breve")</f>
        <v>100.512</v>
      </c>
    </row>
    <row r="97" spans="1:37" x14ac:dyDescent="0.2">
      <c r="A97">
        <v>96</v>
      </c>
      <c r="B97" s="2" t="s">
        <v>40</v>
      </c>
      <c r="C97" s="3">
        <v>0.92500000000000004</v>
      </c>
      <c r="D97" s="2" t="s">
        <v>205</v>
      </c>
      <c r="E97" s="3">
        <v>99.954999999999998</v>
      </c>
      <c r="F97" s="3">
        <v>99.954999999999998</v>
      </c>
      <c r="G97" s="3">
        <v>99.954999999999998</v>
      </c>
      <c r="H97">
        <f>_xlfn.XLOOKUP(B97,'28'!$A:$A,'28'!$G:$G,"pipino il breve")</f>
        <v>99.956999999999994</v>
      </c>
      <c r="I97">
        <f>_xlfn.XLOOKUP(B97,'29'!$A:$A,'29'!$G:$G,"pipino il breve")</f>
        <v>99.953000000000003</v>
      </c>
      <c r="J97" s="11">
        <f>_xlfn.XLOOKUP(B97,'30'!$A:$A,'30'!$G:$G,"pipino il breve")</f>
        <v>99.960999999999999</v>
      </c>
      <c r="K97" s="3">
        <f>_xlfn.XLOOKUP(B97,'30'!$A:$A,'30'!$G:$G,"pipino il breve")</f>
        <v>99.960999999999999</v>
      </c>
      <c r="L97">
        <f>_xlfn.XLOOKUP(B97,'2'!$A:$A,'2'!$G:$G,"pipino il breve")</f>
        <v>99.954999999999998</v>
      </c>
      <c r="M97">
        <f>_xlfn.XLOOKUP(B97,'2'!$A:$A,'2'!$G:$G,"pipino il breve")</f>
        <v>99.954999999999998</v>
      </c>
      <c r="N97">
        <f>_xlfn.XLOOKUP(B97,'2'!$A:$A,'2'!$G:$G,"pipino il breve")</f>
        <v>99.954999999999998</v>
      </c>
      <c r="O97">
        <f>_xlfn.XLOOKUP(B97,'5'!$A:$A,'5'!$G:$G,"pipino il breve")</f>
        <v>99.959000000000003</v>
      </c>
      <c r="P97">
        <f>_xlfn.XLOOKUP(B97,'6'!$A:$A,'6'!$G:$G,"pipino il breve")</f>
        <v>99.957999999999998</v>
      </c>
      <c r="Q97">
        <f>_xlfn.XLOOKUP(B97,'7'!$A:$A,'7'!$G:$G,"pipino il breve")</f>
        <v>99.954999999999998</v>
      </c>
      <c r="R97">
        <f>_xlfn.XLOOKUP(B97,'8'!$A:$A,'8'!$G:$G,"pipino il breve")</f>
        <v>99.965000000000003</v>
      </c>
      <c r="S97">
        <f>_xlfn.XLOOKUP(B97,'9'!$A:$A,'9'!$G:$G,"pipino il breve")</f>
        <v>99.956999999999994</v>
      </c>
      <c r="T97">
        <f>_xlfn.XLOOKUP(B97,'9'!$A:$A,'9'!$G:$G,"pipino il breve")</f>
        <v>99.956999999999994</v>
      </c>
      <c r="U97">
        <f>_xlfn.XLOOKUP(B97,'9'!$A:$A,'9'!$G:$G,"pipino il breve")</f>
        <v>99.956999999999994</v>
      </c>
      <c r="V97">
        <f>_xlfn.XLOOKUP(B97,'12'!$A:$A,'12'!$G:$G,"pipino il breve")</f>
        <v>99.965999999999994</v>
      </c>
      <c r="W97">
        <f>_xlfn.XLOOKUP(B97,'13'!$A:$A,'13'!$G:$G,"pipino il breve")</f>
        <v>99.971999999999994</v>
      </c>
      <c r="X97">
        <f>_xlfn.XLOOKUP(B97,'14'!$A:$A,'14'!$G:$G,"pipino il breve")</f>
        <v>99.971999999999994</v>
      </c>
      <c r="Y97">
        <f>_xlfn.XLOOKUP(B97,'15'!$A:$A,'15'!$G:$G,"pipino il breve")</f>
        <v>99.971999999999994</v>
      </c>
      <c r="Z97">
        <f>_xlfn.XLOOKUP(B97,'16'!$A:$A,'16'!$G:$G,"pipino il breve")</f>
        <v>99.974999999999994</v>
      </c>
      <c r="AA97">
        <f>_xlfn.XLOOKUP(B97,'16'!$A:$A,'16'!$G:$G,"pipino il breve")</f>
        <v>99.974999999999994</v>
      </c>
      <c r="AB97">
        <f>_xlfn.XLOOKUP(B97,'16'!$A:$A,'16'!$G:$G,"pipino il breve")</f>
        <v>99.974999999999994</v>
      </c>
      <c r="AC97">
        <f>_xlfn.XLOOKUP(B97,'19'!$A:$A,'19'!$G:$G,"pipino il breve")</f>
        <v>99.971000000000004</v>
      </c>
      <c r="AD97">
        <f>_xlfn.XLOOKUP(B97,'20'!$A:$A,'20'!$G:$G,"pipino il breve")</f>
        <v>99.977999999999994</v>
      </c>
      <c r="AE97">
        <f>_xlfn.XLOOKUP(B97,'21'!$A:$A,'21'!$G:$G,"pipino il breve")</f>
        <v>99.98</v>
      </c>
      <c r="AF97">
        <f>_xlfn.XLOOKUP(B97,'22'!$A:$A,'22'!$G:$G,"pipino il breve")</f>
        <v>99.986000000000004</v>
      </c>
      <c r="AG97">
        <f>_xlfn.XLOOKUP(B97,'23'!$A:$A,'23'!$G:$G,"pipino il breve")</f>
        <v>99.984999999999999</v>
      </c>
      <c r="AH97">
        <f>_xlfn.XLOOKUP(B97,'23'!$A:$A,'23'!$G:$G,"pipino il breve")</f>
        <v>99.984999999999999</v>
      </c>
      <c r="AI97">
        <f>_xlfn.XLOOKUP(B97,'23'!$A:$A,'23'!$G:$G,"pipino il breve")</f>
        <v>99.984999999999999</v>
      </c>
      <c r="AJ97">
        <f>_xlfn.XLOOKUP(B97,'26'!$A:$A,'26'!$G:$G,"pipino il breve")</f>
        <v>99.983000000000004</v>
      </c>
      <c r="AK97">
        <f>_xlfn.XLOOKUP(B97,'27'!$A:$A,'27'!$G:$G,"pipino il breve")</f>
        <v>99.981999999999999</v>
      </c>
    </row>
    <row r="98" spans="1:37" x14ac:dyDescent="0.2">
      <c r="A98">
        <v>97</v>
      </c>
      <c r="B98" s="2" t="s">
        <v>91</v>
      </c>
      <c r="C98" s="3">
        <v>1.55</v>
      </c>
      <c r="D98" s="2" t="s">
        <v>206</v>
      </c>
      <c r="E98" s="3">
        <v>101.47</v>
      </c>
      <c r="F98" s="3">
        <v>101.47</v>
      </c>
      <c r="G98" s="3">
        <v>101.47</v>
      </c>
      <c r="H98">
        <f>_xlfn.XLOOKUP(B98,'28'!$A:$A,'28'!$G:$G,"pipino il breve")</f>
        <v>101.54</v>
      </c>
      <c r="I98">
        <f>_xlfn.XLOOKUP(B98,'29'!$A:$A,'29'!$G:$G,"pipino il breve")</f>
        <v>101.46</v>
      </c>
      <c r="J98" s="11">
        <f>_xlfn.XLOOKUP(B98,'30'!$A:$A,'30'!$G:$G,"pipino il breve")</f>
        <v>101.47</v>
      </c>
      <c r="K98" s="3">
        <f>_xlfn.XLOOKUP(B98,'30'!$A:$A,'30'!$G:$G,"pipino il breve")</f>
        <v>101.47</v>
      </c>
      <c r="L98">
        <f>_xlfn.XLOOKUP(B98,'2'!$A:$A,'2'!$G:$G,"pipino il breve")</f>
        <v>101.44</v>
      </c>
      <c r="M98">
        <f>_xlfn.XLOOKUP(B98,'2'!$A:$A,'2'!$G:$G,"pipino il breve")</f>
        <v>101.44</v>
      </c>
      <c r="N98">
        <f>_xlfn.XLOOKUP(B98,'2'!$A:$A,'2'!$G:$G,"pipino il breve")</f>
        <v>101.44</v>
      </c>
      <c r="O98">
        <f>_xlfn.XLOOKUP(B98,'5'!$A:$A,'5'!$G:$G,"pipino il breve")</f>
        <v>101.46</v>
      </c>
      <c r="P98">
        <f>_xlfn.XLOOKUP(B98,'6'!$A:$A,'6'!$G:$G,"pipino il breve")</f>
        <v>101.46</v>
      </c>
      <c r="Q98">
        <f>_xlfn.XLOOKUP(B98,'7'!$A:$A,'7'!$G:$G,"pipino il breve")</f>
        <v>101.52</v>
      </c>
      <c r="R98">
        <f>_xlfn.XLOOKUP(B98,'8'!$A:$A,'8'!$G:$G,"pipino il breve")</f>
        <v>101.47</v>
      </c>
      <c r="S98">
        <f>_xlfn.XLOOKUP(B98,'9'!$A:$A,'9'!$G:$G,"pipino il breve")</f>
        <v>101.44</v>
      </c>
      <c r="T98">
        <f>_xlfn.XLOOKUP(B98,'9'!$A:$A,'9'!$G:$G,"pipino il breve")</f>
        <v>101.44</v>
      </c>
      <c r="U98">
        <f>_xlfn.XLOOKUP(B98,'9'!$A:$A,'9'!$G:$G,"pipino il breve")</f>
        <v>101.44</v>
      </c>
      <c r="V98">
        <f>_xlfn.XLOOKUP(B98,'12'!$A:$A,'12'!$G:$G,"pipino il breve")</f>
        <v>101.29</v>
      </c>
      <c r="W98">
        <f>_xlfn.XLOOKUP(B98,'13'!$A:$A,'13'!$G:$G,"pipino il breve")</f>
        <v>101.28</v>
      </c>
      <c r="X98">
        <f>_xlfn.XLOOKUP(B98,'14'!$A:$A,'14'!$G:$G,"pipino il breve")</f>
        <v>101.29</v>
      </c>
      <c r="Y98">
        <f>_xlfn.XLOOKUP(B98,'15'!$A:$A,'15'!$G:$G,"pipino il breve")</f>
        <v>101.3</v>
      </c>
      <c r="Z98">
        <f>_xlfn.XLOOKUP(B98,'16'!$A:$A,'16'!$G:$G,"pipino il breve")</f>
        <v>101.34</v>
      </c>
      <c r="AA98">
        <f>_xlfn.XLOOKUP(B98,'16'!$A:$A,'16'!$G:$G,"pipino il breve")</f>
        <v>101.34</v>
      </c>
      <c r="AB98">
        <f>_xlfn.XLOOKUP(B98,'16'!$A:$A,'16'!$G:$G,"pipino il breve")</f>
        <v>101.34</v>
      </c>
      <c r="AC98">
        <f>_xlfn.XLOOKUP(B98,'19'!$A:$A,'19'!$G:$G,"pipino il breve")</f>
        <v>101.34</v>
      </c>
      <c r="AD98">
        <f>_xlfn.XLOOKUP(B98,'20'!$A:$A,'20'!$G:$G,"pipino il breve")</f>
        <v>101.36</v>
      </c>
      <c r="AE98">
        <f>_xlfn.XLOOKUP(B98,'21'!$A:$A,'21'!$G:$G,"pipino il breve")</f>
        <v>101.33</v>
      </c>
      <c r="AF98">
        <f>_xlfn.XLOOKUP(B98,'22'!$A:$A,'22'!$G:$G,"pipino il breve")</f>
        <v>101.35</v>
      </c>
      <c r="AG98">
        <f>_xlfn.XLOOKUP(B98,'23'!$A:$A,'23'!$G:$G,"pipino il breve")</f>
        <v>101.41</v>
      </c>
      <c r="AH98">
        <f>_xlfn.XLOOKUP(B98,'23'!$A:$A,'23'!$G:$G,"pipino il breve")</f>
        <v>101.41</v>
      </c>
      <c r="AI98">
        <f>_xlfn.XLOOKUP(B98,'23'!$A:$A,'23'!$G:$G,"pipino il breve")</f>
        <v>101.41</v>
      </c>
      <c r="AJ98">
        <f>_xlfn.XLOOKUP(B98,'26'!$A:$A,'26'!$G:$G,"pipino il breve")</f>
        <v>101.37</v>
      </c>
      <c r="AK98">
        <f>_xlfn.XLOOKUP(B98,'27'!$A:$A,'27'!$G:$G,"pipino il breve")</f>
        <v>101.37</v>
      </c>
    </row>
    <row r="99" spans="1:37" x14ac:dyDescent="0.2">
      <c r="A99">
        <v>98</v>
      </c>
      <c r="B99" s="2" t="s">
        <v>95</v>
      </c>
      <c r="C99" s="3">
        <v>1.575</v>
      </c>
      <c r="D99" s="2" t="s">
        <v>207</v>
      </c>
      <c r="E99" s="3">
        <v>100.84</v>
      </c>
      <c r="F99" s="3">
        <v>100.84</v>
      </c>
      <c r="G99" s="3">
        <v>100.84</v>
      </c>
      <c r="H99">
        <f>_xlfn.XLOOKUP(B99,'28'!$A:$A,'28'!$G:$G,"pipino il breve")</f>
        <v>100.8</v>
      </c>
      <c r="I99">
        <f>_xlfn.XLOOKUP(B99,'29'!$A:$A,'29'!$G:$G,"pipino il breve")</f>
        <v>100.72</v>
      </c>
      <c r="J99" s="11">
        <f>_xlfn.XLOOKUP(B99,'30'!$A:$A,'30'!$G:$G,"pipino il breve")</f>
        <v>100.95</v>
      </c>
      <c r="K99" s="3">
        <f>_xlfn.XLOOKUP(B99,'30'!$A:$A,'30'!$G:$G,"pipino il breve")</f>
        <v>100.95</v>
      </c>
      <c r="L99">
        <f>_xlfn.XLOOKUP(B99,'2'!$A:$A,'2'!$G:$G,"pipino il breve")</f>
        <v>100.66</v>
      </c>
      <c r="M99">
        <f>_xlfn.XLOOKUP(B99,'2'!$A:$A,'2'!$G:$G,"pipino il breve")</f>
        <v>100.66</v>
      </c>
      <c r="N99">
        <f>_xlfn.XLOOKUP(B99,'2'!$A:$A,'2'!$G:$G,"pipino il breve")</f>
        <v>100.66</v>
      </c>
      <c r="O99">
        <f>_xlfn.XLOOKUP(B99,'5'!$A:$A,'5'!$G:$G,"pipino il breve")</f>
        <v>100.74</v>
      </c>
      <c r="P99">
        <f>_xlfn.XLOOKUP(B99,'6'!$A:$A,'6'!$G:$G,"pipino il breve")</f>
        <v>100.7</v>
      </c>
      <c r="Q99">
        <f>_xlfn.XLOOKUP(B99,'7'!$A:$A,'7'!$G:$G,"pipino il breve")</f>
        <v>101.04</v>
      </c>
      <c r="R99">
        <f>_xlfn.XLOOKUP(B99,'8'!$A:$A,'8'!$G:$G,"pipino il breve")</f>
        <v>100.91</v>
      </c>
      <c r="S99">
        <f>_xlfn.XLOOKUP(B99,'9'!$A:$A,'9'!$G:$G,"pipino il breve")</f>
        <v>100.72</v>
      </c>
      <c r="T99">
        <f>_xlfn.XLOOKUP(B99,'9'!$A:$A,'9'!$G:$G,"pipino il breve")</f>
        <v>100.72</v>
      </c>
      <c r="U99">
        <f>_xlfn.XLOOKUP(B99,'9'!$A:$A,'9'!$G:$G,"pipino il breve")</f>
        <v>100.72</v>
      </c>
      <c r="V99">
        <f>_xlfn.XLOOKUP(B99,'12'!$A:$A,'12'!$G:$G,"pipino il breve")</f>
        <v>100.27</v>
      </c>
      <c r="W99">
        <f>_xlfn.XLOOKUP(B99,'13'!$A:$A,'13'!$G:$G,"pipino il breve")</f>
        <v>100.17</v>
      </c>
      <c r="X99">
        <f>_xlfn.XLOOKUP(B99,'14'!$A:$A,'14'!$G:$G,"pipino il breve")</f>
        <v>100.11</v>
      </c>
      <c r="Y99">
        <f>_xlfn.XLOOKUP(B99,'15'!$A:$A,'15'!$G:$G,"pipino il breve")</f>
        <v>100.48</v>
      </c>
      <c r="Z99">
        <f>_xlfn.XLOOKUP(B99,'16'!$A:$A,'16'!$G:$G,"pipino il breve")</f>
        <v>100.67</v>
      </c>
      <c r="AA99">
        <f>_xlfn.XLOOKUP(B99,'16'!$A:$A,'16'!$G:$G,"pipino il breve")</f>
        <v>100.67</v>
      </c>
      <c r="AB99">
        <f>_xlfn.XLOOKUP(B99,'16'!$A:$A,'16'!$G:$G,"pipino il breve")</f>
        <v>100.67</v>
      </c>
      <c r="AC99">
        <f>_xlfn.XLOOKUP(B99,'19'!$A:$A,'19'!$G:$G,"pipino il breve")</f>
        <v>100.73</v>
      </c>
      <c r="AD99">
        <f>_xlfn.XLOOKUP(B99,'20'!$A:$A,'20'!$G:$G,"pipino il breve")</f>
        <v>100.81</v>
      </c>
      <c r="AE99">
        <f>_xlfn.XLOOKUP(B99,'21'!$A:$A,'21'!$G:$G,"pipino il breve")</f>
        <v>100.6</v>
      </c>
      <c r="AF99">
        <f>_xlfn.XLOOKUP(B99,'22'!$A:$A,'22'!$G:$G,"pipino il breve")</f>
        <v>100.48</v>
      </c>
      <c r="AG99">
        <f>_xlfn.XLOOKUP(B99,'23'!$A:$A,'23'!$G:$G,"pipino il breve")</f>
        <v>100.76</v>
      </c>
      <c r="AH99">
        <f>_xlfn.XLOOKUP(B99,'23'!$A:$A,'23'!$G:$G,"pipino il breve")</f>
        <v>100.76</v>
      </c>
      <c r="AI99">
        <f>_xlfn.XLOOKUP(B99,'23'!$A:$A,'23'!$G:$G,"pipino il breve")</f>
        <v>100.76</v>
      </c>
      <c r="AJ99">
        <f>_xlfn.XLOOKUP(B99,'26'!$A:$A,'26'!$G:$G,"pipino il breve")</f>
        <v>100.95</v>
      </c>
      <c r="AK99">
        <f>_xlfn.XLOOKUP(B99,'27'!$A:$A,'27'!$G:$G,"pipino il breve")</f>
        <v>101.06</v>
      </c>
    </row>
    <row r="100" spans="1:37" x14ac:dyDescent="0.2">
      <c r="A100">
        <v>99</v>
      </c>
      <c r="B100" s="2" t="s">
        <v>98</v>
      </c>
      <c r="C100" s="3">
        <v>1.2749999999999999</v>
      </c>
      <c r="D100" s="2" t="s">
        <v>208</v>
      </c>
      <c r="E100" s="3">
        <v>100.99</v>
      </c>
      <c r="F100" s="3">
        <v>100.99</v>
      </c>
      <c r="G100" s="3">
        <v>100.99</v>
      </c>
      <c r="H100">
        <f>_xlfn.XLOOKUP(B100,'28'!$A:$A,'28'!$G:$G,"pipino il breve")</f>
        <v>101.01</v>
      </c>
      <c r="I100">
        <f>_xlfn.XLOOKUP(B100,'29'!$A:$A,'29'!$G:$G,"pipino il breve")</f>
        <v>100.96</v>
      </c>
      <c r="J100" s="11">
        <f>_xlfn.XLOOKUP(B100,'30'!$A:$A,'30'!$G:$G,"pipino il breve")</f>
        <v>101.01</v>
      </c>
      <c r="K100" s="3">
        <f>_xlfn.XLOOKUP(B100,'30'!$A:$A,'30'!$G:$G,"pipino il breve")</f>
        <v>101.01</v>
      </c>
      <c r="L100">
        <f>_xlfn.XLOOKUP(B100,'2'!$A:$A,'2'!$G:$G,"pipino il breve")</f>
        <v>100.95</v>
      </c>
      <c r="M100">
        <f>_xlfn.XLOOKUP(B100,'2'!$A:$A,'2'!$G:$G,"pipino il breve")</f>
        <v>100.95</v>
      </c>
      <c r="N100">
        <f>_xlfn.XLOOKUP(B100,'2'!$A:$A,'2'!$G:$G,"pipino il breve")</f>
        <v>100.95</v>
      </c>
      <c r="O100">
        <f>_xlfn.XLOOKUP(B100,'5'!$A:$A,'5'!$G:$G,"pipino il breve")</f>
        <v>100.96</v>
      </c>
      <c r="P100">
        <f>_xlfn.XLOOKUP(B100,'6'!$A:$A,'6'!$G:$G,"pipino il breve")</f>
        <v>100.96</v>
      </c>
      <c r="Q100">
        <f>_xlfn.XLOOKUP(B100,'7'!$A:$A,'7'!$G:$G,"pipino il breve")</f>
        <v>101.02</v>
      </c>
      <c r="R100">
        <f>_xlfn.XLOOKUP(B100,'8'!$A:$A,'8'!$G:$G,"pipino il breve")</f>
        <v>100.97</v>
      </c>
      <c r="S100">
        <f>_xlfn.XLOOKUP(B100,'9'!$A:$A,'9'!$G:$G,"pipino il breve")</f>
        <v>100.93</v>
      </c>
      <c r="T100">
        <f>_xlfn.XLOOKUP(B100,'9'!$A:$A,'9'!$G:$G,"pipino il breve")</f>
        <v>100.93</v>
      </c>
      <c r="U100">
        <f>_xlfn.XLOOKUP(B100,'9'!$A:$A,'9'!$G:$G,"pipino il breve")</f>
        <v>100.93</v>
      </c>
      <c r="V100">
        <f>_xlfn.XLOOKUP(B100,'12'!$A:$A,'12'!$G:$G,"pipino il breve")</f>
        <v>100.73</v>
      </c>
      <c r="W100">
        <f>_xlfn.XLOOKUP(B100,'13'!$A:$A,'13'!$G:$G,"pipino il breve")</f>
        <v>100.72</v>
      </c>
      <c r="X100">
        <f>_xlfn.XLOOKUP(B100,'14'!$A:$A,'14'!$G:$G,"pipino il breve")</f>
        <v>100.7</v>
      </c>
      <c r="Y100">
        <f>_xlfn.XLOOKUP(B100,'15'!$A:$A,'15'!$G:$G,"pipino il breve")</f>
        <v>100.74</v>
      </c>
      <c r="Z100">
        <f>_xlfn.XLOOKUP(B100,'16'!$A:$A,'16'!$G:$G,"pipino il breve")</f>
        <v>100.8</v>
      </c>
      <c r="AA100">
        <f>_xlfn.XLOOKUP(B100,'16'!$A:$A,'16'!$G:$G,"pipino il breve")</f>
        <v>100.8</v>
      </c>
      <c r="AB100">
        <f>_xlfn.XLOOKUP(B100,'16'!$A:$A,'16'!$G:$G,"pipino il breve")</f>
        <v>100.8</v>
      </c>
      <c r="AC100">
        <f>_xlfn.XLOOKUP(B100,'19'!$A:$A,'19'!$G:$G,"pipino il breve")</f>
        <v>100.85</v>
      </c>
      <c r="AD100">
        <f>_xlfn.XLOOKUP(B100,'20'!$A:$A,'20'!$G:$G,"pipino il breve")</f>
        <v>100.84</v>
      </c>
      <c r="AE100">
        <f>_xlfn.XLOOKUP(B100,'21'!$A:$A,'21'!$G:$G,"pipino il breve")</f>
        <v>100.82</v>
      </c>
      <c r="AF100">
        <f>_xlfn.XLOOKUP(B100,'22'!$A:$A,'22'!$G:$G,"pipino il breve")</f>
        <v>100.83</v>
      </c>
      <c r="AG100">
        <f>_xlfn.XLOOKUP(B100,'23'!$A:$A,'23'!$G:$G,"pipino il breve")</f>
        <v>101.11</v>
      </c>
      <c r="AH100">
        <f>_xlfn.XLOOKUP(B100,'23'!$A:$A,'23'!$G:$G,"pipino il breve")</f>
        <v>101.11</v>
      </c>
      <c r="AI100">
        <f>_xlfn.XLOOKUP(B100,'23'!$A:$A,'23'!$G:$G,"pipino il breve")</f>
        <v>101.11</v>
      </c>
      <c r="AJ100">
        <f>_xlfn.XLOOKUP(B100,'26'!$A:$A,'26'!$G:$G,"pipino il breve")</f>
        <v>101.11</v>
      </c>
      <c r="AK100">
        <f>_xlfn.XLOOKUP(B100,'27'!$A:$A,'27'!$G:$G,"pipino il breve")</f>
        <v>100.91</v>
      </c>
    </row>
    <row r="101" spans="1:37" x14ac:dyDescent="0.2">
      <c r="A101">
        <v>100</v>
      </c>
      <c r="B101" s="2" t="s">
        <v>67</v>
      </c>
      <c r="C101" s="3">
        <v>1.7</v>
      </c>
      <c r="D101" s="2" t="s">
        <v>209</v>
      </c>
      <c r="E101" s="3">
        <v>103.47</v>
      </c>
      <c r="F101" s="3">
        <v>103.47</v>
      </c>
      <c r="G101" s="3">
        <v>103.47</v>
      </c>
      <c r="H101">
        <f>_xlfn.XLOOKUP(B101,'28'!$A:$A,'28'!$G:$G,"pipino il breve")</f>
        <v>103.53</v>
      </c>
      <c r="I101">
        <f>_xlfn.XLOOKUP(B101,'29'!$A:$A,'29'!$G:$G,"pipino il breve")</f>
        <v>103.51</v>
      </c>
      <c r="J101" s="11">
        <f>_xlfn.XLOOKUP(B101,'30'!$A:$A,'30'!$G:$G,"pipino il breve")</f>
        <v>103.59</v>
      </c>
      <c r="K101" s="3">
        <f>_xlfn.XLOOKUP(B101,'30'!$A:$A,'30'!$G:$G,"pipino il breve")</f>
        <v>103.59</v>
      </c>
      <c r="L101">
        <f>_xlfn.XLOOKUP(B101,'2'!$A:$A,'2'!$G:$G,"pipino il breve")</f>
        <v>103.43</v>
      </c>
      <c r="M101">
        <f>_xlfn.XLOOKUP(B101,'2'!$A:$A,'2'!$G:$G,"pipino il breve")</f>
        <v>103.43</v>
      </c>
      <c r="N101">
        <f>_xlfn.XLOOKUP(B101,'2'!$A:$A,'2'!$G:$G,"pipino il breve")</f>
        <v>103.43</v>
      </c>
      <c r="O101">
        <f>_xlfn.XLOOKUP(B101,'5'!$A:$A,'5'!$G:$G,"pipino il breve")</f>
        <v>103.51</v>
      </c>
      <c r="P101">
        <f>_xlfn.XLOOKUP(B101,'6'!$A:$A,'6'!$G:$G,"pipino il breve")</f>
        <v>103.48</v>
      </c>
      <c r="Q101">
        <f>_xlfn.XLOOKUP(B101,'7'!$A:$A,'7'!$G:$G,"pipino il breve")</f>
        <v>103.56</v>
      </c>
      <c r="R101">
        <f>_xlfn.XLOOKUP(B101,'8'!$A:$A,'8'!$G:$G,"pipino il breve")</f>
        <v>103.46</v>
      </c>
      <c r="S101">
        <f>_xlfn.XLOOKUP(B101,'9'!$A:$A,'9'!$G:$G,"pipino il breve")</f>
        <v>103.38</v>
      </c>
      <c r="T101">
        <f>_xlfn.XLOOKUP(B101,'9'!$A:$A,'9'!$G:$G,"pipino il breve")</f>
        <v>103.38</v>
      </c>
      <c r="U101">
        <f>_xlfn.XLOOKUP(B101,'9'!$A:$A,'9'!$G:$G,"pipino il breve")</f>
        <v>103.38</v>
      </c>
      <c r="V101">
        <f>_xlfn.XLOOKUP(B101,'12'!$A:$A,'12'!$G:$G,"pipino il breve")</f>
        <v>103.09</v>
      </c>
      <c r="W101">
        <f>_xlfn.XLOOKUP(B101,'13'!$A:$A,'13'!$G:$G,"pipino il breve")</f>
        <v>103.07</v>
      </c>
      <c r="X101">
        <f>_xlfn.XLOOKUP(B101,'14'!$A:$A,'14'!$G:$G,"pipino il breve")</f>
        <v>103.02</v>
      </c>
      <c r="Y101">
        <f>_xlfn.XLOOKUP(B101,'15'!$A:$A,'15'!$G:$G,"pipino il breve")</f>
        <v>103.14</v>
      </c>
      <c r="Z101">
        <f>_xlfn.XLOOKUP(B101,'16'!$A:$A,'16'!$G:$G,"pipino il breve")</f>
        <v>103.23</v>
      </c>
      <c r="AA101">
        <f>_xlfn.XLOOKUP(B101,'16'!$A:$A,'16'!$G:$G,"pipino il breve")</f>
        <v>103.23</v>
      </c>
      <c r="AB101">
        <f>_xlfn.XLOOKUP(B101,'16'!$A:$A,'16'!$G:$G,"pipino il breve")</f>
        <v>103.23</v>
      </c>
      <c r="AC101">
        <f>_xlfn.XLOOKUP(B101,'19'!$A:$A,'19'!$G:$G,"pipino il breve")</f>
        <v>103.27</v>
      </c>
      <c r="AD101">
        <f>_xlfn.XLOOKUP(B101,'20'!$A:$A,'20'!$G:$G,"pipino il breve")</f>
        <v>103.26</v>
      </c>
      <c r="AE101">
        <f>_xlfn.XLOOKUP(B101,'21'!$A:$A,'21'!$G:$G,"pipino il breve")</f>
        <v>103.2</v>
      </c>
      <c r="AF101">
        <f>_xlfn.XLOOKUP(B101,'22'!$A:$A,'22'!$G:$G,"pipino il breve")</f>
        <v>103.24</v>
      </c>
      <c r="AG101">
        <f>_xlfn.XLOOKUP(B101,'23'!$A:$A,'23'!$G:$G,"pipino il breve")</f>
        <v>103.37</v>
      </c>
      <c r="AH101">
        <f>_xlfn.XLOOKUP(B101,'23'!$A:$A,'23'!$G:$G,"pipino il breve")</f>
        <v>103.37</v>
      </c>
      <c r="AI101">
        <f>_xlfn.XLOOKUP(B101,'23'!$A:$A,'23'!$G:$G,"pipino il breve")</f>
        <v>103.37</v>
      </c>
      <c r="AJ101">
        <f>_xlfn.XLOOKUP(B101,'26'!$A:$A,'26'!$G:$G,"pipino il breve")</f>
        <v>103.36</v>
      </c>
      <c r="AK101">
        <f>_xlfn.XLOOKUP(B101,'27'!$A:$A,'27'!$G:$G,"pipino il breve")</f>
        <v>103.35</v>
      </c>
    </row>
    <row r="102" spans="1:37" x14ac:dyDescent="0.2">
      <c r="A102">
        <v>101</v>
      </c>
      <c r="B102" s="2" t="s">
        <v>84</v>
      </c>
      <c r="C102" s="3">
        <v>0.8125</v>
      </c>
      <c r="D102" s="2" t="s">
        <v>210</v>
      </c>
      <c r="E102" s="3">
        <v>103.85</v>
      </c>
      <c r="F102" s="3">
        <v>103.85</v>
      </c>
      <c r="G102" s="3">
        <v>103.85</v>
      </c>
      <c r="H102">
        <f>_xlfn.XLOOKUP(B102,'28'!$A:$A,'28'!$G:$G,"pipino il breve")</f>
        <v>103.9</v>
      </c>
      <c r="I102">
        <f>_xlfn.XLOOKUP(B102,'29'!$A:$A,'29'!$G:$G,"pipino il breve")</f>
        <v>103.93</v>
      </c>
      <c r="J102" s="11">
        <f>_xlfn.XLOOKUP(B102,'30'!$A:$A,'30'!$G:$G,"pipino il breve")</f>
        <v>104.13</v>
      </c>
      <c r="K102" s="3">
        <f>_xlfn.XLOOKUP(B102,'30'!$A:$A,'30'!$G:$G,"pipino il breve")</f>
        <v>104.13</v>
      </c>
      <c r="L102">
        <f>_xlfn.XLOOKUP(B102,'2'!$A:$A,'2'!$G:$G,"pipino il breve")</f>
        <v>103.83</v>
      </c>
      <c r="M102">
        <f>_xlfn.XLOOKUP(B102,'2'!$A:$A,'2'!$G:$G,"pipino il breve")</f>
        <v>103.83</v>
      </c>
      <c r="N102">
        <f>_xlfn.XLOOKUP(B102,'2'!$A:$A,'2'!$G:$G,"pipino il breve")</f>
        <v>103.83</v>
      </c>
      <c r="O102">
        <f>_xlfn.XLOOKUP(B102,'5'!$A:$A,'5'!$G:$G,"pipino il breve")</f>
        <v>103.74</v>
      </c>
      <c r="P102">
        <f>_xlfn.XLOOKUP(B102,'6'!$A:$A,'6'!$G:$G,"pipino il breve")</f>
        <v>103.85</v>
      </c>
      <c r="Q102">
        <f>_xlfn.XLOOKUP(B102,'7'!$A:$A,'7'!$G:$G,"pipino il breve")</f>
        <v>104.06</v>
      </c>
      <c r="R102">
        <f>_xlfn.XLOOKUP(B102,'8'!$A:$A,'8'!$G:$G,"pipino il breve")</f>
        <v>104.02</v>
      </c>
      <c r="S102">
        <f>_xlfn.XLOOKUP(B102,'9'!$A:$A,'9'!$G:$G,"pipino il breve")</f>
        <v>103.85</v>
      </c>
      <c r="T102">
        <f>_xlfn.XLOOKUP(B102,'9'!$A:$A,'9'!$G:$G,"pipino il breve")</f>
        <v>103.85</v>
      </c>
      <c r="U102">
        <f>_xlfn.XLOOKUP(B102,'9'!$A:$A,'9'!$G:$G,"pipino il breve")</f>
        <v>103.85</v>
      </c>
      <c r="V102">
        <f>_xlfn.XLOOKUP(B102,'12'!$A:$A,'12'!$G:$G,"pipino il breve")</f>
        <v>103.55</v>
      </c>
      <c r="W102">
        <f>_xlfn.XLOOKUP(B102,'13'!$A:$A,'13'!$G:$G,"pipino il breve")</f>
        <v>103.48</v>
      </c>
      <c r="X102">
        <f>_xlfn.XLOOKUP(B102,'14'!$A:$A,'14'!$G:$G,"pipino il breve")</f>
        <v>103.5</v>
      </c>
      <c r="Y102">
        <f>_xlfn.XLOOKUP(B102,'15'!$A:$A,'15'!$G:$G,"pipino il breve")</f>
        <v>103.69</v>
      </c>
      <c r="Z102">
        <f>_xlfn.XLOOKUP(B102,'16'!$A:$A,'16'!$G:$G,"pipino il breve")</f>
        <v>103.85</v>
      </c>
      <c r="AA102">
        <f>_xlfn.XLOOKUP(B102,'16'!$A:$A,'16'!$G:$G,"pipino il breve")</f>
        <v>103.85</v>
      </c>
      <c r="AB102">
        <f>_xlfn.XLOOKUP(B102,'16'!$A:$A,'16'!$G:$G,"pipino il breve")</f>
        <v>103.85</v>
      </c>
      <c r="AC102">
        <f>_xlfn.XLOOKUP(B102,'19'!$A:$A,'19'!$G:$G,"pipino il breve")</f>
        <v>103.86</v>
      </c>
      <c r="AD102">
        <f>_xlfn.XLOOKUP(B102,'20'!$A:$A,'20'!$G:$G,"pipino il breve")</f>
        <v>103.8</v>
      </c>
      <c r="AE102">
        <f>_xlfn.XLOOKUP(B102,'21'!$A:$A,'21'!$G:$G,"pipino il breve")</f>
        <v>103.74</v>
      </c>
      <c r="AF102">
        <f>_xlfn.XLOOKUP(B102,'22'!$A:$A,'22'!$G:$G,"pipino il breve")</f>
        <v>103.72</v>
      </c>
      <c r="AG102">
        <f>_xlfn.XLOOKUP(B102,'23'!$A:$A,'23'!$G:$G,"pipino il breve")</f>
        <v>103.9</v>
      </c>
      <c r="AH102">
        <f>_xlfn.XLOOKUP(B102,'23'!$A:$A,'23'!$G:$G,"pipino il breve")</f>
        <v>103.9</v>
      </c>
      <c r="AI102">
        <f>_xlfn.XLOOKUP(B102,'23'!$A:$A,'23'!$G:$G,"pipino il breve")</f>
        <v>103.9</v>
      </c>
      <c r="AJ102">
        <f>_xlfn.XLOOKUP(B102,'26'!$A:$A,'26'!$G:$G,"pipino il breve")</f>
        <v>104.09</v>
      </c>
      <c r="AK102">
        <f>_xlfn.XLOOKUP(B102,'27'!$A:$A,'27'!$G:$G,"pipino il breve")</f>
        <v>104.08</v>
      </c>
    </row>
    <row r="103" spans="1:37" x14ac:dyDescent="0.2">
      <c r="A103">
        <v>102</v>
      </c>
      <c r="B103" s="2" t="s">
        <v>211</v>
      </c>
      <c r="C103" s="3">
        <v>0.8125</v>
      </c>
      <c r="D103" s="2" t="s">
        <v>210</v>
      </c>
      <c r="E103" s="3">
        <v>103.85</v>
      </c>
      <c r="F103" s="3">
        <v>103.85</v>
      </c>
      <c r="G103" s="3">
        <v>103.85</v>
      </c>
      <c r="H103">
        <f>_xlfn.XLOOKUP(B103,'28'!$A:$A,'28'!$G:$G,"pipino il breve")</f>
        <v>103.9</v>
      </c>
      <c r="I103">
        <f>_xlfn.XLOOKUP(B103,'29'!$A:$A,'29'!$G:$G,"pipino il breve")</f>
        <v>103.93</v>
      </c>
      <c r="J103" s="11">
        <f>_xlfn.XLOOKUP(B103,'30'!$A:$A,'30'!$G:$G,"pipino il breve")</f>
        <v>104.13</v>
      </c>
      <c r="K103" s="3">
        <f>_xlfn.XLOOKUP(B103,'30'!$A:$A,'30'!$G:$G,"pipino il breve")</f>
        <v>104.13</v>
      </c>
      <c r="L103">
        <f>_xlfn.XLOOKUP(B103,'2'!$A:$A,'2'!$G:$G,"pipino il breve")</f>
        <v>103.83</v>
      </c>
      <c r="M103">
        <f>_xlfn.XLOOKUP(B103,'2'!$A:$A,'2'!$G:$G,"pipino il breve")</f>
        <v>103.83</v>
      </c>
      <c r="N103">
        <f>_xlfn.XLOOKUP(B103,'2'!$A:$A,'2'!$G:$G,"pipino il breve")</f>
        <v>103.83</v>
      </c>
      <c r="O103">
        <f>_xlfn.XLOOKUP(B103,'5'!$A:$A,'5'!$G:$G,"pipino il breve")</f>
        <v>103.74</v>
      </c>
      <c r="P103">
        <f>_xlfn.XLOOKUP(B103,'6'!$A:$A,'6'!$G:$G,"pipino il breve")</f>
        <v>103.85</v>
      </c>
      <c r="Q103">
        <f>_xlfn.XLOOKUP(B103,'7'!$A:$A,'7'!$G:$G,"pipino il breve")</f>
        <v>104.06</v>
      </c>
      <c r="R103">
        <f>_xlfn.XLOOKUP(B103,'8'!$A:$A,'8'!$G:$G,"pipino il breve")</f>
        <v>104.02</v>
      </c>
      <c r="S103">
        <f>_xlfn.XLOOKUP(B103,'9'!$A:$A,'9'!$G:$G,"pipino il breve")</f>
        <v>103.85</v>
      </c>
      <c r="T103">
        <f>_xlfn.XLOOKUP(B103,'9'!$A:$A,'9'!$G:$G,"pipino il breve")</f>
        <v>103.85</v>
      </c>
      <c r="U103">
        <f>_xlfn.XLOOKUP(B103,'9'!$A:$A,'9'!$G:$G,"pipino il breve")</f>
        <v>103.85</v>
      </c>
      <c r="V103">
        <f>_xlfn.XLOOKUP(B103,'12'!$A:$A,'12'!$G:$G,"pipino il breve")</f>
        <v>103.55</v>
      </c>
      <c r="W103">
        <f>_xlfn.XLOOKUP(B103,'13'!$A:$A,'13'!$G:$G,"pipino il breve")</f>
        <v>103.48</v>
      </c>
      <c r="X103">
        <f>_xlfn.XLOOKUP(B103,'14'!$A:$A,'14'!$G:$G,"pipino il breve")</f>
        <v>103.5</v>
      </c>
      <c r="Y103">
        <f>_xlfn.XLOOKUP(B103,'15'!$A:$A,'15'!$G:$G,"pipino il breve")</f>
        <v>103.69</v>
      </c>
      <c r="Z103">
        <f>_xlfn.XLOOKUP(B103,'16'!$A:$A,'16'!$G:$G,"pipino il breve")</f>
        <v>103.85</v>
      </c>
      <c r="AA103">
        <f>_xlfn.XLOOKUP(B103,'16'!$A:$A,'16'!$G:$G,"pipino il breve")</f>
        <v>103.85</v>
      </c>
      <c r="AB103">
        <f>_xlfn.XLOOKUP(B103,'16'!$A:$A,'16'!$G:$G,"pipino il breve")</f>
        <v>103.85</v>
      </c>
      <c r="AC103">
        <f>_xlfn.XLOOKUP(B103,'19'!$A:$A,'19'!$G:$G,"pipino il breve")</f>
        <v>103.86</v>
      </c>
      <c r="AD103">
        <f>_xlfn.XLOOKUP(B103,'20'!$A:$A,'20'!$G:$G,"pipino il breve")</f>
        <v>103.8</v>
      </c>
      <c r="AE103">
        <f>_xlfn.XLOOKUP(B103,'21'!$A:$A,'21'!$G:$G,"pipino il breve")</f>
        <v>103.74</v>
      </c>
      <c r="AF103">
        <f>_xlfn.XLOOKUP(B103,'22'!$A:$A,'22'!$G:$G,"pipino il breve")</f>
        <v>103.72</v>
      </c>
      <c r="AG103">
        <f>_xlfn.XLOOKUP(B103,'23'!$A:$A,'23'!$G:$G,"pipino il breve")</f>
        <v>103.9</v>
      </c>
      <c r="AH103">
        <f>_xlfn.XLOOKUP(B103,'23'!$A:$A,'23'!$G:$G,"pipino il breve")</f>
        <v>103.9</v>
      </c>
      <c r="AI103">
        <f>_xlfn.XLOOKUP(B103,'23'!$A:$A,'23'!$G:$G,"pipino il breve")</f>
        <v>103.9</v>
      </c>
      <c r="AJ103">
        <f>_xlfn.XLOOKUP(B103,'26'!$A:$A,'26'!$G:$G,"pipino il breve")</f>
        <v>104.09</v>
      </c>
      <c r="AK103">
        <f>_xlfn.XLOOKUP(B103,'27'!$A:$A,'27'!$G:$G,"pipino il breve")</f>
        <v>104.08</v>
      </c>
    </row>
    <row r="104" spans="1:37" x14ac:dyDescent="0.2">
      <c r="A104">
        <v>103</v>
      </c>
      <c r="B104" s="2" t="s">
        <v>79</v>
      </c>
      <c r="C104" s="3">
        <v>1.0249999999999999</v>
      </c>
      <c r="D104" s="2" t="s">
        <v>212</v>
      </c>
      <c r="E104" s="3">
        <v>105.87</v>
      </c>
      <c r="F104" s="3">
        <v>105.87</v>
      </c>
      <c r="G104" s="3">
        <v>105.87</v>
      </c>
      <c r="H104">
        <f>_xlfn.XLOOKUP(B104,'28'!$A:$A,'28'!$G:$G,"pipino il breve")</f>
        <v>105.86</v>
      </c>
      <c r="I104">
        <f>_xlfn.XLOOKUP(B104,'29'!$A:$A,'29'!$G:$G,"pipino il breve")</f>
        <v>105.86</v>
      </c>
      <c r="J104" s="11">
        <f>_xlfn.XLOOKUP(B104,'30'!$A:$A,'30'!$G:$G,"pipino il breve")</f>
        <v>105.98</v>
      </c>
      <c r="K104" s="3">
        <f>_xlfn.XLOOKUP(B104,'30'!$A:$A,'30'!$G:$G,"pipino il breve")</f>
        <v>105.98</v>
      </c>
      <c r="L104">
        <f>_xlfn.XLOOKUP(B104,'2'!$A:$A,'2'!$G:$G,"pipino il breve")</f>
        <v>105.75</v>
      </c>
      <c r="M104">
        <f>_xlfn.XLOOKUP(B104,'2'!$A:$A,'2'!$G:$G,"pipino il breve")</f>
        <v>105.75</v>
      </c>
      <c r="N104">
        <f>_xlfn.XLOOKUP(B104,'2'!$A:$A,'2'!$G:$G,"pipino il breve")</f>
        <v>105.75</v>
      </c>
      <c r="O104">
        <f>_xlfn.XLOOKUP(B104,'5'!$A:$A,'5'!$G:$G,"pipino il breve")</f>
        <v>105.71</v>
      </c>
      <c r="P104">
        <f>_xlfn.XLOOKUP(B104,'6'!$A:$A,'6'!$G:$G,"pipino il breve")</f>
        <v>105.78</v>
      </c>
      <c r="Q104">
        <f>_xlfn.XLOOKUP(B104,'7'!$A:$A,'7'!$G:$G,"pipino il breve")</f>
        <v>106.01</v>
      </c>
      <c r="R104">
        <f>_xlfn.XLOOKUP(B104,'8'!$A:$A,'8'!$G:$G,"pipino il breve")</f>
        <v>105.91</v>
      </c>
      <c r="S104">
        <f>_xlfn.XLOOKUP(B104,'9'!$A:$A,'9'!$G:$G,"pipino il breve")</f>
        <v>105.77</v>
      </c>
      <c r="T104">
        <f>_xlfn.XLOOKUP(B104,'9'!$A:$A,'9'!$G:$G,"pipino il breve")</f>
        <v>105.77</v>
      </c>
      <c r="U104">
        <f>_xlfn.XLOOKUP(B104,'9'!$A:$A,'9'!$G:$G,"pipino il breve")</f>
        <v>105.77</v>
      </c>
      <c r="V104">
        <f>_xlfn.XLOOKUP(B104,'12'!$A:$A,'12'!$G:$G,"pipino il breve")</f>
        <v>105.45</v>
      </c>
      <c r="W104">
        <f>_xlfn.XLOOKUP(B104,'13'!$A:$A,'13'!$G:$G,"pipino il breve")</f>
        <v>105.45</v>
      </c>
      <c r="X104">
        <f>_xlfn.XLOOKUP(B104,'14'!$A:$A,'14'!$G:$G,"pipino il breve")</f>
        <v>105.53</v>
      </c>
      <c r="Y104">
        <f>_xlfn.XLOOKUP(B104,'15'!$A:$A,'15'!$G:$G,"pipino il breve")</f>
        <v>105.91</v>
      </c>
      <c r="Z104">
        <f>_xlfn.XLOOKUP(B104,'16'!$A:$A,'16'!$G:$G,"pipino il breve")</f>
        <v>105.7</v>
      </c>
      <c r="AA104">
        <f>_xlfn.XLOOKUP(B104,'16'!$A:$A,'16'!$G:$G,"pipino il breve")</f>
        <v>105.7</v>
      </c>
      <c r="AB104">
        <f>_xlfn.XLOOKUP(B104,'16'!$A:$A,'16'!$G:$G,"pipino il breve")</f>
        <v>105.7</v>
      </c>
      <c r="AC104">
        <f>_xlfn.XLOOKUP(B104,'19'!$A:$A,'19'!$G:$G,"pipino il breve")</f>
        <v>105.65</v>
      </c>
      <c r="AD104">
        <f>_xlfn.XLOOKUP(B104,'20'!$A:$A,'20'!$G:$G,"pipino il breve")</f>
        <v>105.68</v>
      </c>
      <c r="AE104">
        <f>_xlfn.XLOOKUP(B104,'21'!$A:$A,'21'!$G:$G,"pipino il breve")</f>
        <v>105.6</v>
      </c>
      <c r="AF104">
        <f>_xlfn.XLOOKUP(B104,'22'!$A:$A,'22'!$G:$G,"pipino il breve")</f>
        <v>105.67</v>
      </c>
      <c r="AG104">
        <f>_xlfn.XLOOKUP(B104,'23'!$A:$A,'23'!$G:$G,"pipino il breve")</f>
        <v>105.83</v>
      </c>
      <c r="AH104">
        <f>_xlfn.XLOOKUP(B104,'23'!$A:$A,'23'!$G:$G,"pipino il breve")</f>
        <v>105.83</v>
      </c>
      <c r="AI104">
        <f>_xlfn.XLOOKUP(B104,'23'!$A:$A,'23'!$G:$G,"pipino il breve")</f>
        <v>105.83</v>
      </c>
      <c r="AJ104">
        <f>_xlfn.XLOOKUP(B104,'26'!$A:$A,'26'!$G:$G,"pipino il breve")</f>
        <v>105.84</v>
      </c>
      <c r="AK104">
        <f>_xlfn.XLOOKUP(B104,'27'!$A:$A,'27'!$G:$G,"pipino il breve")</f>
        <v>105.84</v>
      </c>
    </row>
    <row r="105" spans="1:37" x14ac:dyDescent="0.2">
      <c r="A105">
        <v>104</v>
      </c>
      <c r="B105" s="2" t="s">
        <v>213</v>
      </c>
      <c r="C105" s="3">
        <v>1.0249999999999999</v>
      </c>
      <c r="D105" s="2" t="s">
        <v>212</v>
      </c>
      <c r="E105" s="3">
        <v>105.87</v>
      </c>
      <c r="F105" s="3">
        <v>105.87</v>
      </c>
      <c r="G105" s="3">
        <v>105.87</v>
      </c>
      <c r="H105">
        <f>_xlfn.XLOOKUP(B105,'28'!$A:$A,'28'!$G:$G,"pipino il breve")</f>
        <v>105.86</v>
      </c>
      <c r="I105">
        <f>_xlfn.XLOOKUP(B105,'29'!$A:$A,'29'!$G:$G,"pipino il breve")</f>
        <v>105.86</v>
      </c>
      <c r="J105" s="11">
        <f>_xlfn.XLOOKUP(B105,'30'!$A:$A,'30'!$G:$G,"pipino il breve")</f>
        <v>105.98</v>
      </c>
      <c r="K105" s="3">
        <f>_xlfn.XLOOKUP(B105,'30'!$A:$A,'30'!$G:$G,"pipino il breve")</f>
        <v>105.98</v>
      </c>
      <c r="L105">
        <f>_xlfn.XLOOKUP(B105,'2'!$A:$A,'2'!$G:$G,"pipino il breve")</f>
        <v>105.75</v>
      </c>
      <c r="M105">
        <f>_xlfn.XLOOKUP(B105,'2'!$A:$A,'2'!$G:$G,"pipino il breve")</f>
        <v>105.75</v>
      </c>
      <c r="N105">
        <f>_xlfn.XLOOKUP(B105,'2'!$A:$A,'2'!$G:$G,"pipino il breve")</f>
        <v>105.75</v>
      </c>
      <c r="O105">
        <f>_xlfn.XLOOKUP(B105,'5'!$A:$A,'5'!$G:$G,"pipino il breve")</f>
        <v>105.71</v>
      </c>
      <c r="P105">
        <f>_xlfn.XLOOKUP(B105,'6'!$A:$A,'6'!$G:$G,"pipino il breve")</f>
        <v>105.78</v>
      </c>
      <c r="Q105">
        <f>_xlfn.XLOOKUP(B105,'7'!$A:$A,'7'!$G:$G,"pipino il breve")</f>
        <v>106.01</v>
      </c>
      <c r="R105">
        <f>_xlfn.XLOOKUP(B105,'8'!$A:$A,'8'!$G:$G,"pipino il breve")</f>
        <v>105.91</v>
      </c>
      <c r="S105">
        <f>_xlfn.XLOOKUP(B105,'9'!$A:$A,'9'!$G:$G,"pipino il breve")</f>
        <v>105.77</v>
      </c>
      <c r="T105">
        <f>_xlfn.XLOOKUP(B105,'9'!$A:$A,'9'!$G:$G,"pipino il breve")</f>
        <v>105.77</v>
      </c>
      <c r="U105">
        <f>_xlfn.XLOOKUP(B105,'9'!$A:$A,'9'!$G:$G,"pipino il breve")</f>
        <v>105.77</v>
      </c>
      <c r="V105">
        <f>_xlfn.XLOOKUP(B105,'12'!$A:$A,'12'!$G:$G,"pipino il breve")</f>
        <v>105.45</v>
      </c>
      <c r="W105">
        <f>_xlfn.XLOOKUP(B105,'13'!$A:$A,'13'!$G:$G,"pipino il breve")</f>
        <v>105.45</v>
      </c>
      <c r="X105">
        <f>_xlfn.XLOOKUP(B105,'14'!$A:$A,'14'!$G:$G,"pipino il breve")</f>
        <v>105.53</v>
      </c>
      <c r="Y105">
        <f>_xlfn.XLOOKUP(B105,'15'!$A:$A,'15'!$G:$G,"pipino il breve")</f>
        <v>105.91</v>
      </c>
      <c r="Z105">
        <f>_xlfn.XLOOKUP(B105,'16'!$A:$A,'16'!$G:$G,"pipino il breve")</f>
        <v>105.7</v>
      </c>
      <c r="AA105">
        <f>_xlfn.XLOOKUP(B105,'16'!$A:$A,'16'!$G:$G,"pipino il breve")</f>
        <v>105.7</v>
      </c>
      <c r="AB105">
        <f>_xlfn.XLOOKUP(B105,'16'!$A:$A,'16'!$G:$G,"pipino il breve")</f>
        <v>105.7</v>
      </c>
      <c r="AC105">
        <f>_xlfn.XLOOKUP(B105,'19'!$A:$A,'19'!$G:$G,"pipino il breve")</f>
        <v>105.65</v>
      </c>
      <c r="AD105">
        <f>_xlfn.XLOOKUP(B105,'20'!$A:$A,'20'!$G:$G,"pipino il breve")</f>
        <v>105.68</v>
      </c>
      <c r="AE105">
        <f>_xlfn.XLOOKUP(B105,'21'!$A:$A,'21'!$G:$G,"pipino il breve")</f>
        <v>105.6</v>
      </c>
      <c r="AF105">
        <f>_xlfn.XLOOKUP(B105,'22'!$A:$A,'22'!$G:$G,"pipino il breve")</f>
        <v>105.67</v>
      </c>
      <c r="AG105">
        <f>_xlfn.XLOOKUP(B105,'23'!$A:$A,'23'!$G:$G,"pipino il breve")</f>
        <v>105.83</v>
      </c>
      <c r="AH105">
        <f>_xlfn.XLOOKUP(B105,'23'!$A:$A,'23'!$G:$G,"pipino il breve")</f>
        <v>105.83</v>
      </c>
      <c r="AI105">
        <f>_xlfn.XLOOKUP(B105,'23'!$A:$A,'23'!$G:$G,"pipino il breve")</f>
        <v>105.83</v>
      </c>
      <c r="AJ105">
        <f>_xlfn.XLOOKUP(B105,'26'!$A:$A,'26'!$G:$G,"pipino il breve")</f>
        <v>105.84</v>
      </c>
      <c r="AK105">
        <f>_xlfn.XLOOKUP(B105,'27'!$A:$A,'27'!$G:$G,"pipino il breve")</f>
        <v>105.84</v>
      </c>
    </row>
    <row r="106" spans="1:37" x14ac:dyDescent="0.2">
      <c r="A106">
        <v>105</v>
      </c>
      <c r="B106" s="2" t="s">
        <v>73</v>
      </c>
      <c r="C106" s="3">
        <v>1.625</v>
      </c>
      <c r="D106" s="2" t="s">
        <v>214</v>
      </c>
      <c r="E106" s="3">
        <v>103.57</v>
      </c>
      <c r="F106" s="3">
        <v>103.57</v>
      </c>
      <c r="G106" s="3">
        <v>103.57</v>
      </c>
      <c r="H106">
        <f>_xlfn.XLOOKUP(B106,'28'!$A:$A,'28'!$G:$G,"pipino il breve")</f>
        <v>103.54</v>
      </c>
      <c r="I106">
        <f>_xlfn.XLOOKUP(B106,'29'!$A:$A,'29'!$G:$G,"pipino il breve")</f>
        <v>103.52</v>
      </c>
      <c r="J106" s="11">
        <f>_xlfn.XLOOKUP(B106,'30'!$A:$A,'30'!$G:$G,"pipino il breve")</f>
        <v>103.58</v>
      </c>
      <c r="K106" s="3">
        <f>_xlfn.XLOOKUP(B106,'30'!$A:$A,'30'!$G:$G,"pipino il breve")</f>
        <v>103.58</v>
      </c>
      <c r="L106">
        <f>_xlfn.XLOOKUP(B106,'2'!$A:$A,'2'!$G:$G,"pipino il breve")</f>
        <v>103.48</v>
      </c>
      <c r="M106">
        <f>_xlfn.XLOOKUP(B106,'2'!$A:$A,'2'!$G:$G,"pipino il breve")</f>
        <v>103.48</v>
      </c>
      <c r="N106">
        <f>_xlfn.XLOOKUP(B106,'2'!$A:$A,'2'!$G:$G,"pipino il breve")</f>
        <v>103.48</v>
      </c>
      <c r="O106">
        <f>_xlfn.XLOOKUP(B106,'5'!$A:$A,'5'!$G:$G,"pipino il breve")</f>
        <v>103.48</v>
      </c>
      <c r="P106">
        <f>_xlfn.XLOOKUP(B106,'6'!$A:$A,'6'!$G:$G,"pipino il breve")</f>
        <v>103.53</v>
      </c>
      <c r="Q106">
        <f>_xlfn.XLOOKUP(B106,'7'!$A:$A,'7'!$G:$G,"pipino il breve")</f>
        <v>103.57</v>
      </c>
      <c r="R106">
        <f>_xlfn.XLOOKUP(B106,'8'!$A:$A,'8'!$G:$G,"pipino il breve")</f>
        <v>103.53</v>
      </c>
      <c r="S106">
        <f>_xlfn.XLOOKUP(B106,'9'!$A:$A,'9'!$G:$G,"pipino il breve")</f>
        <v>103.49</v>
      </c>
      <c r="T106">
        <f>_xlfn.XLOOKUP(B106,'9'!$A:$A,'9'!$G:$G,"pipino il breve")</f>
        <v>103.49</v>
      </c>
      <c r="U106">
        <f>_xlfn.XLOOKUP(B106,'9'!$A:$A,'9'!$G:$G,"pipino il breve")</f>
        <v>103.49</v>
      </c>
      <c r="V106">
        <f>_xlfn.XLOOKUP(B106,'12'!$A:$A,'12'!$G:$G,"pipino il breve")</f>
        <v>103.31</v>
      </c>
      <c r="W106">
        <f>_xlfn.XLOOKUP(B106,'13'!$A:$A,'13'!$G:$G,"pipino il breve")</f>
        <v>103.26</v>
      </c>
      <c r="X106">
        <f>_xlfn.XLOOKUP(B106,'14'!$A:$A,'14'!$G:$G,"pipino il breve")</f>
        <v>103.28</v>
      </c>
      <c r="Y106">
        <f>_xlfn.XLOOKUP(B106,'15'!$A:$A,'15'!$G:$G,"pipino il breve")</f>
        <v>103.34</v>
      </c>
      <c r="Z106">
        <f>_xlfn.XLOOKUP(B106,'16'!$A:$A,'16'!$G:$G,"pipino il breve")</f>
        <v>103.41</v>
      </c>
      <c r="AA106">
        <f>_xlfn.XLOOKUP(B106,'16'!$A:$A,'16'!$G:$G,"pipino il breve")</f>
        <v>103.41</v>
      </c>
      <c r="AB106">
        <f>_xlfn.XLOOKUP(B106,'16'!$A:$A,'16'!$G:$G,"pipino il breve")</f>
        <v>103.41</v>
      </c>
      <c r="AC106">
        <f>_xlfn.XLOOKUP(B106,'19'!$A:$A,'19'!$G:$G,"pipino il breve")</f>
        <v>103.42</v>
      </c>
      <c r="AD106">
        <f>_xlfn.XLOOKUP(B106,'20'!$A:$A,'20'!$G:$G,"pipino il breve")</f>
        <v>103.38</v>
      </c>
      <c r="AE106">
        <f>_xlfn.XLOOKUP(B106,'21'!$A:$A,'21'!$G:$G,"pipino il breve")</f>
        <v>103.35</v>
      </c>
      <c r="AF106">
        <f>_xlfn.XLOOKUP(B106,'22'!$A:$A,'22'!$G:$G,"pipino il breve")</f>
        <v>103.38</v>
      </c>
      <c r="AG106">
        <f>_xlfn.XLOOKUP(B106,'23'!$A:$A,'23'!$G:$G,"pipino il breve")</f>
        <v>103.52</v>
      </c>
      <c r="AH106">
        <f>_xlfn.XLOOKUP(B106,'23'!$A:$A,'23'!$G:$G,"pipino il breve")</f>
        <v>103.52</v>
      </c>
      <c r="AI106">
        <f>_xlfn.XLOOKUP(B106,'23'!$A:$A,'23'!$G:$G,"pipino il breve")</f>
        <v>103.52</v>
      </c>
      <c r="AJ106">
        <f>_xlfn.XLOOKUP(B106,'26'!$A:$A,'26'!$G:$G,"pipino il breve")</f>
        <v>103.49</v>
      </c>
      <c r="AK106">
        <f>_xlfn.XLOOKUP(B106,'27'!$A:$A,'27'!$G:$G,"pipino il breve")</f>
        <v>103.48</v>
      </c>
    </row>
    <row r="107" spans="1:37" x14ac:dyDescent="0.2">
      <c r="A107">
        <v>106</v>
      </c>
      <c r="B107" s="2" t="s">
        <v>215</v>
      </c>
      <c r="C107" s="3">
        <v>1.625</v>
      </c>
      <c r="D107" s="2" t="s">
        <v>214</v>
      </c>
      <c r="E107" s="3">
        <v>103.57</v>
      </c>
      <c r="F107" s="3">
        <v>103.57</v>
      </c>
      <c r="G107" s="3">
        <v>103.57</v>
      </c>
      <c r="H107">
        <f>_xlfn.XLOOKUP(B107,'28'!$A:$A,'28'!$G:$G,"pipino il breve")</f>
        <v>103.54</v>
      </c>
      <c r="I107">
        <f>_xlfn.XLOOKUP(B107,'29'!$A:$A,'29'!$G:$G,"pipino il breve")</f>
        <v>103.52</v>
      </c>
      <c r="J107" s="11">
        <f>_xlfn.XLOOKUP(B107,'30'!$A:$A,'30'!$G:$G,"pipino il breve")</f>
        <v>103.58</v>
      </c>
      <c r="K107" s="3">
        <f>_xlfn.XLOOKUP(B107,'30'!$A:$A,'30'!$G:$G,"pipino il breve")</f>
        <v>103.58</v>
      </c>
      <c r="L107">
        <f>_xlfn.XLOOKUP(B107,'2'!$A:$A,'2'!$G:$G,"pipino il breve")</f>
        <v>103.48</v>
      </c>
      <c r="M107">
        <f>_xlfn.XLOOKUP(B107,'2'!$A:$A,'2'!$G:$G,"pipino il breve")</f>
        <v>103.48</v>
      </c>
      <c r="N107">
        <f>_xlfn.XLOOKUP(B107,'2'!$A:$A,'2'!$G:$G,"pipino il breve")</f>
        <v>103.48</v>
      </c>
      <c r="O107">
        <f>_xlfn.XLOOKUP(B107,'5'!$A:$A,'5'!$G:$G,"pipino il breve")</f>
        <v>103.48</v>
      </c>
      <c r="P107">
        <f>_xlfn.XLOOKUP(B107,'6'!$A:$A,'6'!$G:$G,"pipino il breve")</f>
        <v>103.53</v>
      </c>
      <c r="Q107">
        <f>_xlfn.XLOOKUP(B107,'7'!$A:$A,'7'!$G:$G,"pipino il breve")</f>
        <v>103.57</v>
      </c>
      <c r="R107">
        <f>_xlfn.XLOOKUP(B107,'8'!$A:$A,'8'!$G:$G,"pipino il breve")</f>
        <v>103.53</v>
      </c>
      <c r="S107">
        <f>_xlfn.XLOOKUP(B107,'9'!$A:$A,'9'!$G:$G,"pipino il breve")</f>
        <v>103.49</v>
      </c>
      <c r="T107">
        <f>_xlfn.XLOOKUP(B107,'9'!$A:$A,'9'!$G:$G,"pipino il breve")</f>
        <v>103.49</v>
      </c>
      <c r="U107">
        <f>_xlfn.XLOOKUP(B107,'9'!$A:$A,'9'!$G:$G,"pipino il breve")</f>
        <v>103.49</v>
      </c>
      <c r="V107">
        <f>_xlfn.XLOOKUP(B107,'12'!$A:$A,'12'!$G:$G,"pipino il breve")</f>
        <v>103.31</v>
      </c>
      <c r="W107">
        <f>_xlfn.XLOOKUP(B107,'13'!$A:$A,'13'!$G:$G,"pipino il breve")</f>
        <v>103.26</v>
      </c>
      <c r="X107">
        <f>_xlfn.XLOOKUP(B107,'14'!$A:$A,'14'!$G:$G,"pipino il breve")</f>
        <v>103.28</v>
      </c>
      <c r="Y107">
        <f>_xlfn.XLOOKUP(B107,'15'!$A:$A,'15'!$G:$G,"pipino il breve")</f>
        <v>103.34</v>
      </c>
      <c r="Z107">
        <f>_xlfn.XLOOKUP(B107,'16'!$A:$A,'16'!$G:$G,"pipino il breve")</f>
        <v>103.41</v>
      </c>
      <c r="AA107">
        <f>_xlfn.XLOOKUP(B107,'16'!$A:$A,'16'!$G:$G,"pipino il breve")</f>
        <v>103.41</v>
      </c>
      <c r="AB107">
        <f>_xlfn.XLOOKUP(B107,'16'!$A:$A,'16'!$G:$G,"pipino il breve")</f>
        <v>103.41</v>
      </c>
      <c r="AC107">
        <f>_xlfn.XLOOKUP(B107,'19'!$A:$A,'19'!$G:$G,"pipino il breve")</f>
        <v>103.42</v>
      </c>
      <c r="AD107">
        <f>_xlfn.XLOOKUP(B107,'20'!$A:$A,'20'!$G:$G,"pipino il breve")</f>
        <v>103.38</v>
      </c>
      <c r="AE107">
        <f>_xlfn.XLOOKUP(B107,'21'!$A:$A,'21'!$G:$G,"pipino il breve")</f>
        <v>103.35</v>
      </c>
      <c r="AF107">
        <f>_xlfn.XLOOKUP(B107,'22'!$A:$A,'22'!$G:$G,"pipino il breve")</f>
        <v>103.38</v>
      </c>
      <c r="AG107">
        <f>_xlfn.XLOOKUP(B107,'23'!$A:$A,'23'!$G:$G,"pipino il breve")</f>
        <v>103.52</v>
      </c>
      <c r="AH107">
        <f>_xlfn.XLOOKUP(B107,'23'!$A:$A,'23'!$G:$G,"pipino il breve")</f>
        <v>103.52</v>
      </c>
      <c r="AI107">
        <f>_xlfn.XLOOKUP(B107,'23'!$A:$A,'23'!$G:$G,"pipino il breve")</f>
        <v>103.52</v>
      </c>
      <c r="AJ107">
        <f>_xlfn.XLOOKUP(B107,'26'!$A:$A,'26'!$G:$G,"pipino il breve")</f>
        <v>103.49</v>
      </c>
      <c r="AK107">
        <f>_xlfn.XLOOKUP(B107,'27'!$A:$A,'27'!$G:$G,"pipino il breve")</f>
        <v>103.48</v>
      </c>
    </row>
    <row r="108" spans="1:37" x14ac:dyDescent="0.2">
      <c r="A108">
        <v>107</v>
      </c>
      <c r="B108" s="2" t="s">
        <v>88</v>
      </c>
      <c r="C108" s="3">
        <v>0.83750000000000002</v>
      </c>
      <c r="D108" s="2" t="s">
        <v>216</v>
      </c>
      <c r="E108" s="3">
        <v>103.5</v>
      </c>
      <c r="F108" s="3">
        <v>103.5</v>
      </c>
      <c r="G108" s="3">
        <v>103.5</v>
      </c>
      <c r="H108">
        <f>_xlfn.XLOOKUP(B108,'28'!$A:$A,'28'!$G:$G,"pipino il breve")</f>
        <v>103.55</v>
      </c>
      <c r="I108">
        <f>_xlfn.XLOOKUP(B108,'29'!$A:$A,'29'!$G:$G,"pipino il breve")</f>
        <v>103.5</v>
      </c>
      <c r="J108" s="11">
        <f>_xlfn.XLOOKUP(B108,'30'!$A:$A,'30'!$G:$G,"pipino il breve")</f>
        <v>103.83</v>
      </c>
      <c r="K108" s="3">
        <f>_xlfn.XLOOKUP(B108,'30'!$A:$A,'30'!$G:$G,"pipino il breve")</f>
        <v>103.83</v>
      </c>
      <c r="L108">
        <f>_xlfn.XLOOKUP(B108,'2'!$A:$A,'2'!$G:$G,"pipino il breve")</f>
        <v>103.65</v>
      </c>
      <c r="M108">
        <f>_xlfn.XLOOKUP(B108,'2'!$A:$A,'2'!$G:$G,"pipino il breve")</f>
        <v>103.65</v>
      </c>
      <c r="N108">
        <f>_xlfn.XLOOKUP(B108,'2'!$A:$A,'2'!$G:$G,"pipino il breve")</f>
        <v>103.65</v>
      </c>
      <c r="O108">
        <f>_xlfn.XLOOKUP(B108,'5'!$A:$A,'5'!$G:$G,"pipino il breve")</f>
        <v>103.58</v>
      </c>
      <c r="P108">
        <f>_xlfn.XLOOKUP(B108,'6'!$A:$A,'6'!$G:$G,"pipino il breve")</f>
        <v>103.68</v>
      </c>
      <c r="Q108">
        <f>_xlfn.XLOOKUP(B108,'7'!$A:$A,'7'!$G:$G,"pipino il breve")</f>
        <v>103.87</v>
      </c>
      <c r="R108">
        <f>_xlfn.XLOOKUP(B108,'8'!$A:$A,'8'!$G:$G,"pipino il breve")</f>
        <v>103.78</v>
      </c>
      <c r="S108">
        <f>_xlfn.XLOOKUP(B108,'9'!$A:$A,'9'!$G:$G,"pipino il breve")</f>
        <v>103.59</v>
      </c>
      <c r="T108">
        <f>_xlfn.XLOOKUP(B108,'9'!$A:$A,'9'!$G:$G,"pipino il breve")</f>
        <v>103.59</v>
      </c>
      <c r="U108">
        <f>_xlfn.XLOOKUP(B108,'9'!$A:$A,'9'!$G:$G,"pipino il breve")</f>
        <v>103.59</v>
      </c>
      <c r="V108">
        <f>_xlfn.XLOOKUP(B108,'12'!$A:$A,'12'!$G:$G,"pipino il breve")</f>
        <v>103.33</v>
      </c>
      <c r="W108">
        <f>_xlfn.XLOOKUP(B108,'13'!$A:$A,'13'!$G:$G,"pipino il breve")</f>
        <v>103.14</v>
      </c>
      <c r="X108">
        <f>_xlfn.XLOOKUP(B108,'14'!$A:$A,'14'!$G:$G,"pipino il breve")</f>
        <v>103.13</v>
      </c>
      <c r="Y108">
        <f>_xlfn.XLOOKUP(B108,'15'!$A:$A,'15'!$G:$G,"pipino il breve")</f>
        <v>103.26</v>
      </c>
      <c r="Z108">
        <f>_xlfn.XLOOKUP(B108,'16'!$A:$A,'16'!$G:$G,"pipino il breve")</f>
        <v>103.57</v>
      </c>
      <c r="AA108">
        <f>_xlfn.XLOOKUP(B108,'16'!$A:$A,'16'!$G:$G,"pipino il breve")</f>
        <v>103.57</v>
      </c>
      <c r="AB108">
        <f>_xlfn.XLOOKUP(B108,'16'!$A:$A,'16'!$G:$G,"pipino il breve")</f>
        <v>103.57</v>
      </c>
      <c r="AC108">
        <f>_xlfn.XLOOKUP(B108,'19'!$A:$A,'19'!$G:$G,"pipino il breve")</f>
        <v>103.35</v>
      </c>
      <c r="AD108">
        <f>_xlfn.XLOOKUP(B108,'20'!$A:$A,'20'!$G:$G,"pipino il breve")</f>
        <v>103.48</v>
      </c>
      <c r="AE108">
        <f>_xlfn.XLOOKUP(B108,'21'!$A:$A,'21'!$G:$G,"pipino il breve")</f>
        <v>103.38</v>
      </c>
      <c r="AF108">
        <f>_xlfn.XLOOKUP(B108,'22'!$A:$A,'22'!$G:$G,"pipino il breve")</f>
        <v>103.35</v>
      </c>
      <c r="AG108">
        <f>_xlfn.XLOOKUP(B108,'23'!$A:$A,'23'!$G:$G,"pipino il breve")</f>
        <v>103.51</v>
      </c>
      <c r="AH108">
        <f>_xlfn.XLOOKUP(B108,'23'!$A:$A,'23'!$G:$G,"pipino il breve")</f>
        <v>103.51</v>
      </c>
      <c r="AI108">
        <f>_xlfn.XLOOKUP(B108,'23'!$A:$A,'23'!$G:$G,"pipino il breve")</f>
        <v>103.51</v>
      </c>
      <c r="AJ108">
        <f>_xlfn.XLOOKUP(B108,'26'!$A:$A,'26'!$G:$G,"pipino il breve")</f>
        <v>103.55</v>
      </c>
      <c r="AK108">
        <f>_xlfn.XLOOKUP(B108,'27'!$A:$A,'27'!$G:$G,"pipino il breve")</f>
        <v>103.62</v>
      </c>
    </row>
    <row r="109" spans="1:37" x14ac:dyDescent="0.2">
      <c r="A109">
        <v>108</v>
      </c>
      <c r="B109" s="2" t="s">
        <v>217</v>
      </c>
      <c r="C109" s="3">
        <v>0.83750000000000002</v>
      </c>
      <c r="D109" s="2" t="s">
        <v>216</v>
      </c>
      <c r="E109" s="3">
        <v>103.5</v>
      </c>
      <c r="F109" s="3">
        <v>103.5</v>
      </c>
      <c r="G109" s="3">
        <v>103.5</v>
      </c>
      <c r="H109">
        <f>_xlfn.XLOOKUP(B109,'28'!$A:$A,'28'!$G:$G,"pipino il breve")</f>
        <v>103.55</v>
      </c>
      <c r="I109">
        <f>_xlfn.XLOOKUP(B109,'29'!$A:$A,'29'!$G:$G,"pipino il breve")</f>
        <v>103.5</v>
      </c>
      <c r="J109" s="11">
        <f>_xlfn.XLOOKUP(B109,'30'!$A:$A,'30'!$G:$G,"pipino il breve")</f>
        <v>103.83</v>
      </c>
      <c r="K109" s="3">
        <f>_xlfn.XLOOKUP(B109,'30'!$A:$A,'30'!$G:$G,"pipino il breve")</f>
        <v>103.83</v>
      </c>
      <c r="L109">
        <f>_xlfn.XLOOKUP(B109,'2'!$A:$A,'2'!$G:$G,"pipino il breve")</f>
        <v>103.65</v>
      </c>
      <c r="M109">
        <f>_xlfn.XLOOKUP(B109,'2'!$A:$A,'2'!$G:$G,"pipino il breve")</f>
        <v>103.65</v>
      </c>
      <c r="N109">
        <f>_xlfn.XLOOKUP(B109,'2'!$A:$A,'2'!$G:$G,"pipino il breve")</f>
        <v>103.65</v>
      </c>
      <c r="O109">
        <f>_xlfn.XLOOKUP(B109,'5'!$A:$A,'5'!$G:$G,"pipino il breve")</f>
        <v>103.58</v>
      </c>
      <c r="P109">
        <f>_xlfn.XLOOKUP(B109,'6'!$A:$A,'6'!$G:$G,"pipino il breve")</f>
        <v>103.68</v>
      </c>
      <c r="Q109">
        <f>_xlfn.XLOOKUP(B109,'7'!$A:$A,'7'!$G:$G,"pipino il breve")</f>
        <v>103.87</v>
      </c>
      <c r="R109">
        <f>_xlfn.XLOOKUP(B109,'8'!$A:$A,'8'!$G:$G,"pipino il breve")</f>
        <v>103.78</v>
      </c>
      <c r="S109">
        <f>_xlfn.XLOOKUP(B109,'9'!$A:$A,'9'!$G:$G,"pipino il breve")</f>
        <v>103.59</v>
      </c>
      <c r="T109">
        <f>_xlfn.XLOOKUP(B109,'9'!$A:$A,'9'!$G:$G,"pipino il breve")</f>
        <v>103.59</v>
      </c>
      <c r="U109">
        <f>_xlfn.XLOOKUP(B109,'9'!$A:$A,'9'!$G:$G,"pipino il breve")</f>
        <v>103.59</v>
      </c>
      <c r="V109">
        <f>_xlfn.XLOOKUP(B109,'12'!$A:$A,'12'!$G:$G,"pipino il breve")</f>
        <v>103.33</v>
      </c>
      <c r="W109">
        <f>_xlfn.XLOOKUP(B109,'13'!$A:$A,'13'!$G:$G,"pipino il breve")</f>
        <v>103.14</v>
      </c>
      <c r="X109">
        <f>_xlfn.XLOOKUP(B109,'14'!$A:$A,'14'!$G:$G,"pipino il breve")</f>
        <v>103.13</v>
      </c>
      <c r="Y109">
        <f>_xlfn.XLOOKUP(B109,'15'!$A:$A,'15'!$G:$G,"pipino il breve")</f>
        <v>103.26</v>
      </c>
      <c r="Z109">
        <f>_xlfn.XLOOKUP(B109,'16'!$A:$A,'16'!$G:$G,"pipino il breve")</f>
        <v>103.57</v>
      </c>
      <c r="AA109">
        <f>_xlfn.XLOOKUP(B109,'16'!$A:$A,'16'!$G:$G,"pipino il breve")</f>
        <v>103.57</v>
      </c>
      <c r="AB109">
        <f>_xlfn.XLOOKUP(B109,'16'!$A:$A,'16'!$G:$G,"pipino il breve")</f>
        <v>103.57</v>
      </c>
      <c r="AC109">
        <f>_xlfn.XLOOKUP(B109,'19'!$A:$A,'19'!$G:$G,"pipino il breve")</f>
        <v>103.35</v>
      </c>
      <c r="AD109">
        <f>_xlfn.XLOOKUP(B109,'20'!$A:$A,'20'!$G:$G,"pipino il breve")</f>
        <v>103.48</v>
      </c>
      <c r="AE109">
        <f>_xlfn.XLOOKUP(B109,'21'!$A:$A,'21'!$G:$G,"pipino il breve")</f>
        <v>103.38</v>
      </c>
      <c r="AF109">
        <f>_xlfn.XLOOKUP(B109,'22'!$A:$A,'22'!$G:$G,"pipino il breve")</f>
        <v>103.35</v>
      </c>
      <c r="AG109">
        <f>_xlfn.XLOOKUP(B109,'23'!$A:$A,'23'!$G:$G,"pipino il breve")</f>
        <v>103.51</v>
      </c>
      <c r="AH109">
        <f>_xlfn.XLOOKUP(B109,'23'!$A:$A,'23'!$G:$G,"pipino il breve")</f>
        <v>103.51</v>
      </c>
      <c r="AI109">
        <f>_xlfn.XLOOKUP(B109,'23'!$A:$A,'23'!$G:$G,"pipino il breve")</f>
        <v>103.51</v>
      </c>
      <c r="AJ109">
        <f>_xlfn.XLOOKUP(B109,'26'!$A:$A,'26'!$G:$G,"pipino il breve")</f>
        <v>103.55</v>
      </c>
      <c r="AK109">
        <f>_xlfn.XLOOKUP(B109,'27'!$A:$A,'27'!$G:$G,"pipino il breve")</f>
        <v>103.62</v>
      </c>
    </row>
    <row r="110" spans="1:37" x14ac:dyDescent="0.2">
      <c r="A110">
        <v>109</v>
      </c>
      <c r="B110" s="2" t="s">
        <v>218</v>
      </c>
      <c r="C110" s="3">
        <v>1.2749999999999999</v>
      </c>
      <c r="D110" s="2" t="s">
        <v>219</v>
      </c>
      <c r="E110" s="3">
        <v>101.64</v>
      </c>
      <c r="F110" s="3">
        <v>101.64</v>
      </c>
      <c r="G110" s="3">
        <v>101.64</v>
      </c>
      <c r="H110">
        <f>_xlfn.XLOOKUP(B110,'28'!$A:$A,'28'!$G:$G,"pipino il breve")</f>
        <v>100.85</v>
      </c>
      <c r="I110">
        <f>_xlfn.XLOOKUP(B110,'29'!$A:$A,'29'!$G:$G,"pipino il breve")</f>
        <v>100.2</v>
      </c>
      <c r="J110" s="11">
        <f>_xlfn.XLOOKUP(B110,'30'!$A:$A,'30'!$G:$G,"pipino il breve")</f>
        <v>100.86</v>
      </c>
      <c r="K110" s="3">
        <f>_xlfn.XLOOKUP(B110,'30'!$A:$A,'30'!$G:$G,"pipino il breve")</f>
        <v>100.86</v>
      </c>
      <c r="L110">
        <f>_xlfn.XLOOKUP(B110,'2'!$A:$A,'2'!$G:$G,"pipino il breve")</f>
        <v>100.6</v>
      </c>
      <c r="M110">
        <f>_xlfn.XLOOKUP(B110,'2'!$A:$A,'2'!$G:$G,"pipino il breve")</f>
        <v>100.6</v>
      </c>
      <c r="N110">
        <f>_xlfn.XLOOKUP(B110,'2'!$A:$A,'2'!$G:$G,"pipino il breve")</f>
        <v>100.6</v>
      </c>
      <c r="O110">
        <f>_xlfn.XLOOKUP(B110,'5'!$A:$A,'5'!$G:$G,"pipino il breve")</f>
        <v>100.43</v>
      </c>
      <c r="P110">
        <f>_xlfn.XLOOKUP(B110,'6'!$A:$A,'6'!$G:$G,"pipino il breve")</f>
        <v>99.85</v>
      </c>
      <c r="Q110">
        <f>_xlfn.XLOOKUP(B110,'7'!$A:$A,'7'!$G:$G,"pipino il breve")</f>
        <v>101.5</v>
      </c>
      <c r="R110">
        <f>_xlfn.XLOOKUP(B110,'8'!$A:$A,'8'!$G:$G,"pipino il breve")</f>
        <v>101.45</v>
      </c>
      <c r="S110">
        <f>_xlfn.XLOOKUP(B110,'9'!$A:$A,'9'!$G:$G,"pipino il breve")</f>
        <v>100.75</v>
      </c>
      <c r="T110">
        <f>_xlfn.XLOOKUP(B110,'9'!$A:$A,'9'!$G:$G,"pipino il breve")</f>
        <v>100.75</v>
      </c>
      <c r="U110">
        <f>_xlfn.XLOOKUP(B110,'9'!$A:$A,'9'!$G:$G,"pipino il breve")</f>
        <v>100.75</v>
      </c>
      <c r="V110">
        <f>_xlfn.XLOOKUP(B110,'12'!$A:$A,'12'!$G:$G,"pipino il breve")</f>
        <v>100.94</v>
      </c>
      <c r="W110">
        <f>_xlfn.XLOOKUP(B110,'13'!$A:$A,'13'!$G:$G,"pipino il breve")</f>
        <v>100.55</v>
      </c>
      <c r="X110">
        <f>_xlfn.XLOOKUP(B110,'14'!$A:$A,'14'!$G:$G,"pipino il breve")</f>
        <v>100.69</v>
      </c>
      <c r="Y110">
        <f>_xlfn.XLOOKUP(B110,'15'!$A:$A,'15'!$G:$G,"pipino il breve")</f>
        <v>101.33</v>
      </c>
      <c r="Z110">
        <f>_xlfn.XLOOKUP(B110,'16'!$A:$A,'16'!$G:$G,"pipino il breve")</f>
        <v>102.32</v>
      </c>
      <c r="AA110">
        <f>_xlfn.XLOOKUP(B110,'16'!$A:$A,'16'!$G:$G,"pipino il breve")</f>
        <v>102.32</v>
      </c>
      <c r="AB110">
        <f>_xlfn.XLOOKUP(B110,'16'!$A:$A,'16'!$G:$G,"pipino il breve")</f>
        <v>102.32</v>
      </c>
      <c r="AC110">
        <f>_xlfn.XLOOKUP(B110,'19'!$A:$A,'19'!$G:$G,"pipino il breve")</f>
        <v>102.1</v>
      </c>
      <c r="AD110">
        <f>_xlfn.XLOOKUP(B110,'20'!$A:$A,'20'!$G:$G,"pipino il breve")</f>
        <v>100.85</v>
      </c>
      <c r="AE110">
        <f>_xlfn.XLOOKUP(B110,'21'!$A:$A,'21'!$G:$G,"pipino il breve")</f>
        <v>100.68</v>
      </c>
      <c r="AF110">
        <f>_xlfn.XLOOKUP(B110,'22'!$A:$A,'22'!$G:$G,"pipino il breve")</f>
        <v>99.63</v>
      </c>
      <c r="AG110">
        <f>_xlfn.XLOOKUP(B110,'23'!$A:$A,'23'!$G:$G,"pipino il breve")</f>
        <v>99.93</v>
      </c>
      <c r="AH110">
        <f>_xlfn.XLOOKUP(B110,'23'!$A:$A,'23'!$G:$G,"pipino il breve")</f>
        <v>99.93</v>
      </c>
      <c r="AI110">
        <f>_xlfn.XLOOKUP(B110,'23'!$A:$A,'23'!$G:$G,"pipino il breve")</f>
        <v>99.93</v>
      </c>
      <c r="AJ110">
        <f>_xlfn.XLOOKUP(B110,'26'!$A:$A,'26'!$G:$G,"pipino il breve")</f>
        <v>100.72</v>
      </c>
      <c r="AK110">
        <f>_xlfn.XLOOKUP(B110,'27'!$A:$A,'27'!$G:$G,"pipino il breve")</f>
        <v>101.55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C4CD-B364-834A-AC19-35EFF3455165}">
  <dimension ref="A1:E110"/>
  <sheetViews>
    <sheetView zoomScale="107" workbookViewId="0">
      <selection activeCell="B114" sqref="B114"/>
    </sheetView>
  </sheetViews>
  <sheetFormatPr baseColWidth="10" defaultRowHeight="16" x14ac:dyDescent="0.2"/>
  <cols>
    <col min="1" max="1" width="6.83203125" customWidth="1"/>
    <col min="2" max="2" width="13.33203125" bestFit="1" customWidth="1"/>
    <col min="3" max="3" width="8.6640625" bestFit="1" customWidth="1"/>
    <col min="4" max="4" width="10.5" bestFit="1" customWidth="1"/>
  </cols>
  <sheetData>
    <row r="1" spans="1:5" ht="19" x14ac:dyDescent="0.25">
      <c r="A1" s="1" t="s">
        <v>105</v>
      </c>
      <c r="B1" s="1" t="s">
        <v>102</v>
      </c>
      <c r="C1" s="1" t="s">
        <v>103</v>
      </c>
      <c r="D1" s="1" t="s">
        <v>104</v>
      </c>
      <c r="E1" s="12">
        <v>45797</v>
      </c>
    </row>
    <row r="2" spans="1:5" x14ac:dyDescent="0.2">
      <c r="A2">
        <v>1</v>
      </c>
      <c r="B2" s="2" t="s">
        <v>4</v>
      </c>
      <c r="C2" s="3">
        <v>2.875</v>
      </c>
      <c r="D2" s="2" t="s">
        <v>106</v>
      </c>
      <c r="E2">
        <f>_xlfn.XLOOKUP(B2,'20'!$A:$A,'20'!$G:$G,"pipino il breve")</f>
        <v>117.17</v>
      </c>
    </row>
    <row r="3" spans="1:5" x14ac:dyDescent="0.2">
      <c r="A3">
        <v>2</v>
      </c>
      <c r="B3" s="2" t="s">
        <v>23</v>
      </c>
      <c r="C3" s="3">
        <v>1.1000000000000001</v>
      </c>
      <c r="D3" s="2" t="s">
        <v>107</v>
      </c>
      <c r="E3">
        <f>_xlfn.XLOOKUP(B3,'20'!$A:$A,'20'!$G:$G,"pipino il breve")</f>
        <v>100.41</v>
      </c>
    </row>
    <row r="4" spans="1:5" x14ac:dyDescent="0.2">
      <c r="A4">
        <v>3</v>
      </c>
      <c r="B4" s="2" t="s">
        <v>27</v>
      </c>
      <c r="C4" s="3">
        <v>1</v>
      </c>
      <c r="D4" s="2" t="s">
        <v>108</v>
      </c>
      <c r="E4">
        <f>_xlfn.XLOOKUP(B4,'20'!$A:$A,'20'!$G:$G,"pipino il breve")</f>
        <v>99.71</v>
      </c>
    </row>
    <row r="5" spans="1:5" x14ac:dyDescent="0.2">
      <c r="A5">
        <v>4</v>
      </c>
      <c r="B5" s="2" t="s">
        <v>32</v>
      </c>
      <c r="C5" s="3">
        <v>1.5</v>
      </c>
      <c r="D5" s="2" t="s">
        <v>109</v>
      </c>
      <c r="E5">
        <f>_xlfn.XLOOKUP(B5,'20'!$A:$A,'20'!$G:$G,"pipino il breve")</f>
        <v>102.11</v>
      </c>
    </row>
    <row r="6" spans="1:5" x14ac:dyDescent="0.2">
      <c r="A6">
        <v>5</v>
      </c>
      <c r="B6" s="2" t="s">
        <v>83</v>
      </c>
      <c r="C6" s="3">
        <v>2.0750000000000002</v>
      </c>
      <c r="D6" s="2" t="s">
        <v>110</v>
      </c>
      <c r="E6">
        <f>_xlfn.XLOOKUP(B6,'20'!$A:$A,'20'!$G:$G,"pipino il breve")</f>
        <v>102.12</v>
      </c>
    </row>
    <row r="7" spans="1:5" x14ac:dyDescent="0.2">
      <c r="A7">
        <v>6</v>
      </c>
      <c r="B7" s="2" t="s">
        <v>49</v>
      </c>
      <c r="C7" s="3">
        <v>0.3</v>
      </c>
      <c r="D7" s="2" t="s">
        <v>111</v>
      </c>
      <c r="E7">
        <f>_xlfn.XLOOKUP(B7,'20'!$A:$A,'20'!$G:$G,"pipino il breve")</f>
        <v>86.97</v>
      </c>
    </row>
    <row r="8" spans="1:5" x14ac:dyDescent="0.2">
      <c r="A8">
        <v>7</v>
      </c>
      <c r="B8" s="2" t="s">
        <v>11</v>
      </c>
      <c r="C8" s="3">
        <v>2.375</v>
      </c>
      <c r="D8" s="2" t="s">
        <v>112</v>
      </c>
      <c r="E8">
        <f>_xlfn.XLOOKUP(B8,'20'!$A:$A,'20'!$G:$G,"pipino il breve")</f>
        <v>108.17</v>
      </c>
    </row>
    <row r="9" spans="1:5" x14ac:dyDescent="0.2">
      <c r="A9">
        <v>8</v>
      </c>
      <c r="B9" s="2" t="s">
        <v>12</v>
      </c>
      <c r="C9" s="3">
        <v>1.75</v>
      </c>
      <c r="D9" s="2" t="s">
        <v>113</v>
      </c>
      <c r="E9">
        <f>_xlfn.XLOOKUP(B9,'20'!$A:$A,'20'!$G:$G,"pipino il breve")</f>
        <v>104.21</v>
      </c>
    </row>
    <row r="10" spans="1:5" x14ac:dyDescent="0.2">
      <c r="A10">
        <v>9</v>
      </c>
      <c r="B10" s="2" t="s">
        <v>15</v>
      </c>
      <c r="C10" s="3">
        <v>0.82499999999999996</v>
      </c>
      <c r="D10" s="2" t="s">
        <v>114</v>
      </c>
      <c r="E10">
        <f>_xlfn.XLOOKUP(B10,'20'!$A:$A,'20'!$G:$G,"pipino il breve")</f>
        <v>91.72</v>
      </c>
    </row>
    <row r="11" spans="1:5" x14ac:dyDescent="0.2">
      <c r="A11">
        <v>10</v>
      </c>
      <c r="B11" s="2" t="s">
        <v>18</v>
      </c>
      <c r="C11" s="3">
        <v>0.8</v>
      </c>
      <c r="D11" s="2" t="s">
        <v>115</v>
      </c>
      <c r="E11">
        <f>_xlfn.XLOOKUP(B11,'20'!$A:$A,'20'!$G:$G,"pipino il breve")</f>
        <v>99.68</v>
      </c>
    </row>
    <row r="12" spans="1:5" x14ac:dyDescent="0.2">
      <c r="A12">
        <v>11</v>
      </c>
      <c r="B12" s="2" t="s">
        <v>19</v>
      </c>
      <c r="C12" s="3">
        <v>1.125</v>
      </c>
      <c r="D12" s="2" t="s">
        <v>116</v>
      </c>
      <c r="E12">
        <f>_xlfn.XLOOKUP(B12,'20'!$A:$A,'20'!$G:$G,"pipino il breve")</f>
        <v>87.27</v>
      </c>
    </row>
    <row r="13" spans="1:5" x14ac:dyDescent="0.2">
      <c r="A13">
        <v>12</v>
      </c>
      <c r="B13" s="2" t="s">
        <v>24</v>
      </c>
      <c r="C13" s="3">
        <v>1.7250000000000001</v>
      </c>
      <c r="D13" s="2" t="s">
        <v>117</v>
      </c>
      <c r="E13">
        <f>_xlfn.XLOOKUP(B13,'20'!$A:$A,'20'!$G:$G,"pipino il breve")</f>
        <v>89.02</v>
      </c>
    </row>
    <row r="14" spans="1:5" x14ac:dyDescent="0.2">
      <c r="A14">
        <v>13</v>
      </c>
      <c r="B14" s="2" t="s">
        <v>34</v>
      </c>
      <c r="C14" s="3">
        <v>1.55</v>
      </c>
      <c r="D14" s="2" t="s">
        <v>118</v>
      </c>
      <c r="E14">
        <f>_xlfn.XLOOKUP(B14,'20'!$A:$A,'20'!$G:$G,"pipino il breve")</f>
        <v>90.7</v>
      </c>
    </row>
    <row r="15" spans="1:5" x14ac:dyDescent="0.2">
      <c r="A15">
        <v>14</v>
      </c>
      <c r="B15" s="2" t="s">
        <v>50</v>
      </c>
      <c r="C15" s="3">
        <v>0</v>
      </c>
      <c r="D15" s="2" t="s">
        <v>119</v>
      </c>
      <c r="E15">
        <f>_xlfn.XLOOKUP(B15,'20'!$A:$A,'20'!$G:$G,"pipino il breve")</f>
        <v>98.343999999999994</v>
      </c>
    </row>
    <row r="16" spans="1:5" x14ac:dyDescent="0.2">
      <c r="A16">
        <v>15</v>
      </c>
      <c r="B16" s="2" t="s">
        <v>51</v>
      </c>
      <c r="C16" s="3">
        <v>1.075</v>
      </c>
      <c r="D16" s="2" t="s">
        <v>120</v>
      </c>
      <c r="E16">
        <f>_xlfn.XLOOKUP(B16,'20'!$A:$A,'20'!$G:$G,"pipino il breve")</f>
        <v>59.1</v>
      </c>
    </row>
    <row r="17" spans="1:5" x14ac:dyDescent="0.2">
      <c r="A17">
        <v>16</v>
      </c>
      <c r="B17" s="2" t="s">
        <v>62</v>
      </c>
      <c r="C17" s="3">
        <v>1.625</v>
      </c>
      <c r="D17" s="2" t="s">
        <v>121</v>
      </c>
      <c r="E17">
        <f>_xlfn.XLOOKUP(B17,'20'!$A:$A,'20'!$G:$G,"pipino il breve")</f>
        <v>94.3</v>
      </c>
    </row>
    <row r="18" spans="1:5" x14ac:dyDescent="0.2">
      <c r="A18">
        <v>17</v>
      </c>
      <c r="B18" s="2" t="s">
        <v>58</v>
      </c>
      <c r="C18" s="3">
        <v>0.55000000000000004</v>
      </c>
      <c r="D18" s="2" t="s">
        <v>122</v>
      </c>
      <c r="E18">
        <f>_xlfn.XLOOKUP(B18,'20'!$A:$A,'20'!$G:$G,"pipino il breve")</f>
        <v>98.38</v>
      </c>
    </row>
    <row r="19" spans="1:5" x14ac:dyDescent="0.2">
      <c r="A19">
        <v>18</v>
      </c>
      <c r="B19" s="2" t="s">
        <v>86</v>
      </c>
      <c r="C19" s="3">
        <v>1.675</v>
      </c>
      <c r="D19" s="2" t="s">
        <v>123</v>
      </c>
      <c r="E19">
        <f>_xlfn.XLOOKUP(B19,'20'!$A:$A,'20'!$G:$G,"pipino il breve")</f>
        <v>103.2</v>
      </c>
    </row>
    <row r="20" spans="1:5" x14ac:dyDescent="0.2">
      <c r="A20">
        <v>19</v>
      </c>
      <c r="B20" s="2" t="s">
        <v>87</v>
      </c>
      <c r="C20" s="3">
        <v>1.925</v>
      </c>
      <c r="D20" s="2" t="s">
        <v>124</v>
      </c>
      <c r="E20">
        <f>_xlfn.XLOOKUP(B20,'20'!$A:$A,'20'!$G:$G,"pipino il breve")</f>
        <v>103.26</v>
      </c>
    </row>
    <row r="21" spans="1:5" x14ac:dyDescent="0.2">
      <c r="A21">
        <v>20</v>
      </c>
      <c r="B21" s="2" t="s">
        <v>41</v>
      </c>
      <c r="C21" s="3">
        <v>0.82499999999999996</v>
      </c>
      <c r="D21" s="2" t="s">
        <v>125</v>
      </c>
      <c r="E21">
        <f>_xlfn.XLOOKUP(B21,'20'!$A:$A,'20'!$G:$G,"pipino il breve")</f>
        <v>94.25</v>
      </c>
    </row>
    <row r="22" spans="1:5" x14ac:dyDescent="0.2">
      <c r="A22">
        <v>21</v>
      </c>
      <c r="B22" s="2" t="s">
        <v>53</v>
      </c>
      <c r="C22" s="3">
        <v>0.47499999999999998</v>
      </c>
      <c r="D22" s="2" t="s">
        <v>126</v>
      </c>
      <c r="E22">
        <f>_xlfn.XLOOKUP(B22,'20'!$A:$A,'20'!$G:$G,"pipino il breve")</f>
        <v>88.09</v>
      </c>
    </row>
    <row r="23" spans="1:5" x14ac:dyDescent="0.2">
      <c r="A23">
        <v>22</v>
      </c>
      <c r="B23" s="2" t="s">
        <v>74</v>
      </c>
      <c r="C23" s="3">
        <v>1.9</v>
      </c>
      <c r="D23" s="2" t="s">
        <v>127</v>
      </c>
      <c r="E23">
        <f>_xlfn.XLOOKUP(B23,'20'!$A:$A,'20'!$G:$G,"pipino il breve")</f>
        <v>104.6</v>
      </c>
    </row>
    <row r="24" spans="1:5" x14ac:dyDescent="0.2">
      <c r="A24">
        <v>23</v>
      </c>
      <c r="B24" s="2" t="s">
        <v>5</v>
      </c>
      <c r="C24" s="3">
        <v>2.5</v>
      </c>
      <c r="D24" s="2" t="s">
        <v>128</v>
      </c>
      <c r="E24">
        <f>_xlfn.XLOOKUP(B24,'20'!$A:$A,'20'!$G:$G,"pipino il breve")</f>
        <v>112.53</v>
      </c>
    </row>
    <row r="25" spans="1:5" x14ac:dyDescent="0.2">
      <c r="A25">
        <v>24</v>
      </c>
      <c r="B25" s="2" t="s">
        <v>6</v>
      </c>
      <c r="C25" s="3">
        <v>2</v>
      </c>
      <c r="D25" s="2" t="s">
        <v>129</v>
      </c>
      <c r="E25">
        <f>_xlfn.XLOOKUP(B25,'20'!$A:$A,'20'!$G:$G,"pipino il breve")</f>
        <v>103.34</v>
      </c>
    </row>
    <row r="26" spans="1:5" x14ac:dyDescent="0.2">
      <c r="A26">
        <v>25</v>
      </c>
      <c r="B26" s="2" t="s">
        <v>7</v>
      </c>
      <c r="C26" s="3">
        <v>2.5</v>
      </c>
      <c r="D26" s="2" t="s">
        <v>130</v>
      </c>
      <c r="E26">
        <f>_xlfn.XLOOKUP(B26,'20'!$A:$A,'20'!$G:$G,"pipino il breve")</f>
        <v>111.88</v>
      </c>
    </row>
    <row r="27" spans="1:5" x14ac:dyDescent="0.2">
      <c r="A27">
        <v>26</v>
      </c>
      <c r="B27" s="2" t="s">
        <v>20</v>
      </c>
      <c r="C27" s="3">
        <v>0.625</v>
      </c>
      <c r="D27" s="2" t="s">
        <v>131</v>
      </c>
      <c r="E27">
        <f>_xlfn.XLOOKUP(B27,'20'!$A:$A,'20'!$G:$G,"pipino il breve")</f>
        <v>99.01</v>
      </c>
    </row>
    <row r="28" spans="1:5" x14ac:dyDescent="0.2">
      <c r="A28">
        <v>27</v>
      </c>
      <c r="B28" s="2" t="s">
        <v>28</v>
      </c>
      <c r="C28" s="3">
        <v>1.4</v>
      </c>
      <c r="D28" s="2" t="s">
        <v>132</v>
      </c>
      <c r="E28">
        <f>_xlfn.XLOOKUP(B28,'20'!$A:$A,'20'!$G:$G,"pipino il breve")</f>
        <v>101.73</v>
      </c>
    </row>
    <row r="29" spans="1:5" x14ac:dyDescent="0.2">
      <c r="A29">
        <v>28</v>
      </c>
      <c r="B29" s="2" t="s">
        <v>43</v>
      </c>
      <c r="C29" s="3">
        <v>0.25</v>
      </c>
      <c r="D29" s="2" t="s">
        <v>133</v>
      </c>
      <c r="E29">
        <f>_xlfn.XLOOKUP(B29,'20'!$A:$A,'20'!$G:$G,"pipino il breve")</f>
        <v>99.02</v>
      </c>
    </row>
    <row r="30" spans="1:5" x14ac:dyDescent="0.2">
      <c r="A30">
        <v>29</v>
      </c>
      <c r="B30" s="2" t="s">
        <v>54</v>
      </c>
      <c r="C30" s="3">
        <v>0</v>
      </c>
      <c r="D30" s="2" t="s">
        <v>134</v>
      </c>
      <c r="E30">
        <f>_xlfn.XLOOKUP(B30,'20'!$A:$A,'20'!$G:$G,"pipino il breve")</f>
        <v>97.79</v>
      </c>
    </row>
    <row r="31" spans="1:5" x14ac:dyDescent="0.2">
      <c r="A31">
        <v>30</v>
      </c>
      <c r="B31" s="2" t="s">
        <v>92</v>
      </c>
      <c r="C31" s="3">
        <v>1.925</v>
      </c>
      <c r="D31" s="2" t="s">
        <v>135</v>
      </c>
      <c r="E31">
        <f>_xlfn.XLOOKUP(B31,'20'!$A:$A,'20'!$G:$G,"pipino il breve")</f>
        <v>102.7</v>
      </c>
    </row>
    <row r="32" spans="1:5" x14ac:dyDescent="0.2">
      <c r="A32">
        <v>31</v>
      </c>
      <c r="B32" s="2" t="s">
        <v>8</v>
      </c>
      <c r="C32" s="3">
        <v>2.5</v>
      </c>
      <c r="D32" s="2" t="s">
        <v>136</v>
      </c>
      <c r="E32">
        <f>_xlfn.XLOOKUP(B32,'20'!$A:$A,'20'!$G:$G,"pipino il breve")</f>
        <v>111.59</v>
      </c>
    </row>
    <row r="33" spans="1:5" x14ac:dyDescent="0.2">
      <c r="A33">
        <v>32</v>
      </c>
      <c r="B33" s="2" t="s">
        <v>9</v>
      </c>
      <c r="C33" s="3">
        <v>2.25</v>
      </c>
      <c r="D33" s="2" t="s">
        <v>137</v>
      </c>
      <c r="E33">
        <f>_xlfn.XLOOKUP(B33,'20'!$A:$A,'20'!$G:$G,"pipino il breve")</f>
        <v>101.9</v>
      </c>
    </row>
    <row r="34" spans="1:5" x14ac:dyDescent="0.2">
      <c r="A34">
        <v>33</v>
      </c>
      <c r="B34" s="2" t="s">
        <v>13</v>
      </c>
      <c r="C34" s="3">
        <v>1.625</v>
      </c>
      <c r="D34" s="2" t="s">
        <v>138</v>
      </c>
      <c r="E34">
        <f>_xlfn.XLOOKUP(B34,'20'!$A:$A,'20'!$G:$G,"pipino il breve")</f>
        <v>86.99</v>
      </c>
    </row>
    <row r="35" spans="1:5" x14ac:dyDescent="0.2">
      <c r="A35">
        <v>34</v>
      </c>
      <c r="B35" s="2" t="s">
        <v>16</v>
      </c>
      <c r="C35" s="3">
        <v>1</v>
      </c>
      <c r="D35" s="2" t="s">
        <v>139</v>
      </c>
      <c r="E35">
        <f>_xlfn.XLOOKUP(B35,'20'!$A:$A,'20'!$G:$G,"pipino il breve")</f>
        <v>100.05</v>
      </c>
    </row>
    <row r="36" spans="1:5" x14ac:dyDescent="0.2">
      <c r="A36">
        <v>35</v>
      </c>
      <c r="B36" s="2" t="s">
        <v>21</v>
      </c>
      <c r="C36" s="3">
        <v>1.4</v>
      </c>
      <c r="D36" s="2" t="s">
        <v>140</v>
      </c>
      <c r="E36">
        <f>_xlfn.XLOOKUP(B36,'20'!$A:$A,'20'!$G:$G,"pipino il breve")</f>
        <v>70.62</v>
      </c>
    </row>
    <row r="37" spans="1:5" x14ac:dyDescent="0.2">
      <c r="A37">
        <v>36</v>
      </c>
      <c r="B37" s="2" t="s">
        <v>22</v>
      </c>
      <c r="C37" s="3">
        <v>1.2250000000000001</v>
      </c>
      <c r="D37" s="2" t="s">
        <v>141</v>
      </c>
      <c r="E37">
        <f>_xlfn.XLOOKUP(B37,'20'!$A:$A,'20'!$G:$G,"pipino il breve")</f>
        <v>94.19</v>
      </c>
    </row>
    <row r="38" spans="1:5" x14ac:dyDescent="0.2">
      <c r="A38">
        <v>37</v>
      </c>
      <c r="B38" s="2" t="s">
        <v>26</v>
      </c>
      <c r="C38" s="3">
        <v>1.4750000000000001</v>
      </c>
      <c r="D38" s="2" t="s">
        <v>142</v>
      </c>
      <c r="E38">
        <f>_xlfn.XLOOKUP(B38,'20'!$A:$A,'20'!$G:$G,"pipino il breve")</f>
        <v>90.95</v>
      </c>
    </row>
    <row r="39" spans="1:5" x14ac:dyDescent="0.2">
      <c r="A39">
        <v>38</v>
      </c>
      <c r="B39" s="2" t="s">
        <v>30</v>
      </c>
      <c r="C39" s="3">
        <v>1.675</v>
      </c>
      <c r="D39" s="2" t="s">
        <v>143</v>
      </c>
      <c r="E39">
        <f>_xlfn.XLOOKUP(B39,'20'!$A:$A,'20'!$G:$G,"pipino il breve")</f>
        <v>99</v>
      </c>
    </row>
    <row r="40" spans="1:5" x14ac:dyDescent="0.2">
      <c r="A40">
        <v>39</v>
      </c>
      <c r="B40" s="2" t="s">
        <v>31</v>
      </c>
      <c r="C40" s="3">
        <v>1.925</v>
      </c>
      <c r="D40" s="2" t="s">
        <v>144</v>
      </c>
      <c r="E40">
        <f>_xlfn.XLOOKUP(B40,'20'!$A:$A,'20'!$G:$G,"pipino il breve")</f>
        <v>94.12</v>
      </c>
    </row>
    <row r="41" spans="1:5" x14ac:dyDescent="0.2">
      <c r="A41">
        <v>40</v>
      </c>
      <c r="B41" s="2" t="s">
        <v>35</v>
      </c>
      <c r="C41" s="3">
        <v>0.67500000000000004</v>
      </c>
      <c r="D41" s="2" t="s">
        <v>145</v>
      </c>
      <c r="E41">
        <f>_xlfn.XLOOKUP(B41,'20'!$A:$A,'20'!$G:$G,"pipino il breve")</f>
        <v>94.23</v>
      </c>
    </row>
    <row r="42" spans="1:5" x14ac:dyDescent="0.2">
      <c r="A42">
        <v>41</v>
      </c>
      <c r="B42" s="2" t="s">
        <v>37</v>
      </c>
      <c r="C42" s="3">
        <v>1.2250000000000001</v>
      </c>
      <c r="D42" s="2" t="s">
        <v>146</v>
      </c>
      <c r="E42">
        <f>_xlfn.XLOOKUP(B42,'20'!$A:$A,'20'!$G:$G,"pipino il breve")</f>
        <v>72.39</v>
      </c>
    </row>
    <row r="43" spans="1:5" x14ac:dyDescent="0.2">
      <c r="A43">
        <v>42</v>
      </c>
      <c r="B43" s="2" t="s">
        <v>46</v>
      </c>
      <c r="C43" s="3">
        <v>0.85</v>
      </c>
      <c r="D43" s="2" t="s">
        <v>147</v>
      </c>
      <c r="E43">
        <f>_xlfn.XLOOKUP(B43,'20'!$A:$A,'20'!$G:$G,"pipino il breve")</f>
        <v>60.78</v>
      </c>
    </row>
    <row r="44" spans="1:5" x14ac:dyDescent="0.2">
      <c r="A44">
        <v>43</v>
      </c>
      <c r="B44" s="2" t="s">
        <v>68</v>
      </c>
      <c r="C44" s="3">
        <v>2.2250000000000001</v>
      </c>
      <c r="D44" s="2" t="s">
        <v>148</v>
      </c>
      <c r="E44">
        <f>_xlfn.XLOOKUP(B44,'20'!$A:$A,'20'!$G:$G,"pipino il breve")</f>
        <v>103.99</v>
      </c>
    </row>
    <row r="45" spans="1:5" x14ac:dyDescent="0.2">
      <c r="A45">
        <v>44</v>
      </c>
      <c r="B45" s="2" t="s">
        <v>77</v>
      </c>
      <c r="C45" s="3">
        <v>2.1</v>
      </c>
      <c r="D45" s="2" t="s">
        <v>149</v>
      </c>
      <c r="E45">
        <f>_xlfn.XLOOKUP(B45,'20'!$A:$A,'20'!$G:$G,"pipino il breve")</f>
        <v>106.31</v>
      </c>
    </row>
    <row r="46" spans="1:5" x14ac:dyDescent="0.2">
      <c r="A46">
        <v>45</v>
      </c>
      <c r="B46" s="2" t="s">
        <v>45</v>
      </c>
      <c r="C46" s="3">
        <v>0.45</v>
      </c>
      <c r="D46" s="2" t="s">
        <v>150</v>
      </c>
      <c r="E46">
        <f>_xlfn.XLOOKUP(B46,'20'!$A:$A,'20'!$G:$G,"pipino il breve")</f>
        <v>89.46</v>
      </c>
    </row>
    <row r="47" spans="1:5" x14ac:dyDescent="0.2">
      <c r="A47">
        <v>46</v>
      </c>
      <c r="B47" s="2" t="s">
        <v>55</v>
      </c>
      <c r="C47" s="3">
        <v>0.47499999999999998</v>
      </c>
      <c r="D47" s="2" t="s">
        <v>151</v>
      </c>
      <c r="E47">
        <f>_xlfn.XLOOKUP(B47,'20'!$A:$A,'20'!$G:$G,"pipino il breve")</f>
        <v>86.73</v>
      </c>
    </row>
    <row r="48" spans="1:5" x14ac:dyDescent="0.2">
      <c r="A48">
        <v>47</v>
      </c>
      <c r="B48" s="2" t="s">
        <v>65</v>
      </c>
      <c r="C48" s="3">
        <v>2.2000000000000002</v>
      </c>
      <c r="D48" s="2" t="s">
        <v>152</v>
      </c>
      <c r="E48">
        <f>_xlfn.XLOOKUP(B48,'20'!$A:$A,'20'!$G:$G,"pipino il breve")</f>
        <v>108.28</v>
      </c>
    </row>
    <row r="49" spans="1:5" x14ac:dyDescent="0.2">
      <c r="A49">
        <v>48</v>
      </c>
      <c r="B49" s="2" t="s">
        <v>0</v>
      </c>
      <c r="C49" s="3">
        <v>3.625</v>
      </c>
      <c r="D49" s="2" t="s">
        <v>153</v>
      </c>
      <c r="E49">
        <f>_xlfn.XLOOKUP(B49,'20'!$A:$A,'20'!$G:$G,"pipino il breve")</f>
        <v>107.56</v>
      </c>
    </row>
    <row r="50" spans="1:5" x14ac:dyDescent="0.2">
      <c r="A50">
        <v>49</v>
      </c>
      <c r="B50" s="2" t="s">
        <v>1</v>
      </c>
      <c r="C50" s="3">
        <v>3.25</v>
      </c>
      <c r="D50" s="2" t="s">
        <v>154</v>
      </c>
      <c r="E50">
        <f>_xlfn.XLOOKUP(B50,'20'!$A:$A,'20'!$G:$G,"pipino il breve")</f>
        <v>110.37</v>
      </c>
    </row>
    <row r="51" spans="1:5" x14ac:dyDescent="0.2">
      <c r="A51">
        <v>50</v>
      </c>
      <c r="B51" s="2" t="s">
        <v>2</v>
      </c>
      <c r="C51" s="3">
        <v>2.625</v>
      </c>
      <c r="D51" s="2" t="s">
        <v>155</v>
      </c>
      <c r="E51">
        <f>_xlfn.XLOOKUP(B51,'20'!$A:$A,'20'!$G:$G,"pipino il breve")</f>
        <v>111.54</v>
      </c>
    </row>
    <row r="52" spans="1:5" x14ac:dyDescent="0.2">
      <c r="A52">
        <v>51</v>
      </c>
      <c r="B52" s="2" t="s">
        <v>3</v>
      </c>
      <c r="C52" s="3">
        <v>3</v>
      </c>
      <c r="D52" s="2" t="s">
        <v>156</v>
      </c>
      <c r="E52">
        <f>_xlfn.XLOOKUP(B52,'20'!$A:$A,'20'!$G:$G,"pipino il breve")</f>
        <v>117.25</v>
      </c>
    </row>
    <row r="53" spans="1:5" x14ac:dyDescent="0.2">
      <c r="A53">
        <v>52</v>
      </c>
      <c r="B53" s="2" t="s">
        <v>14</v>
      </c>
      <c r="C53" s="3">
        <v>0.75</v>
      </c>
      <c r="D53" s="2" t="s">
        <v>157</v>
      </c>
      <c r="E53">
        <f>_xlfn.XLOOKUP(B53,'20'!$A:$A,'20'!$G:$G,"pipino il breve")</f>
        <v>99.974999999999994</v>
      </c>
    </row>
    <row r="54" spans="1:5" x14ac:dyDescent="0.2">
      <c r="A54">
        <v>53</v>
      </c>
      <c r="B54" s="2" t="s">
        <v>39</v>
      </c>
      <c r="C54" s="3">
        <v>0.47499999999999998</v>
      </c>
      <c r="D54" s="2" t="s">
        <v>158</v>
      </c>
      <c r="E54">
        <f>_xlfn.XLOOKUP(B54,'20'!$A:$A,'20'!$G:$G,"pipino il breve")</f>
        <v>91.53</v>
      </c>
    </row>
    <row r="55" spans="1:5" x14ac:dyDescent="0.2">
      <c r="A55">
        <v>54</v>
      </c>
      <c r="B55" s="2" t="s">
        <v>72</v>
      </c>
      <c r="C55" s="3">
        <v>2.1749999999999998</v>
      </c>
      <c r="D55" s="2" t="s">
        <v>159</v>
      </c>
      <c r="E55">
        <f>_xlfn.XLOOKUP(B55,'20'!$A:$A,'20'!$G:$G,"pipino il breve")</f>
        <v>107.52</v>
      </c>
    </row>
    <row r="56" spans="1:5" x14ac:dyDescent="0.2">
      <c r="A56">
        <v>55</v>
      </c>
      <c r="B56" s="2" t="s">
        <v>160</v>
      </c>
      <c r="C56" s="3">
        <v>1.4951000000000001</v>
      </c>
      <c r="D56" s="2" t="s">
        <v>161</v>
      </c>
      <c r="E56">
        <f>_xlfn.XLOOKUP(B56,'20'!$A:$A,'20'!$G:$G,"pipino il breve")</f>
        <v>99.97</v>
      </c>
    </row>
    <row r="57" spans="1:5" x14ac:dyDescent="0.2">
      <c r="A57">
        <v>56</v>
      </c>
      <c r="B57" s="2" t="s">
        <v>93</v>
      </c>
      <c r="C57" s="3">
        <v>1.5</v>
      </c>
      <c r="D57" s="2" t="s">
        <v>162</v>
      </c>
      <c r="E57">
        <f>_xlfn.XLOOKUP(B57,'20'!$A:$A,'20'!$G:$G,"pipino il breve")</f>
        <v>101.75</v>
      </c>
    </row>
    <row r="58" spans="1:5" x14ac:dyDescent="0.2">
      <c r="A58">
        <v>57</v>
      </c>
      <c r="B58" s="2" t="s">
        <v>100</v>
      </c>
      <c r="C58" s="3">
        <v>0.97789999999999999</v>
      </c>
      <c r="D58" s="2" t="s">
        <v>164</v>
      </c>
      <c r="E58">
        <f>_xlfn.XLOOKUP(B58,'20'!$A:$A,'20'!$G:$G,"pipino il breve")</f>
        <v>100.9</v>
      </c>
    </row>
    <row r="59" spans="1:5" x14ac:dyDescent="0.2">
      <c r="A59">
        <v>58</v>
      </c>
      <c r="B59" s="2" t="s">
        <v>60</v>
      </c>
      <c r="C59" s="3">
        <v>1.25</v>
      </c>
      <c r="D59" s="2" t="s">
        <v>165</v>
      </c>
      <c r="E59">
        <f>_xlfn.XLOOKUP(B59,'20'!$A:$A,'20'!$G:$G,"pipino il breve")</f>
        <v>95.64</v>
      </c>
    </row>
    <row r="60" spans="1:5" x14ac:dyDescent="0.2">
      <c r="A60">
        <v>59</v>
      </c>
      <c r="B60" s="2" t="s">
        <v>25</v>
      </c>
      <c r="C60" s="3">
        <v>1.0249999999999999</v>
      </c>
      <c r="D60" s="2" t="s">
        <v>166</v>
      </c>
      <c r="E60">
        <f>_xlfn.XLOOKUP(B60,'20'!$A:$A,'20'!$G:$G,"pipino il breve")</f>
        <v>100.07</v>
      </c>
    </row>
    <row r="61" spans="1:5" x14ac:dyDescent="0.2">
      <c r="A61">
        <v>60</v>
      </c>
      <c r="B61" s="2" t="s">
        <v>63</v>
      </c>
      <c r="C61" s="3">
        <v>1.325</v>
      </c>
      <c r="D61" s="2" t="s">
        <v>167</v>
      </c>
      <c r="E61">
        <f>_xlfn.XLOOKUP(B61,'20'!$A:$A,'20'!$G:$G,"pipino il breve")</f>
        <v>101.26</v>
      </c>
    </row>
    <row r="62" spans="1:5" x14ac:dyDescent="0.2">
      <c r="A62">
        <v>61</v>
      </c>
      <c r="B62" s="2" t="s">
        <v>17</v>
      </c>
      <c r="C62" s="3">
        <v>1.35</v>
      </c>
      <c r="D62" s="2" t="s">
        <v>168</v>
      </c>
      <c r="E62">
        <f>_xlfn.XLOOKUP(B62,'20'!$A:$A,'20'!$G:$G,"pipino il breve")</f>
        <v>79.14</v>
      </c>
    </row>
    <row r="63" spans="1:5" x14ac:dyDescent="0.2">
      <c r="A63">
        <v>62</v>
      </c>
      <c r="B63" s="2" t="s">
        <v>47</v>
      </c>
      <c r="C63" s="3">
        <v>0.47499999999999998</v>
      </c>
      <c r="D63" s="2" t="s">
        <v>169</v>
      </c>
      <c r="E63">
        <f>_xlfn.XLOOKUP(B63,'20'!$A:$A,'20'!$G:$G,"pipino il breve")</f>
        <v>73.94</v>
      </c>
    </row>
    <row r="64" spans="1:5" x14ac:dyDescent="0.2">
      <c r="A64">
        <v>63</v>
      </c>
      <c r="B64" s="2" t="s">
        <v>57</v>
      </c>
      <c r="C64" s="3">
        <v>1.075</v>
      </c>
      <c r="D64" s="2" t="s">
        <v>170</v>
      </c>
      <c r="E64">
        <f>_xlfn.XLOOKUP(B64,'20'!$A:$A,'20'!$G:$G,"pipino il breve")</f>
        <v>66.239999999999995</v>
      </c>
    </row>
    <row r="65" spans="1:5" x14ac:dyDescent="0.2">
      <c r="A65">
        <v>64</v>
      </c>
      <c r="B65" s="2" t="s">
        <v>81</v>
      </c>
      <c r="C65" s="3">
        <v>1.4750000000000001</v>
      </c>
      <c r="D65" s="2" t="s">
        <v>171</v>
      </c>
      <c r="E65">
        <f>_xlfn.XLOOKUP(B65,'20'!$A:$A,'20'!$G:$G,"pipino il breve")</f>
        <v>101.54</v>
      </c>
    </row>
    <row r="66" spans="1:5" x14ac:dyDescent="0.2">
      <c r="A66">
        <v>65</v>
      </c>
      <c r="B66" s="2" t="s">
        <v>97</v>
      </c>
      <c r="C66" s="3">
        <v>1.825</v>
      </c>
      <c r="D66" s="2" t="s">
        <v>172</v>
      </c>
      <c r="E66">
        <f>_xlfn.XLOOKUP(B66,'20'!$A:$A,'20'!$G:$G,"pipino il breve")</f>
        <v>100.72</v>
      </c>
    </row>
    <row r="67" spans="1:5" x14ac:dyDescent="0.2">
      <c r="A67">
        <v>66</v>
      </c>
      <c r="B67" s="2" t="s">
        <v>33</v>
      </c>
      <c r="C67" s="3">
        <v>1.05</v>
      </c>
      <c r="D67" s="2" t="s">
        <v>173</v>
      </c>
      <c r="E67">
        <f>_xlfn.XLOOKUP(B67,'20'!$A:$A,'20'!$G:$G,"pipino il breve")</f>
        <v>100.17</v>
      </c>
    </row>
    <row r="68" spans="1:5" x14ac:dyDescent="0.2">
      <c r="A68">
        <v>67</v>
      </c>
      <c r="B68" s="2" t="s">
        <v>89</v>
      </c>
      <c r="C68" s="3">
        <v>1.7250000000000001</v>
      </c>
      <c r="D68" s="2" t="s">
        <v>174</v>
      </c>
      <c r="E68">
        <f>_xlfn.XLOOKUP(B68,'20'!$A:$A,'20'!$G:$G,"pipino il breve")</f>
        <v>102.72</v>
      </c>
    </row>
    <row r="69" spans="1:5" x14ac:dyDescent="0.2">
      <c r="A69">
        <v>68</v>
      </c>
      <c r="B69" s="2" t="s">
        <v>44</v>
      </c>
      <c r="C69" s="3">
        <v>0.9</v>
      </c>
      <c r="D69" s="2" t="s">
        <v>175</v>
      </c>
      <c r="E69">
        <f>_xlfn.XLOOKUP(B69,'20'!$A:$A,'20'!$G:$G,"pipino il breve")</f>
        <v>74.38</v>
      </c>
    </row>
    <row r="70" spans="1:5" x14ac:dyDescent="0.2">
      <c r="A70">
        <v>69</v>
      </c>
      <c r="B70" s="2" t="s">
        <v>78</v>
      </c>
      <c r="C70" s="3">
        <v>2</v>
      </c>
      <c r="D70" s="2" t="s">
        <v>176</v>
      </c>
      <c r="E70">
        <f>_xlfn.XLOOKUP(B70,'20'!$A:$A,'20'!$G:$G,"pipino il breve")</f>
        <v>105.96</v>
      </c>
    </row>
    <row r="71" spans="1:5" x14ac:dyDescent="0.2">
      <c r="A71">
        <v>70</v>
      </c>
      <c r="B71" s="2" t="s">
        <v>36</v>
      </c>
      <c r="C71" s="3">
        <v>0.42499999999999999</v>
      </c>
      <c r="D71" s="2" t="s">
        <v>177</v>
      </c>
      <c r="E71">
        <f>_xlfn.XLOOKUP(B71,'20'!$A:$A,'20'!$G:$G,"pipino il breve")</f>
        <v>98.31</v>
      </c>
    </row>
    <row r="72" spans="1:5" x14ac:dyDescent="0.2">
      <c r="A72">
        <v>71</v>
      </c>
      <c r="B72" s="2" t="s">
        <v>56</v>
      </c>
      <c r="C72" s="3">
        <v>0.22500000000000001</v>
      </c>
      <c r="D72" s="2" t="s">
        <v>178</v>
      </c>
      <c r="E72">
        <f>_xlfn.XLOOKUP(B72,'20'!$A:$A,'20'!$G:$G,"pipino il breve")</f>
        <v>93.22</v>
      </c>
    </row>
    <row r="73" spans="1:5" x14ac:dyDescent="0.2">
      <c r="A73">
        <v>72</v>
      </c>
      <c r="B73" s="2" t="s">
        <v>66</v>
      </c>
      <c r="C73" s="3">
        <v>1.925</v>
      </c>
      <c r="D73" s="2" t="s">
        <v>179</v>
      </c>
      <c r="E73">
        <f>_xlfn.XLOOKUP(B73,'20'!$A:$A,'20'!$G:$G,"pipino il breve")</f>
        <v>105.39</v>
      </c>
    </row>
    <row r="74" spans="1:5" x14ac:dyDescent="0.2">
      <c r="A74">
        <v>73</v>
      </c>
      <c r="B74" s="2" t="s">
        <v>96</v>
      </c>
      <c r="C74" s="3">
        <v>1.35</v>
      </c>
      <c r="D74" s="2" t="s">
        <v>180</v>
      </c>
      <c r="E74">
        <f>_xlfn.XLOOKUP(B74,'20'!$A:$A,'20'!$G:$G,"pipino il breve")</f>
        <v>101.34</v>
      </c>
    </row>
    <row r="75" spans="1:5" x14ac:dyDescent="0.2">
      <c r="A75">
        <v>74</v>
      </c>
      <c r="B75" s="2" t="s">
        <v>82</v>
      </c>
      <c r="C75" s="3">
        <v>1.75</v>
      </c>
      <c r="D75" s="2" t="s">
        <v>181</v>
      </c>
      <c r="E75">
        <f>_xlfn.XLOOKUP(B75,'20'!$A:$A,'20'!$G:$G,"pipino il breve")</f>
        <v>103.21</v>
      </c>
    </row>
    <row r="76" spans="1:5" x14ac:dyDescent="0.2">
      <c r="A76">
        <v>75</v>
      </c>
      <c r="B76" s="2" t="s">
        <v>70</v>
      </c>
      <c r="C76" s="3">
        <v>1.9</v>
      </c>
      <c r="D76" s="2" t="s">
        <v>182</v>
      </c>
      <c r="E76">
        <f>_xlfn.XLOOKUP(B76,'20'!$A:$A,'20'!$G:$G,"pipino il breve")</f>
        <v>101.56699999999999</v>
      </c>
    </row>
    <row r="77" spans="1:5" x14ac:dyDescent="0.2">
      <c r="A77">
        <v>76</v>
      </c>
      <c r="B77" s="2" t="s">
        <v>61</v>
      </c>
      <c r="C77" s="3">
        <v>1.4</v>
      </c>
      <c r="D77" s="2" t="s">
        <v>183</v>
      </c>
      <c r="E77">
        <f>_xlfn.XLOOKUP(B77,'20'!$A:$A,'20'!$G:$G,"pipino il breve")</f>
        <v>101.32</v>
      </c>
    </row>
    <row r="78" spans="1:5" x14ac:dyDescent="0.2">
      <c r="A78">
        <v>77</v>
      </c>
      <c r="B78" s="2" t="s">
        <v>42</v>
      </c>
      <c r="C78" s="3">
        <v>0.47499999999999998</v>
      </c>
      <c r="D78" s="2" t="s">
        <v>184</v>
      </c>
      <c r="E78">
        <f>_xlfn.XLOOKUP(B78,'20'!$A:$A,'20'!$G:$G,"pipino il breve")</f>
        <v>97.55</v>
      </c>
    </row>
    <row r="79" spans="1:5" x14ac:dyDescent="0.2">
      <c r="A79">
        <v>78</v>
      </c>
      <c r="B79" s="2" t="s">
        <v>101</v>
      </c>
      <c r="C79" s="3">
        <v>0.6552</v>
      </c>
      <c r="D79" s="2" t="s">
        <v>185</v>
      </c>
      <c r="E79">
        <f>_xlfn.XLOOKUP(B79,'20'!$A:$A,'20'!$G:$G,"pipino il breve")</f>
        <v>101.04</v>
      </c>
    </row>
    <row r="80" spans="1:5" x14ac:dyDescent="0.2">
      <c r="A80">
        <v>79</v>
      </c>
      <c r="B80" s="2" t="s">
        <v>71</v>
      </c>
      <c r="C80" s="3">
        <v>1.85</v>
      </c>
      <c r="D80" s="2" t="s">
        <v>186</v>
      </c>
      <c r="E80">
        <f>_xlfn.XLOOKUP(B80,'20'!$A:$A,'20'!$G:$G,"pipino il breve")</f>
        <v>104.62</v>
      </c>
    </row>
    <row r="81" spans="1:5" x14ac:dyDescent="0.2">
      <c r="A81">
        <v>80</v>
      </c>
      <c r="B81" s="2" t="s">
        <v>52</v>
      </c>
      <c r="C81" s="3">
        <v>0.25</v>
      </c>
      <c r="D81" s="2" t="s">
        <v>187</v>
      </c>
      <c r="E81">
        <f>_xlfn.XLOOKUP(B81,'20'!$A:$A,'20'!$G:$G,"pipino il breve")</f>
        <v>94.8</v>
      </c>
    </row>
    <row r="82" spans="1:5" x14ac:dyDescent="0.2">
      <c r="A82">
        <v>81</v>
      </c>
      <c r="B82" s="2" t="s">
        <v>90</v>
      </c>
      <c r="C82" s="3">
        <v>1.7250000000000001</v>
      </c>
      <c r="D82" s="2" t="s">
        <v>188</v>
      </c>
      <c r="E82">
        <f>_xlfn.XLOOKUP(B82,'20'!$A:$A,'20'!$G:$G,"pipino il breve")</f>
        <v>102.9</v>
      </c>
    </row>
    <row r="83" spans="1:5" x14ac:dyDescent="0.2">
      <c r="A83">
        <v>82</v>
      </c>
      <c r="B83" s="2" t="s">
        <v>75</v>
      </c>
      <c r="C83" s="3">
        <v>1.925</v>
      </c>
      <c r="D83" s="2" t="s">
        <v>189</v>
      </c>
      <c r="E83">
        <f>_xlfn.XLOOKUP(B83,'20'!$A:$A,'20'!$G:$G,"pipino il breve")</f>
        <v>102.37</v>
      </c>
    </row>
    <row r="84" spans="1:5" x14ac:dyDescent="0.2">
      <c r="A84">
        <v>83</v>
      </c>
      <c r="B84" s="2" t="s">
        <v>29</v>
      </c>
      <c r="C84" s="3">
        <v>1.25</v>
      </c>
      <c r="D84" s="2" t="s">
        <v>190</v>
      </c>
      <c r="E84">
        <f>_xlfn.XLOOKUP(B84,'20'!$A:$A,'20'!$G:$G,"pipino il breve")</f>
        <v>100.24</v>
      </c>
    </row>
    <row r="85" spans="1:5" x14ac:dyDescent="0.2">
      <c r="A85">
        <v>84</v>
      </c>
      <c r="B85" s="2" t="s">
        <v>94</v>
      </c>
      <c r="C85" s="3">
        <v>2.15</v>
      </c>
      <c r="D85" s="2" t="s">
        <v>191</v>
      </c>
      <c r="E85">
        <f>_xlfn.XLOOKUP(B85,'20'!$A:$A,'20'!$G:$G,"pipino il breve")</f>
        <v>98.36</v>
      </c>
    </row>
    <row r="86" spans="1:5" x14ac:dyDescent="0.2">
      <c r="A86">
        <v>85</v>
      </c>
      <c r="B86" s="2" t="s">
        <v>64</v>
      </c>
      <c r="C86" s="3">
        <v>1.75</v>
      </c>
      <c r="D86" s="2" t="s">
        <v>192</v>
      </c>
      <c r="E86">
        <f>_xlfn.XLOOKUP(B86,'20'!$A:$A,'20'!$G:$G,"pipino il breve")</f>
        <v>100.92</v>
      </c>
    </row>
    <row r="87" spans="1:5" x14ac:dyDescent="0.2">
      <c r="A87">
        <v>86</v>
      </c>
      <c r="B87" s="2" t="s">
        <v>48</v>
      </c>
      <c r="C87" s="3">
        <v>0.125</v>
      </c>
      <c r="D87" s="2" t="s">
        <v>193</v>
      </c>
      <c r="E87">
        <f>_xlfn.XLOOKUP(B87,'20'!$A:$A,'20'!$G:$G,"pipino il breve")</f>
        <v>94.97</v>
      </c>
    </row>
    <row r="88" spans="1:5" x14ac:dyDescent="0.2">
      <c r="A88">
        <v>87</v>
      </c>
      <c r="B88" s="2" t="s">
        <v>38</v>
      </c>
      <c r="C88" s="3">
        <v>0.72499999999999998</v>
      </c>
      <c r="D88" s="2" t="s">
        <v>194</v>
      </c>
      <c r="E88">
        <f>_xlfn.XLOOKUP(B88,'20'!$A:$A,'20'!$G:$G,"pipino il breve")</f>
        <v>80.900000000000006</v>
      </c>
    </row>
    <row r="89" spans="1:5" x14ac:dyDescent="0.2">
      <c r="A89">
        <v>88</v>
      </c>
      <c r="B89" s="2" t="s">
        <v>99</v>
      </c>
      <c r="C89" s="3">
        <v>1.925</v>
      </c>
      <c r="D89" s="2" t="s">
        <v>195</v>
      </c>
      <c r="E89">
        <f>_xlfn.XLOOKUP(B89,'20'!$A:$A,'20'!$G:$G,"pipino il breve")</f>
        <v>97.84</v>
      </c>
    </row>
    <row r="90" spans="1:5" x14ac:dyDescent="0.2">
      <c r="A90">
        <v>89</v>
      </c>
      <c r="B90" s="2" t="s">
        <v>59</v>
      </c>
      <c r="C90" s="3">
        <v>0.6</v>
      </c>
      <c r="D90" s="2" t="s">
        <v>196</v>
      </c>
      <c r="E90">
        <f>_xlfn.XLOOKUP(B90,'20'!$A:$A,'20'!$G:$G,"pipino il breve")</f>
        <v>99.811000000000007</v>
      </c>
    </row>
    <row r="91" spans="1:5" x14ac:dyDescent="0.2">
      <c r="A91">
        <v>90</v>
      </c>
      <c r="B91" s="2" t="s">
        <v>10</v>
      </c>
      <c r="C91" s="3">
        <v>2.375</v>
      </c>
      <c r="D91" s="2" t="s">
        <v>199</v>
      </c>
      <c r="E91">
        <f>_xlfn.XLOOKUP(B91,'20'!$A:$A,'20'!$G:$G,"pipino il breve")</f>
        <v>107.75</v>
      </c>
    </row>
    <row r="92" spans="1:5" x14ac:dyDescent="0.2">
      <c r="A92">
        <v>91</v>
      </c>
      <c r="B92" s="2" t="s">
        <v>69</v>
      </c>
      <c r="C92" s="3">
        <v>2.25</v>
      </c>
      <c r="D92" s="2" t="s">
        <v>200</v>
      </c>
      <c r="E92">
        <f>_xlfn.XLOOKUP(B92,'20'!$A:$A,'20'!$G:$G,"pipino il breve")</f>
        <v>101.94</v>
      </c>
    </row>
    <row r="93" spans="1:5" x14ac:dyDescent="0.2">
      <c r="A93">
        <v>92</v>
      </c>
      <c r="B93" s="2" t="s">
        <v>201</v>
      </c>
      <c r="C93" s="3">
        <v>0.72719999999999996</v>
      </c>
      <c r="D93" s="2" t="s">
        <v>202</v>
      </c>
      <c r="E93">
        <f>_xlfn.XLOOKUP(B93,'20'!$A:$A,'20'!$G:$G,"pipino il breve")</f>
        <v>100.55</v>
      </c>
    </row>
    <row r="94" spans="1:5" x14ac:dyDescent="0.2">
      <c r="A94">
        <v>93</v>
      </c>
      <c r="B94" s="2" t="s">
        <v>85</v>
      </c>
      <c r="C94" s="3">
        <v>1.6</v>
      </c>
      <c r="D94" s="2" t="s">
        <v>203</v>
      </c>
      <c r="E94">
        <f>_xlfn.XLOOKUP(B94,'20'!$A:$A,'20'!$G:$G,"pipino il breve")</f>
        <v>100.774</v>
      </c>
    </row>
    <row r="95" spans="1:5" x14ac:dyDescent="0.2">
      <c r="A95">
        <v>94</v>
      </c>
      <c r="B95" s="2" t="s">
        <v>76</v>
      </c>
      <c r="C95" s="3">
        <v>1.8</v>
      </c>
      <c r="D95" s="2" t="s">
        <v>204</v>
      </c>
      <c r="E95">
        <f>_xlfn.XLOOKUP(B95,'20'!$A:$A,'20'!$G:$G,"pipino il breve")</f>
        <v>100.524</v>
      </c>
    </row>
    <row r="96" spans="1:5" x14ac:dyDescent="0.2">
      <c r="A96">
        <v>95</v>
      </c>
      <c r="B96" s="2" t="s">
        <v>40</v>
      </c>
      <c r="C96" s="3">
        <v>0.92500000000000004</v>
      </c>
      <c r="D96" s="2" t="s">
        <v>205</v>
      </c>
      <c r="E96">
        <f>_xlfn.XLOOKUP(B96,'20'!$A:$A,'20'!$G:$G,"pipino il breve")</f>
        <v>99.977999999999994</v>
      </c>
    </row>
    <row r="97" spans="1:5" x14ac:dyDescent="0.2">
      <c r="A97">
        <v>96</v>
      </c>
      <c r="B97" s="2" t="s">
        <v>91</v>
      </c>
      <c r="C97" s="3">
        <v>1.55</v>
      </c>
      <c r="D97" s="2" t="s">
        <v>206</v>
      </c>
      <c r="E97">
        <f>_xlfn.XLOOKUP(B97,'20'!$A:$A,'20'!$G:$G,"pipino il breve")</f>
        <v>101.36</v>
      </c>
    </row>
    <row r="98" spans="1:5" x14ac:dyDescent="0.2">
      <c r="A98">
        <v>97</v>
      </c>
      <c r="B98" s="2" t="s">
        <v>95</v>
      </c>
      <c r="C98" s="3">
        <v>1.575</v>
      </c>
      <c r="D98" s="2" t="s">
        <v>207</v>
      </c>
      <c r="E98">
        <f>_xlfn.XLOOKUP(B98,'20'!$A:$A,'20'!$G:$G,"pipino il breve")</f>
        <v>100.81</v>
      </c>
    </row>
    <row r="99" spans="1:5" x14ac:dyDescent="0.2">
      <c r="A99">
        <v>98</v>
      </c>
      <c r="B99" s="2" t="s">
        <v>98</v>
      </c>
      <c r="C99" s="3">
        <v>1.2749999999999999</v>
      </c>
      <c r="D99" s="2" t="s">
        <v>208</v>
      </c>
      <c r="E99">
        <f>_xlfn.XLOOKUP(B99,'20'!$A:$A,'20'!$G:$G,"pipino il breve")</f>
        <v>100.84</v>
      </c>
    </row>
    <row r="100" spans="1:5" x14ac:dyDescent="0.2">
      <c r="A100">
        <v>99</v>
      </c>
      <c r="B100" s="2" t="s">
        <v>67</v>
      </c>
      <c r="C100" s="3">
        <v>1.7</v>
      </c>
      <c r="D100" s="2" t="s">
        <v>209</v>
      </c>
      <c r="E100">
        <f>_xlfn.XLOOKUP(B100,'20'!$A:$A,'20'!$G:$G,"pipino il breve")</f>
        <v>103.26</v>
      </c>
    </row>
    <row r="101" spans="1:5" x14ac:dyDescent="0.2">
      <c r="A101">
        <v>100</v>
      </c>
      <c r="B101" s="2" t="s">
        <v>84</v>
      </c>
      <c r="C101" s="3">
        <v>0.8125</v>
      </c>
      <c r="D101" s="2" t="s">
        <v>210</v>
      </c>
      <c r="E101">
        <f>_xlfn.XLOOKUP(B101,'20'!$A:$A,'20'!$G:$G,"pipino il breve")</f>
        <v>103.8</v>
      </c>
    </row>
    <row r="102" spans="1:5" x14ac:dyDescent="0.2">
      <c r="A102">
        <v>101</v>
      </c>
      <c r="B102" s="2" t="s">
        <v>211</v>
      </c>
      <c r="C102" s="3">
        <v>0.8125</v>
      </c>
      <c r="D102" s="2" t="s">
        <v>210</v>
      </c>
      <c r="E102">
        <f>_xlfn.XLOOKUP(B102,'20'!$A:$A,'20'!$G:$G,"pipino il breve")</f>
        <v>103.8</v>
      </c>
    </row>
    <row r="103" spans="1:5" x14ac:dyDescent="0.2">
      <c r="A103">
        <v>102</v>
      </c>
      <c r="B103" s="2" t="s">
        <v>79</v>
      </c>
      <c r="C103" s="3">
        <v>1.0249999999999999</v>
      </c>
      <c r="D103" s="2" t="s">
        <v>212</v>
      </c>
      <c r="E103">
        <f>_xlfn.XLOOKUP(B103,'20'!$A:$A,'20'!$G:$G,"pipino il breve")</f>
        <v>105.68</v>
      </c>
    </row>
    <row r="104" spans="1:5" x14ac:dyDescent="0.2">
      <c r="A104">
        <v>103</v>
      </c>
      <c r="B104" s="2" t="s">
        <v>213</v>
      </c>
      <c r="C104" s="3">
        <v>1.0249999999999999</v>
      </c>
      <c r="D104" s="2" t="s">
        <v>212</v>
      </c>
      <c r="E104">
        <f>_xlfn.XLOOKUP(B104,'20'!$A:$A,'20'!$G:$G,"pipino il breve")</f>
        <v>105.68</v>
      </c>
    </row>
    <row r="105" spans="1:5" x14ac:dyDescent="0.2">
      <c r="A105">
        <v>104</v>
      </c>
      <c r="B105" s="2" t="s">
        <v>73</v>
      </c>
      <c r="C105" s="3">
        <v>1.625</v>
      </c>
      <c r="D105" s="2" t="s">
        <v>214</v>
      </c>
      <c r="E105">
        <f>_xlfn.XLOOKUP(B105,'20'!$A:$A,'20'!$G:$G,"pipino il breve")</f>
        <v>103.38</v>
      </c>
    </row>
    <row r="106" spans="1:5" x14ac:dyDescent="0.2">
      <c r="A106">
        <v>105</v>
      </c>
      <c r="B106" s="2" t="s">
        <v>215</v>
      </c>
      <c r="C106" s="3">
        <v>1.625</v>
      </c>
      <c r="D106" s="2" t="s">
        <v>214</v>
      </c>
      <c r="E106">
        <f>_xlfn.XLOOKUP(B106,'20'!$A:$A,'20'!$G:$G,"pipino il breve")</f>
        <v>103.38</v>
      </c>
    </row>
    <row r="107" spans="1:5" x14ac:dyDescent="0.2">
      <c r="A107">
        <v>106</v>
      </c>
      <c r="B107" s="2" t="s">
        <v>88</v>
      </c>
      <c r="C107" s="3">
        <v>0.83750000000000002</v>
      </c>
      <c r="D107" s="2" t="s">
        <v>216</v>
      </c>
      <c r="E107">
        <f>_xlfn.XLOOKUP(B107,'20'!$A:$A,'20'!$G:$G,"pipino il breve")</f>
        <v>103.48</v>
      </c>
    </row>
    <row r="108" spans="1:5" x14ac:dyDescent="0.2">
      <c r="A108">
        <v>107</v>
      </c>
      <c r="B108" s="2" t="s">
        <v>217</v>
      </c>
      <c r="C108" s="3">
        <v>0.83750000000000002</v>
      </c>
      <c r="D108" s="2" t="s">
        <v>216</v>
      </c>
      <c r="E108">
        <f>_xlfn.XLOOKUP(B108,'20'!$A:$A,'20'!$G:$G,"pipino il breve")</f>
        <v>103.48</v>
      </c>
    </row>
    <row r="109" spans="1:5" x14ac:dyDescent="0.2">
      <c r="A109">
        <v>108</v>
      </c>
      <c r="B109" s="2" t="s">
        <v>80</v>
      </c>
      <c r="C109" s="3">
        <v>2.0499999999999998</v>
      </c>
      <c r="D109" s="2" t="s">
        <v>163</v>
      </c>
      <c r="E109">
        <f>_xlfn.XLOOKUP(B109,'20'!$A:$A,'20'!$G:$G,"pipino il breve")</f>
        <v>105.86</v>
      </c>
    </row>
    <row r="110" spans="1:5" x14ac:dyDescent="0.2">
      <c r="B110" s="2"/>
      <c r="C110" s="3"/>
      <c r="D1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9AD0-2618-F848-9713-D7AD57AB7536}">
  <dimension ref="A1:E110"/>
  <sheetViews>
    <sheetView zoomScale="107" workbookViewId="0">
      <selection activeCell="F110" sqref="A1:F110"/>
    </sheetView>
  </sheetViews>
  <sheetFormatPr baseColWidth="10" defaultRowHeight="16" x14ac:dyDescent="0.2"/>
  <cols>
    <col min="1" max="1" width="6.83203125" customWidth="1"/>
    <col min="2" max="2" width="13.33203125" bestFit="1" customWidth="1"/>
    <col min="3" max="3" width="8.6640625" bestFit="1" customWidth="1"/>
    <col min="4" max="4" width="10.5" bestFit="1" customWidth="1"/>
  </cols>
  <sheetData>
    <row r="1" spans="1:5" ht="19" x14ac:dyDescent="0.25">
      <c r="A1" s="1" t="s">
        <v>105</v>
      </c>
      <c r="B1" s="1" t="s">
        <v>102</v>
      </c>
      <c r="C1" s="1" t="s">
        <v>103</v>
      </c>
      <c r="D1" s="1" t="s">
        <v>104</v>
      </c>
      <c r="E1" s="12">
        <v>45797</v>
      </c>
    </row>
    <row r="2" spans="1:5" x14ac:dyDescent="0.2">
      <c r="A2">
        <v>1</v>
      </c>
      <c r="B2" s="2" t="s">
        <v>4</v>
      </c>
      <c r="C2" s="3">
        <v>2.875</v>
      </c>
      <c r="D2" s="2" t="s">
        <v>106</v>
      </c>
      <c r="E2">
        <f>_xlfn.XLOOKUP(B2,'20'!$A:$A,'20'!$G:$G,"pipino il breve")</f>
        <v>117.17</v>
      </c>
    </row>
    <row r="3" spans="1:5" x14ac:dyDescent="0.2">
      <c r="A3">
        <v>2</v>
      </c>
      <c r="B3" s="2" t="s">
        <v>23</v>
      </c>
      <c r="C3" s="3">
        <v>1.1000000000000001</v>
      </c>
      <c r="D3" s="2" t="s">
        <v>107</v>
      </c>
      <c r="E3">
        <f>_xlfn.XLOOKUP(B3,'20'!$A:$A,'20'!$G:$G,"pipino il breve")</f>
        <v>100.41</v>
      </c>
    </row>
    <row r="4" spans="1:5" x14ac:dyDescent="0.2">
      <c r="A4">
        <v>3</v>
      </c>
      <c r="B4" s="2" t="s">
        <v>27</v>
      </c>
      <c r="C4" s="3">
        <v>1</v>
      </c>
      <c r="D4" s="2" t="s">
        <v>108</v>
      </c>
      <c r="E4">
        <f>_xlfn.XLOOKUP(B4,'20'!$A:$A,'20'!$G:$G,"pipino il breve")</f>
        <v>99.71</v>
      </c>
    </row>
    <row r="5" spans="1:5" x14ac:dyDescent="0.2">
      <c r="A5">
        <v>4</v>
      </c>
      <c r="B5" s="2" t="s">
        <v>32</v>
      </c>
      <c r="C5" s="3">
        <v>1.5</v>
      </c>
      <c r="D5" s="2" t="s">
        <v>109</v>
      </c>
      <c r="E5">
        <f>_xlfn.XLOOKUP(B5,'20'!$A:$A,'20'!$G:$G,"pipino il breve")</f>
        <v>102.11</v>
      </c>
    </row>
    <row r="6" spans="1:5" x14ac:dyDescent="0.2">
      <c r="A6">
        <v>5</v>
      </c>
      <c r="B6" s="2" t="s">
        <v>83</v>
      </c>
      <c r="C6" s="3">
        <v>2.0750000000000002</v>
      </c>
      <c r="D6" s="2" t="s">
        <v>110</v>
      </c>
      <c r="E6">
        <f>_xlfn.XLOOKUP(B6,'20'!$A:$A,'20'!$G:$G,"pipino il breve")</f>
        <v>102.12</v>
      </c>
    </row>
    <row r="7" spans="1:5" x14ac:dyDescent="0.2">
      <c r="A7">
        <v>6</v>
      </c>
      <c r="B7" s="2" t="s">
        <v>49</v>
      </c>
      <c r="C7" s="3">
        <v>0.3</v>
      </c>
      <c r="D7" s="2" t="s">
        <v>111</v>
      </c>
      <c r="E7">
        <f>_xlfn.XLOOKUP(B7,'20'!$A:$A,'20'!$G:$G,"pipino il breve")</f>
        <v>86.97</v>
      </c>
    </row>
    <row r="8" spans="1:5" x14ac:dyDescent="0.2">
      <c r="A8">
        <v>7</v>
      </c>
      <c r="B8" s="2" t="s">
        <v>11</v>
      </c>
      <c r="C8" s="3">
        <v>2.375</v>
      </c>
      <c r="D8" s="2" t="s">
        <v>112</v>
      </c>
      <c r="E8">
        <f>_xlfn.XLOOKUP(B8,'20'!$A:$A,'20'!$G:$G,"pipino il breve")</f>
        <v>108.17</v>
      </c>
    </row>
    <row r="9" spans="1:5" x14ac:dyDescent="0.2">
      <c r="A9">
        <v>8</v>
      </c>
      <c r="B9" s="2" t="s">
        <v>12</v>
      </c>
      <c r="C9" s="3">
        <v>1.75</v>
      </c>
      <c r="D9" s="2" t="s">
        <v>113</v>
      </c>
      <c r="E9">
        <f>_xlfn.XLOOKUP(B9,'20'!$A:$A,'20'!$G:$G,"pipino il breve")</f>
        <v>104.21</v>
      </c>
    </row>
    <row r="10" spans="1:5" x14ac:dyDescent="0.2">
      <c r="A10">
        <v>9</v>
      </c>
      <c r="B10" s="2" t="s">
        <v>15</v>
      </c>
      <c r="C10" s="3">
        <v>0.82499999999999996</v>
      </c>
      <c r="D10" s="2" t="s">
        <v>114</v>
      </c>
      <c r="E10">
        <f>_xlfn.XLOOKUP(B10,'20'!$A:$A,'20'!$G:$G,"pipino il breve")</f>
        <v>91.72</v>
      </c>
    </row>
    <row r="11" spans="1:5" x14ac:dyDescent="0.2">
      <c r="A11">
        <v>10</v>
      </c>
      <c r="B11" s="2" t="s">
        <v>18</v>
      </c>
      <c r="C11" s="3">
        <v>0.8</v>
      </c>
      <c r="D11" s="2" t="s">
        <v>115</v>
      </c>
      <c r="E11">
        <f>_xlfn.XLOOKUP(B11,'20'!$A:$A,'20'!$G:$G,"pipino il breve")</f>
        <v>99.68</v>
      </c>
    </row>
    <row r="12" spans="1:5" x14ac:dyDescent="0.2">
      <c r="A12">
        <v>11</v>
      </c>
      <c r="B12" s="2" t="s">
        <v>19</v>
      </c>
      <c r="C12" s="3">
        <v>1.125</v>
      </c>
      <c r="D12" s="2" t="s">
        <v>116</v>
      </c>
      <c r="E12">
        <f>_xlfn.XLOOKUP(B12,'20'!$A:$A,'20'!$G:$G,"pipino il breve")</f>
        <v>87.27</v>
      </c>
    </row>
    <row r="13" spans="1:5" x14ac:dyDescent="0.2">
      <c r="A13">
        <v>12</v>
      </c>
      <c r="B13" s="2" t="s">
        <v>24</v>
      </c>
      <c r="C13" s="3">
        <v>1.7250000000000001</v>
      </c>
      <c r="D13" s="2" t="s">
        <v>117</v>
      </c>
      <c r="E13">
        <f>_xlfn.XLOOKUP(B13,'20'!$A:$A,'20'!$G:$G,"pipino il breve")</f>
        <v>89.02</v>
      </c>
    </row>
    <row r="14" spans="1:5" x14ac:dyDescent="0.2">
      <c r="A14">
        <v>13</v>
      </c>
      <c r="B14" s="2" t="s">
        <v>34</v>
      </c>
      <c r="C14" s="3">
        <v>1.55</v>
      </c>
      <c r="D14" s="2" t="s">
        <v>118</v>
      </c>
      <c r="E14">
        <f>_xlfn.XLOOKUP(B14,'20'!$A:$A,'20'!$G:$G,"pipino il breve")</f>
        <v>90.7</v>
      </c>
    </row>
    <row r="15" spans="1:5" x14ac:dyDescent="0.2">
      <c r="A15">
        <v>14</v>
      </c>
      <c r="B15" s="2" t="s">
        <v>50</v>
      </c>
      <c r="C15" s="3">
        <v>0</v>
      </c>
      <c r="D15" s="2" t="s">
        <v>119</v>
      </c>
      <c r="E15">
        <f>_xlfn.XLOOKUP(B15,'20'!$A:$A,'20'!$G:$G,"pipino il breve")</f>
        <v>98.343999999999994</v>
      </c>
    </row>
    <row r="16" spans="1:5" x14ac:dyDescent="0.2">
      <c r="A16">
        <v>15</v>
      </c>
      <c r="B16" s="2" t="s">
        <v>51</v>
      </c>
      <c r="C16" s="3">
        <v>1.075</v>
      </c>
      <c r="D16" s="2" t="s">
        <v>120</v>
      </c>
      <c r="E16">
        <f>_xlfn.XLOOKUP(B16,'20'!$A:$A,'20'!$G:$G,"pipino il breve")</f>
        <v>59.1</v>
      </c>
    </row>
    <row r="17" spans="1:5" x14ac:dyDescent="0.2">
      <c r="A17">
        <v>16</v>
      </c>
      <c r="B17" s="2" t="s">
        <v>62</v>
      </c>
      <c r="C17" s="3">
        <v>1.625</v>
      </c>
      <c r="D17" s="2" t="s">
        <v>121</v>
      </c>
      <c r="E17">
        <f>_xlfn.XLOOKUP(B17,'20'!$A:$A,'20'!$G:$G,"pipino il breve")</f>
        <v>94.3</v>
      </c>
    </row>
    <row r="18" spans="1:5" x14ac:dyDescent="0.2">
      <c r="A18">
        <v>17</v>
      </c>
      <c r="B18" s="2" t="s">
        <v>58</v>
      </c>
      <c r="C18" s="3">
        <v>0.55000000000000004</v>
      </c>
      <c r="D18" s="2" t="s">
        <v>122</v>
      </c>
      <c r="E18">
        <f>_xlfn.XLOOKUP(B18,'20'!$A:$A,'20'!$G:$G,"pipino il breve")</f>
        <v>98.38</v>
      </c>
    </row>
    <row r="19" spans="1:5" x14ac:dyDescent="0.2">
      <c r="A19">
        <v>18</v>
      </c>
      <c r="B19" s="2" t="s">
        <v>86</v>
      </c>
      <c r="C19" s="3">
        <v>1.675</v>
      </c>
      <c r="D19" s="2" t="s">
        <v>123</v>
      </c>
      <c r="E19">
        <f>_xlfn.XLOOKUP(B19,'20'!$A:$A,'20'!$G:$G,"pipino il breve")</f>
        <v>103.2</v>
      </c>
    </row>
    <row r="20" spans="1:5" x14ac:dyDescent="0.2">
      <c r="A20">
        <v>19</v>
      </c>
      <c r="B20" s="2" t="s">
        <v>87</v>
      </c>
      <c r="C20" s="3">
        <v>1.925</v>
      </c>
      <c r="D20" s="2" t="s">
        <v>124</v>
      </c>
      <c r="E20">
        <f>_xlfn.XLOOKUP(B20,'20'!$A:$A,'20'!$G:$G,"pipino il breve")</f>
        <v>103.26</v>
      </c>
    </row>
    <row r="21" spans="1:5" x14ac:dyDescent="0.2">
      <c r="A21">
        <v>20</v>
      </c>
      <c r="B21" s="2" t="s">
        <v>41</v>
      </c>
      <c r="C21" s="3">
        <v>0.82499999999999996</v>
      </c>
      <c r="D21" s="2" t="s">
        <v>125</v>
      </c>
      <c r="E21">
        <f>_xlfn.XLOOKUP(B21,'20'!$A:$A,'20'!$G:$G,"pipino il breve")</f>
        <v>94.25</v>
      </c>
    </row>
    <row r="22" spans="1:5" x14ac:dyDescent="0.2">
      <c r="A22">
        <v>21</v>
      </c>
      <c r="B22" s="2" t="s">
        <v>53</v>
      </c>
      <c r="C22" s="3">
        <v>0.47499999999999998</v>
      </c>
      <c r="D22" s="2" t="s">
        <v>126</v>
      </c>
      <c r="E22">
        <f>_xlfn.XLOOKUP(B22,'20'!$A:$A,'20'!$G:$G,"pipino il breve")</f>
        <v>88.09</v>
      </c>
    </row>
    <row r="23" spans="1:5" x14ac:dyDescent="0.2">
      <c r="A23">
        <v>22</v>
      </c>
      <c r="B23" s="2" t="s">
        <v>74</v>
      </c>
      <c r="C23" s="3">
        <v>1.9</v>
      </c>
      <c r="D23" s="2" t="s">
        <v>127</v>
      </c>
      <c r="E23">
        <f>_xlfn.XLOOKUP(B23,'20'!$A:$A,'20'!$G:$G,"pipino il breve")</f>
        <v>104.6</v>
      </c>
    </row>
    <row r="24" spans="1:5" x14ac:dyDescent="0.2">
      <c r="A24">
        <v>23</v>
      </c>
      <c r="B24" s="2" t="s">
        <v>5</v>
      </c>
      <c r="C24" s="3">
        <v>2.5</v>
      </c>
      <c r="D24" s="2" t="s">
        <v>128</v>
      </c>
      <c r="E24">
        <f>_xlfn.XLOOKUP(B24,'20'!$A:$A,'20'!$G:$G,"pipino il breve")</f>
        <v>112.53</v>
      </c>
    </row>
    <row r="25" spans="1:5" x14ac:dyDescent="0.2">
      <c r="A25">
        <v>24</v>
      </c>
      <c r="B25" s="2" t="s">
        <v>6</v>
      </c>
      <c r="C25" s="3">
        <v>2</v>
      </c>
      <c r="D25" s="2" t="s">
        <v>129</v>
      </c>
      <c r="E25">
        <f>_xlfn.XLOOKUP(B25,'20'!$A:$A,'20'!$G:$G,"pipino il breve")</f>
        <v>103.34</v>
      </c>
    </row>
    <row r="26" spans="1:5" x14ac:dyDescent="0.2">
      <c r="A26">
        <v>25</v>
      </c>
      <c r="B26" s="2" t="s">
        <v>7</v>
      </c>
      <c r="C26" s="3">
        <v>2.5</v>
      </c>
      <c r="D26" s="2" t="s">
        <v>130</v>
      </c>
      <c r="E26">
        <f>_xlfn.XLOOKUP(B26,'20'!$A:$A,'20'!$G:$G,"pipino il breve")</f>
        <v>111.88</v>
      </c>
    </row>
    <row r="27" spans="1:5" x14ac:dyDescent="0.2">
      <c r="A27">
        <v>26</v>
      </c>
      <c r="B27" s="2" t="s">
        <v>20</v>
      </c>
      <c r="C27" s="3">
        <v>0.625</v>
      </c>
      <c r="D27" s="2" t="s">
        <v>131</v>
      </c>
      <c r="E27">
        <f>_xlfn.XLOOKUP(B27,'20'!$A:$A,'20'!$G:$G,"pipino il breve")</f>
        <v>99.01</v>
      </c>
    </row>
    <row r="28" spans="1:5" x14ac:dyDescent="0.2">
      <c r="A28">
        <v>27</v>
      </c>
      <c r="B28" s="2" t="s">
        <v>28</v>
      </c>
      <c r="C28" s="3">
        <v>1.4</v>
      </c>
      <c r="D28" s="2" t="s">
        <v>132</v>
      </c>
      <c r="E28">
        <f>_xlfn.XLOOKUP(B28,'20'!$A:$A,'20'!$G:$G,"pipino il breve")</f>
        <v>101.73</v>
      </c>
    </row>
    <row r="29" spans="1:5" x14ac:dyDescent="0.2">
      <c r="A29">
        <v>28</v>
      </c>
      <c r="B29" s="2" t="s">
        <v>43</v>
      </c>
      <c r="C29" s="3">
        <v>0.25</v>
      </c>
      <c r="D29" s="2" t="s">
        <v>133</v>
      </c>
      <c r="E29">
        <f>_xlfn.XLOOKUP(B29,'20'!$A:$A,'20'!$G:$G,"pipino il breve")</f>
        <v>99.02</v>
      </c>
    </row>
    <row r="30" spans="1:5" x14ac:dyDescent="0.2">
      <c r="A30">
        <v>29</v>
      </c>
      <c r="B30" s="2" t="s">
        <v>54</v>
      </c>
      <c r="C30" s="3">
        <v>0</v>
      </c>
      <c r="D30" s="2" t="s">
        <v>134</v>
      </c>
      <c r="E30">
        <f>_xlfn.XLOOKUP(B30,'20'!$A:$A,'20'!$G:$G,"pipino il breve")</f>
        <v>97.79</v>
      </c>
    </row>
    <row r="31" spans="1:5" x14ac:dyDescent="0.2">
      <c r="A31">
        <v>30</v>
      </c>
      <c r="B31" s="2" t="s">
        <v>92</v>
      </c>
      <c r="C31" s="3">
        <v>1.925</v>
      </c>
      <c r="D31" s="2" t="s">
        <v>135</v>
      </c>
      <c r="E31">
        <f>_xlfn.XLOOKUP(B31,'20'!$A:$A,'20'!$G:$G,"pipino il breve")</f>
        <v>102.7</v>
      </c>
    </row>
    <row r="32" spans="1:5" x14ac:dyDescent="0.2">
      <c r="A32">
        <v>31</v>
      </c>
      <c r="B32" s="2" t="s">
        <v>8</v>
      </c>
      <c r="C32" s="3">
        <v>2.5</v>
      </c>
      <c r="D32" s="2" t="s">
        <v>136</v>
      </c>
      <c r="E32">
        <f>_xlfn.XLOOKUP(B32,'20'!$A:$A,'20'!$G:$G,"pipino il breve")</f>
        <v>111.59</v>
      </c>
    </row>
    <row r="33" spans="1:5" x14ac:dyDescent="0.2">
      <c r="A33">
        <v>32</v>
      </c>
      <c r="B33" s="2" t="s">
        <v>9</v>
      </c>
      <c r="C33" s="3">
        <v>2.25</v>
      </c>
      <c r="D33" s="2" t="s">
        <v>137</v>
      </c>
      <c r="E33">
        <f>_xlfn.XLOOKUP(B33,'20'!$A:$A,'20'!$G:$G,"pipino il breve")</f>
        <v>101.9</v>
      </c>
    </row>
    <row r="34" spans="1:5" x14ac:dyDescent="0.2">
      <c r="A34">
        <v>33</v>
      </c>
      <c r="B34" s="2" t="s">
        <v>13</v>
      </c>
      <c r="C34" s="3">
        <v>1.625</v>
      </c>
      <c r="D34" s="2" t="s">
        <v>138</v>
      </c>
      <c r="E34">
        <f>_xlfn.XLOOKUP(B34,'20'!$A:$A,'20'!$G:$G,"pipino il breve")</f>
        <v>86.99</v>
      </c>
    </row>
    <row r="35" spans="1:5" x14ac:dyDescent="0.2">
      <c r="A35">
        <v>34</v>
      </c>
      <c r="B35" s="2" t="s">
        <v>16</v>
      </c>
      <c r="C35" s="3">
        <v>1</v>
      </c>
      <c r="D35" s="2" t="s">
        <v>139</v>
      </c>
      <c r="E35">
        <f>_xlfn.XLOOKUP(B35,'20'!$A:$A,'20'!$G:$G,"pipino il breve")</f>
        <v>100.05</v>
      </c>
    </row>
    <row r="36" spans="1:5" x14ac:dyDescent="0.2">
      <c r="A36">
        <v>35</v>
      </c>
      <c r="B36" s="2" t="s">
        <v>21</v>
      </c>
      <c r="C36" s="3">
        <v>1.4</v>
      </c>
      <c r="D36" s="2" t="s">
        <v>140</v>
      </c>
      <c r="E36">
        <f>_xlfn.XLOOKUP(B36,'20'!$A:$A,'20'!$G:$G,"pipino il breve")</f>
        <v>70.62</v>
      </c>
    </row>
    <row r="37" spans="1:5" x14ac:dyDescent="0.2">
      <c r="A37">
        <v>36</v>
      </c>
      <c r="B37" s="2" t="s">
        <v>22</v>
      </c>
      <c r="C37" s="3">
        <v>1.2250000000000001</v>
      </c>
      <c r="D37" s="2" t="s">
        <v>141</v>
      </c>
      <c r="E37">
        <f>_xlfn.XLOOKUP(B37,'20'!$A:$A,'20'!$G:$G,"pipino il breve")</f>
        <v>94.19</v>
      </c>
    </row>
    <row r="38" spans="1:5" x14ac:dyDescent="0.2">
      <c r="A38">
        <v>37</v>
      </c>
      <c r="B38" s="2" t="s">
        <v>26</v>
      </c>
      <c r="C38" s="3">
        <v>1.4750000000000001</v>
      </c>
      <c r="D38" s="2" t="s">
        <v>142</v>
      </c>
      <c r="E38">
        <f>_xlfn.XLOOKUP(B38,'20'!$A:$A,'20'!$G:$G,"pipino il breve")</f>
        <v>90.95</v>
      </c>
    </row>
    <row r="39" spans="1:5" x14ac:dyDescent="0.2">
      <c r="A39">
        <v>38</v>
      </c>
      <c r="B39" s="2" t="s">
        <v>30</v>
      </c>
      <c r="C39" s="3">
        <v>1.675</v>
      </c>
      <c r="D39" s="2" t="s">
        <v>143</v>
      </c>
      <c r="E39">
        <f>_xlfn.XLOOKUP(B39,'20'!$A:$A,'20'!$G:$G,"pipino il breve")</f>
        <v>99</v>
      </c>
    </row>
    <row r="40" spans="1:5" x14ac:dyDescent="0.2">
      <c r="A40">
        <v>39</v>
      </c>
      <c r="B40" s="2" t="s">
        <v>31</v>
      </c>
      <c r="C40" s="3">
        <v>1.925</v>
      </c>
      <c r="D40" s="2" t="s">
        <v>144</v>
      </c>
      <c r="E40">
        <f>_xlfn.XLOOKUP(B40,'20'!$A:$A,'20'!$G:$G,"pipino il breve")</f>
        <v>94.12</v>
      </c>
    </row>
    <row r="41" spans="1:5" x14ac:dyDescent="0.2">
      <c r="A41">
        <v>40</v>
      </c>
      <c r="B41" s="2" t="s">
        <v>35</v>
      </c>
      <c r="C41" s="3">
        <v>0.67500000000000004</v>
      </c>
      <c r="D41" s="2" t="s">
        <v>145</v>
      </c>
      <c r="E41">
        <f>_xlfn.XLOOKUP(B41,'20'!$A:$A,'20'!$G:$G,"pipino il breve")</f>
        <v>94.23</v>
      </c>
    </row>
    <row r="42" spans="1:5" x14ac:dyDescent="0.2">
      <c r="A42">
        <v>41</v>
      </c>
      <c r="B42" s="2" t="s">
        <v>37</v>
      </c>
      <c r="C42" s="3">
        <v>1.2250000000000001</v>
      </c>
      <c r="D42" s="2" t="s">
        <v>146</v>
      </c>
      <c r="E42">
        <f>_xlfn.XLOOKUP(B42,'20'!$A:$A,'20'!$G:$G,"pipino il breve")</f>
        <v>72.39</v>
      </c>
    </row>
    <row r="43" spans="1:5" x14ac:dyDescent="0.2">
      <c r="A43">
        <v>42</v>
      </c>
      <c r="B43" s="2" t="s">
        <v>46</v>
      </c>
      <c r="C43" s="3">
        <v>0.85</v>
      </c>
      <c r="D43" s="2" t="s">
        <v>147</v>
      </c>
      <c r="E43">
        <f>_xlfn.XLOOKUP(B43,'20'!$A:$A,'20'!$G:$G,"pipino il breve")</f>
        <v>60.78</v>
      </c>
    </row>
    <row r="44" spans="1:5" x14ac:dyDescent="0.2">
      <c r="A44">
        <v>43</v>
      </c>
      <c r="B44" s="2" t="s">
        <v>68</v>
      </c>
      <c r="C44" s="3">
        <v>2.2250000000000001</v>
      </c>
      <c r="D44" s="2" t="s">
        <v>148</v>
      </c>
      <c r="E44">
        <f>_xlfn.XLOOKUP(B44,'20'!$A:$A,'20'!$G:$G,"pipino il breve")</f>
        <v>103.99</v>
      </c>
    </row>
    <row r="45" spans="1:5" x14ac:dyDescent="0.2">
      <c r="A45">
        <v>44</v>
      </c>
      <c r="B45" s="2" t="s">
        <v>77</v>
      </c>
      <c r="C45" s="3">
        <v>2.1</v>
      </c>
      <c r="D45" s="2" t="s">
        <v>149</v>
      </c>
      <c r="E45">
        <f>_xlfn.XLOOKUP(B45,'20'!$A:$A,'20'!$G:$G,"pipino il breve")</f>
        <v>106.31</v>
      </c>
    </row>
    <row r="46" spans="1:5" x14ac:dyDescent="0.2">
      <c r="A46">
        <v>45</v>
      </c>
      <c r="B46" s="2" t="s">
        <v>45</v>
      </c>
      <c r="C46" s="3">
        <v>0.45</v>
      </c>
      <c r="D46" s="2" t="s">
        <v>150</v>
      </c>
      <c r="E46">
        <f>_xlfn.XLOOKUP(B46,'20'!$A:$A,'20'!$G:$G,"pipino il breve")</f>
        <v>89.46</v>
      </c>
    </row>
    <row r="47" spans="1:5" x14ac:dyDescent="0.2">
      <c r="A47">
        <v>46</v>
      </c>
      <c r="B47" s="2" t="s">
        <v>55</v>
      </c>
      <c r="C47" s="3">
        <v>0.47499999999999998</v>
      </c>
      <c r="D47" s="2" t="s">
        <v>151</v>
      </c>
      <c r="E47">
        <f>_xlfn.XLOOKUP(B47,'20'!$A:$A,'20'!$G:$G,"pipino il breve")</f>
        <v>86.73</v>
      </c>
    </row>
    <row r="48" spans="1:5" x14ac:dyDescent="0.2">
      <c r="A48">
        <v>47</v>
      </c>
      <c r="B48" s="2" t="s">
        <v>65</v>
      </c>
      <c r="C48" s="3">
        <v>2.2000000000000002</v>
      </c>
      <c r="D48" s="2" t="s">
        <v>152</v>
      </c>
      <c r="E48">
        <f>_xlfn.XLOOKUP(B48,'20'!$A:$A,'20'!$G:$G,"pipino il breve")</f>
        <v>108.28</v>
      </c>
    </row>
    <row r="49" spans="1:5" x14ac:dyDescent="0.2">
      <c r="A49">
        <v>48</v>
      </c>
      <c r="B49" s="2" t="s">
        <v>0</v>
      </c>
      <c r="C49" s="3">
        <v>3.625</v>
      </c>
      <c r="D49" s="2" t="s">
        <v>153</v>
      </c>
      <c r="E49">
        <f>_xlfn.XLOOKUP(B49,'20'!$A:$A,'20'!$G:$G,"pipino il breve")</f>
        <v>107.56</v>
      </c>
    </row>
    <row r="50" spans="1:5" x14ac:dyDescent="0.2">
      <c r="A50">
        <v>49</v>
      </c>
      <c r="B50" s="2" t="s">
        <v>1</v>
      </c>
      <c r="C50" s="3">
        <v>3.25</v>
      </c>
      <c r="D50" s="2" t="s">
        <v>154</v>
      </c>
      <c r="E50">
        <f>_xlfn.XLOOKUP(B50,'20'!$A:$A,'20'!$G:$G,"pipino il breve")</f>
        <v>110.37</v>
      </c>
    </row>
    <row r="51" spans="1:5" x14ac:dyDescent="0.2">
      <c r="A51">
        <v>50</v>
      </c>
      <c r="B51" s="2" t="s">
        <v>2</v>
      </c>
      <c r="C51" s="3">
        <v>2.625</v>
      </c>
      <c r="D51" s="2" t="s">
        <v>155</v>
      </c>
      <c r="E51">
        <f>_xlfn.XLOOKUP(B51,'20'!$A:$A,'20'!$G:$G,"pipino il breve")</f>
        <v>111.54</v>
      </c>
    </row>
    <row r="52" spans="1:5" x14ac:dyDescent="0.2">
      <c r="A52">
        <v>51</v>
      </c>
      <c r="B52" s="2" t="s">
        <v>3</v>
      </c>
      <c r="C52" s="3">
        <v>3</v>
      </c>
      <c r="D52" s="2" t="s">
        <v>156</v>
      </c>
      <c r="E52">
        <f>_xlfn.XLOOKUP(B52,'20'!$A:$A,'20'!$G:$G,"pipino il breve")</f>
        <v>117.25</v>
      </c>
    </row>
    <row r="53" spans="1:5" x14ac:dyDescent="0.2">
      <c r="A53">
        <v>52</v>
      </c>
      <c r="B53" s="2" t="s">
        <v>14</v>
      </c>
      <c r="C53" s="3">
        <v>0.75</v>
      </c>
      <c r="D53" s="2" t="s">
        <v>157</v>
      </c>
      <c r="E53">
        <f>_xlfn.XLOOKUP(B53,'20'!$A:$A,'20'!$G:$G,"pipino il breve")</f>
        <v>99.974999999999994</v>
      </c>
    </row>
    <row r="54" spans="1:5" x14ac:dyDescent="0.2">
      <c r="A54">
        <v>53</v>
      </c>
      <c r="B54" s="2" t="s">
        <v>39</v>
      </c>
      <c r="C54" s="3">
        <v>0.47499999999999998</v>
      </c>
      <c r="D54" s="2" t="s">
        <v>158</v>
      </c>
      <c r="E54">
        <f>_xlfn.XLOOKUP(B54,'20'!$A:$A,'20'!$G:$G,"pipino il breve")</f>
        <v>91.53</v>
      </c>
    </row>
    <row r="55" spans="1:5" x14ac:dyDescent="0.2">
      <c r="A55">
        <v>54</v>
      </c>
      <c r="B55" s="2" t="s">
        <v>72</v>
      </c>
      <c r="C55" s="3">
        <v>2.1749999999999998</v>
      </c>
      <c r="D55" s="2" t="s">
        <v>159</v>
      </c>
      <c r="E55">
        <f>_xlfn.XLOOKUP(B55,'20'!$A:$A,'20'!$G:$G,"pipino il breve")</f>
        <v>107.52</v>
      </c>
    </row>
    <row r="56" spans="1:5" x14ac:dyDescent="0.2">
      <c r="A56">
        <v>55</v>
      </c>
      <c r="B56" s="2" t="s">
        <v>160</v>
      </c>
      <c r="C56" s="3">
        <v>1.4951000000000001</v>
      </c>
      <c r="D56" s="2" t="s">
        <v>161</v>
      </c>
      <c r="E56">
        <f>_xlfn.XLOOKUP(B56,'20'!$A:$A,'20'!$G:$G,"pipino il breve")</f>
        <v>99.97</v>
      </c>
    </row>
    <row r="57" spans="1:5" x14ac:dyDescent="0.2">
      <c r="A57">
        <v>56</v>
      </c>
      <c r="B57" s="2" t="s">
        <v>93</v>
      </c>
      <c r="C57" s="3">
        <v>1.5</v>
      </c>
      <c r="D57" s="2" t="s">
        <v>162</v>
      </c>
      <c r="E57">
        <f>_xlfn.XLOOKUP(B57,'20'!$A:$A,'20'!$G:$G,"pipino il breve")</f>
        <v>101.75</v>
      </c>
    </row>
    <row r="58" spans="1:5" x14ac:dyDescent="0.2">
      <c r="A58">
        <v>57</v>
      </c>
      <c r="B58" s="2" t="s">
        <v>100</v>
      </c>
      <c r="C58" s="3">
        <v>0.97789999999999999</v>
      </c>
      <c r="D58" s="2" t="s">
        <v>164</v>
      </c>
      <c r="E58">
        <f>_xlfn.XLOOKUP(B58,'20'!$A:$A,'20'!$G:$G,"pipino il breve")</f>
        <v>100.9</v>
      </c>
    </row>
    <row r="59" spans="1:5" x14ac:dyDescent="0.2">
      <c r="A59">
        <v>58</v>
      </c>
      <c r="B59" s="2" t="s">
        <v>60</v>
      </c>
      <c r="C59" s="3">
        <v>1.25</v>
      </c>
      <c r="D59" s="2" t="s">
        <v>165</v>
      </c>
      <c r="E59">
        <f>_xlfn.XLOOKUP(B59,'20'!$A:$A,'20'!$G:$G,"pipino il breve")</f>
        <v>95.64</v>
      </c>
    </row>
    <row r="60" spans="1:5" x14ac:dyDescent="0.2">
      <c r="A60">
        <v>59</v>
      </c>
      <c r="B60" s="2" t="s">
        <v>25</v>
      </c>
      <c r="C60" s="3">
        <v>1.0249999999999999</v>
      </c>
      <c r="D60" s="2" t="s">
        <v>166</v>
      </c>
      <c r="E60">
        <f>_xlfn.XLOOKUP(B60,'20'!$A:$A,'20'!$G:$G,"pipino il breve")</f>
        <v>100.07</v>
      </c>
    </row>
    <row r="61" spans="1:5" x14ac:dyDescent="0.2">
      <c r="A61">
        <v>60</v>
      </c>
      <c r="B61" s="2" t="s">
        <v>63</v>
      </c>
      <c r="C61" s="3">
        <v>1.325</v>
      </c>
      <c r="D61" s="2" t="s">
        <v>167</v>
      </c>
      <c r="E61">
        <f>_xlfn.XLOOKUP(B61,'20'!$A:$A,'20'!$G:$G,"pipino il breve")</f>
        <v>101.26</v>
      </c>
    </row>
    <row r="62" spans="1:5" x14ac:dyDescent="0.2">
      <c r="A62">
        <v>61</v>
      </c>
      <c r="B62" s="2" t="s">
        <v>17</v>
      </c>
      <c r="C62" s="3">
        <v>1.35</v>
      </c>
      <c r="D62" s="2" t="s">
        <v>168</v>
      </c>
      <c r="E62">
        <f>_xlfn.XLOOKUP(B62,'20'!$A:$A,'20'!$G:$G,"pipino il breve")</f>
        <v>79.14</v>
      </c>
    </row>
    <row r="63" spans="1:5" x14ac:dyDescent="0.2">
      <c r="A63">
        <v>62</v>
      </c>
      <c r="B63" s="2" t="s">
        <v>47</v>
      </c>
      <c r="C63" s="3">
        <v>0.47499999999999998</v>
      </c>
      <c r="D63" s="2" t="s">
        <v>169</v>
      </c>
      <c r="E63">
        <f>_xlfn.XLOOKUP(B63,'20'!$A:$A,'20'!$G:$G,"pipino il breve")</f>
        <v>73.94</v>
      </c>
    </row>
    <row r="64" spans="1:5" x14ac:dyDescent="0.2">
      <c r="A64">
        <v>63</v>
      </c>
      <c r="B64" s="2" t="s">
        <v>57</v>
      </c>
      <c r="C64" s="3">
        <v>1.075</v>
      </c>
      <c r="D64" s="2" t="s">
        <v>170</v>
      </c>
      <c r="E64">
        <f>_xlfn.XLOOKUP(B64,'20'!$A:$A,'20'!$G:$G,"pipino il breve")</f>
        <v>66.239999999999995</v>
      </c>
    </row>
    <row r="65" spans="1:5" x14ac:dyDescent="0.2">
      <c r="A65">
        <v>64</v>
      </c>
      <c r="B65" s="2" t="s">
        <v>81</v>
      </c>
      <c r="C65" s="3">
        <v>1.4750000000000001</v>
      </c>
      <c r="D65" s="2" t="s">
        <v>171</v>
      </c>
      <c r="E65">
        <f>_xlfn.XLOOKUP(B65,'20'!$A:$A,'20'!$G:$G,"pipino il breve")</f>
        <v>101.54</v>
      </c>
    </row>
    <row r="66" spans="1:5" x14ac:dyDescent="0.2">
      <c r="A66">
        <v>65</v>
      </c>
      <c r="B66" s="2" t="s">
        <v>97</v>
      </c>
      <c r="C66" s="3">
        <v>1.825</v>
      </c>
      <c r="D66" s="2" t="s">
        <v>172</v>
      </c>
      <c r="E66">
        <f>_xlfn.XLOOKUP(B66,'20'!$A:$A,'20'!$G:$G,"pipino il breve")</f>
        <v>100.72</v>
      </c>
    </row>
    <row r="67" spans="1:5" x14ac:dyDescent="0.2">
      <c r="A67">
        <v>66</v>
      </c>
      <c r="B67" s="2" t="s">
        <v>33</v>
      </c>
      <c r="C67" s="3">
        <v>1.05</v>
      </c>
      <c r="D67" s="2" t="s">
        <v>173</v>
      </c>
      <c r="E67">
        <f>_xlfn.XLOOKUP(B67,'20'!$A:$A,'20'!$G:$G,"pipino il breve")</f>
        <v>100.17</v>
      </c>
    </row>
    <row r="68" spans="1:5" x14ac:dyDescent="0.2">
      <c r="A68">
        <v>67</v>
      </c>
      <c r="B68" s="2" t="s">
        <v>89</v>
      </c>
      <c r="C68" s="3">
        <v>1.7250000000000001</v>
      </c>
      <c r="D68" s="2" t="s">
        <v>174</v>
      </c>
      <c r="E68">
        <f>_xlfn.XLOOKUP(B68,'20'!$A:$A,'20'!$G:$G,"pipino il breve")</f>
        <v>102.72</v>
      </c>
    </row>
    <row r="69" spans="1:5" x14ac:dyDescent="0.2">
      <c r="A69">
        <v>68</v>
      </c>
      <c r="B69" s="2" t="s">
        <v>44</v>
      </c>
      <c r="C69" s="3">
        <v>0.9</v>
      </c>
      <c r="D69" s="2" t="s">
        <v>175</v>
      </c>
      <c r="E69">
        <f>_xlfn.XLOOKUP(B69,'20'!$A:$A,'20'!$G:$G,"pipino il breve")</f>
        <v>74.38</v>
      </c>
    </row>
    <row r="70" spans="1:5" x14ac:dyDescent="0.2">
      <c r="A70">
        <v>69</v>
      </c>
      <c r="B70" s="2" t="s">
        <v>78</v>
      </c>
      <c r="C70" s="3">
        <v>2</v>
      </c>
      <c r="D70" s="2" t="s">
        <v>176</v>
      </c>
      <c r="E70">
        <f>_xlfn.XLOOKUP(B70,'20'!$A:$A,'20'!$G:$G,"pipino il breve")</f>
        <v>105.96</v>
      </c>
    </row>
    <row r="71" spans="1:5" x14ac:dyDescent="0.2">
      <c r="A71">
        <v>70</v>
      </c>
      <c r="B71" s="2" t="s">
        <v>36</v>
      </c>
      <c r="C71" s="3">
        <v>0.42499999999999999</v>
      </c>
      <c r="D71" s="2" t="s">
        <v>177</v>
      </c>
      <c r="E71">
        <f>_xlfn.XLOOKUP(B71,'20'!$A:$A,'20'!$G:$G,"pipino il breve")</f>
        <v>98.31</v>
      </c>
    </row>
    <row r="72" spans="1:5" x14ac:dyDescent="0.2">
      <c r="A72">
        <v>71</v>
      </c>
      <c r="B72" s="2" t="s">
        <v>56</v>
      </c>
      <c r="C72" s="3">
        <v>0.22500000000000001</v>
      </c>
      <c r="D72" s="2" t="s">
        <v>178</v>
      </c>
      <c r="E72">
        <f>_xlfn.XLOOKUP(B72,'20'!$A:$A,'20'!$G:$G,"pipino il breve")</f>
        <v>93.22</v>
      </c>
    </row>
    <row r="73" spans="1:5" x14ac:dyDescent="0.2">
      <c r="A73">
        <v>72</v>
      </c>
      <c r="B73" s="2" t="s">
        <v>66</v>
      </c>
      <c r="C73" s="3">
        <v>1.925</v>
      </c>
      <c r="D73" s="2" t="s">
        <v>179</v>
      </c>
      <c r="E73">
        <f>_xlfn.XLOOKUP(B73,'20'!$A:$A,'20'!$G:$G,"pipino il breve")</f>
        <v>105.39</v>
      </c>
    </row>
    <row r="74" spans="1:5" x14ac:dyDescent="0.2">
      <c r="A74">
        <v>73</v>
      </c>
      <c r="B74" s="2" t="s">
        <v>96</v>
      </c>
      <c r="C74" s="3">
        <v>1.35</v>
      </c>
      <c r="D74" s="2" t="s">
        <v>180</v>
      </c>
      <c r="E74">
        <f>_xlfn.XLOOKUP(B74,'20'!$A:$A,'20'!$G:$G,"pipino il breve")</f>
        <v>101.34</v>
      </c>
    </row>
    <row r="75" spans="1:5" x14ac:dyDescent="0.2">
      <c r="A75">
        <v>74</v>
      </c>
      <c r="B75" s="2" t="s">
        <v>82</v>
      </c>
      <c r="C75" s="3">
        <v>1.75</v>
      </c>
      <c r="D75" s="2" t="s">
        <v>181</v>
      </c>
      <c r="E75">
        <f>_xlfn.XLOOKUP(B75,'20'!$A:$A,'20'!$G:$G,"pipino il breve")</f>
        <v>103.21</v>
      </c>
    </row>
    <row r="76" spans="1:5" x14ac:dyDescent="0.2">
      <c r="A76">
        <v>75</v>
      </c>
      <c r="B76" s="2" t="s">
        <v>70</v>
      </c>
      <c r="C76" s="3">
        <v>1.9</v>
      </c>
      <c r="D76" s="2" t="s">
        <v>182</v>
      </c>
      <c r="E76">
        <f>_xlfn.XLOOKUP(B76,'20'!$A:$A,'20'!$G:$G,"pipino il breve")</f>
        <v>101.56699999999999</v>
      </c>
    </row>
    <row r="77" spans="1:5" x14ac:dyDescent="0.2">
      <c r="A77">
        <v>76</v>
      </c>
      <c r="B77" s="2" t="s">
        <v>61</v>
      </c>
      <c r="C77" s="3">
        <v>1.4</v>
      </c>
      <c r="D77" s="2" t="s">
        <v>183</v>
      </c>
      <c r="E77">
        <f>_xlfn.XLOOKUP(B77,'20'!$A:$A,'20'!$G:$G,"pipino il breve")</f>
        <v>101.32</v>
      </c>
    </row>
    <row r="78" spans="1:5" x14ac:dyDescent="0.2">
      <c r="A78">
        <v>77</v>
      </c>
      <c r="B78" s="2" t="s">
        <v>42</v>
      </c>
      <c r="C78" s="3">
        <v>0.47499999999999998</v>
      </c>
      <c r="D78" s="2" t="s">
        <v>184</v>
      </c>
      <c r="E78">
        <f>_xlfn.XLOOKUP(B78,'20'!$A:$A,'20'!$G:$G,"pipino il breve")</f>
        <v>97.55</v>
      </c>
    </row>
    <row r="79" spans="1:5" x14ac:dyDescent="0.2">
      <c r="A79">
        <v>78</v>
      </c>
      <c r="B79" s="2" t="s">
        <v>101</v>
      </c>
      <c r="C79" s="3">
        <v>0.6552</v>
      </c>
      <c r="D79" s="2" t="s">
        <v>185</v>
      </c>
      <c r="E79">
        <f>_xlfn.XLOOKUP(B79,'20'!$A:$A,'20'!$G:$G,"pipino il breve")</f>
        <v>101.04</v>
      </c>
    </row>
    <row r="80" spans="1:5" x14ac:dyDescent="0.2">
      <c r="A80">
        <v>79</v>
      </c>
      <c r="B80" s="2" t="s">
        <v>71</v>
      </c>
      <c r="C80" s="3">
        <v>1.85</v>
      </c>
      <c r="D80" s="2" t="s">
        <v>186</v>
      </c>
      <c r="E80">
        <f>_xlfn.XLOOKUP(B80,'20'!$A:$A,'20'!$G:$G,"pipino il breve")</f>
        <v>104.62</v>
      </c>
    </row>
    <row r="81" spans="1:5" x14ac:dyDescent="0.2">
      <c r="A81">
        <v>80</v>
      </c>
      <c r="B81" s="2" t="s">
        <v>52</v>
      </c>
      <c r="C81" s="3">
        <v>0.25</v>
      </c>
      <c r="D81" s="2" t="s">
        <v>187</v>
      </c>
      <c r="E81">
        <f>_xlfn.XLOOKUP(B81,'20'!$A:$A,'20'!$G:$G,"pipino il breve")</f>
        <v>94.8</v>
      </c>
    </row>
    <row r="82" spans="1:5" x14ac:dyDescent="0.2">
      <c r="A82">
        <v>81</v>
      </c>
      <c r="B82" s="2" t="s">
        <v>90</v>
      </c>
      <c r="C82" s="3">
        <v>1.7250000000000001</v>
      </c>
      <c r="D82" s="2" t="s">
        <v>188</v>
      </c>
      <c r="E82">
        <f>_xlfn.XLOOKUP(B82,'20'!$A:$A,'20'!$G:$G,"pipino il breve")</f>
        <v>102.9</v>
      </c>
    </row>
    <row r="83" spans="1:5" x14ac:dyDescent="0.2">
      <c r="A83">
        <v>82</v>
      </c>
      <c r="B83" s="2" t="s">
        <v>75</v>
      </c>
      <c r="C83" s="3">
        <v>1.925</v>
      </c>
      <c r="D83" s="2" t="s">
        <v>189</v>
      </c>
      <c r="E83">
        <f>_xlfn.XLOOKUP(B83,'20'!$A:$A,'20'!$G:$G,"pipino il breve")</f>
        <v>102.37</v>
      </c>
    </row>
    <row r="84" spans="1:5" x14ac:dyDescent="0.2">
      <c r="A84">
        <v>83</v>
      </c>
      <c r="B84" s="2" t="s">
        <v>29</v>
      </c>
      <c r="C84" s="3">
        <v>1.25</v>
      </c>
      <c r="D84" s="2" t="s">
        <v>190</v>
      </c>
      <c r="E84">
        <f>_xlfn.XLOOKUP(B84,'20'!$A:$A,'20'!$G:$G,"pipino il breve")</f>
        <v>100.24</v>
      </c>
    </row>
    <row r="85" spans="1:5" x14ac:dyDescent="0.2">
      <c r="A85">
        <v>84</v>
      </c>
      <c r="B85" s="2" t="s">
        <v>94</v>
      </c>
      <c r="C85" s="3">
        <v>2.15</v>
      </c>
      <c r="D85" s="2" t="s">
        <v>191</v>
      </c>
      <c r="E85">
        <f>_xlfn.XLOOKUP(B85,'20'!$A:$A,'20'!$G:$G,"pipino il breve")</f>
        <v>98.36</v>
      </c>
    </row>
    <row r="86" spans="1:5" x14ac:dyDescent="0.2">
      <c r="A86">
        <v>85</v>
      </c>
      <c r="B86" s="2" t="s">
        <v>64</v>
      </c>
      <c r="C86" s="3">
        <v>1.75</v>
      </c>
      <c r="D86" s="2" t="s">
        <v>192</v>
      </c>
      <c r="E86">
        <f>_xlfn.XLOOKUP(B86,'20'!$A:$A,'20'!$G:$G,"pipino il breve")</f>
        <v>100.92</v>
      </c>
    </row>
    <row r="87" spans="1:5" x14ac:dyDescent="0.2">
      <c r="A87">
        <v>86</v>
      </c>
      <c r="B87" s="2" t="s">
        <v>48</v>
      </c>
      <c r="C87" s="3">
        <v>0.125</v>
      </c>
      <c r="D87" s="2" t="s">
        <v>193</v>
      </c>
      <c r="E87">
        <f>_xlfn.XLOOKUP(B87,'20'!$A:$A,'20'!$G:$G,"pipino il breve")</f>
        <v>94.97</v>
      </c>
    </row>
    <row r="88" spans="1:5" x14ac:dyDescent="0.2">
      <c r="A88">
        <v>87</v>
      </c>
      <c r="B88" s="2" t="s">
        <v>38</v>
      </c>
      <c r="C88" s="3">
        <v>0.72499999999999998</v>
      </c>
      <c r="D88" s="2" t="s">
        <v>194</v>
      </c>
      <c r="E88">
        <f>_xlfn.XLOOKUP(B88,'20'!$A:$A,'20'!$G:$G,"pipino il breve")</f>
        <v>80.900000000000006</v>
      </c>
    </row>
    <row r="89" spans="1:5" x14ac:dyDescent="0.2">
      <c r="A89">
        <v>88</v>
      </c>
      <c r="B89" s="2" t="s">
        <v>99</v>
      </c>
      <c r="C89" s="3">
        <v>1.925</v>
      </c>
      <c r="D89" s="2" t="s">
        <v>195</v>
      </c>
      <c r="E89">
        <f>_xlfn.XLOOKUP(B89,'20'!$A:$A,'20'!$G:$G,"pipino il breve")</f>
        <v>97.84</v>
      </c>
    </row>
    <row r="90" spans="1:5" x14ac:dyDescent="0.2">
      <c r="A90">
        <v>89</v>
      </c>
      <c r="B90" s="2" t="s">
        <v>59</v>
      </c>
      <c r="C90" s="3">
        <v>0.6</v>
      </c>
      <c r="D90" s="2" t="s">
        <v>196</v>
      </c>
      <c r="E90">
        <f>_xlfn.XLOOKUP(B90,'20'!$A:$A,'20'!$G:$G,"pipino il breve")</f>
        <v>99.811000000000007</v>
      </c>
    </row>
    <row r="91" spans="1:5" x14ac:dyDescent="0.2">
      <c r="A91">
        <v>90</v>
      </c>
      <c r="B91" s="2" t="s">
        <v>10</v>
      </c>
      <c r="C91" s="3">
        <v>2.375</v>
      </c>
      <c r="D91" s="2" t="s">
        <v>199</v>
      </c>
      <c r="E91">
        <f>_xlfn.XLOOKUP(B91,'20'!$A:$A,'20'!$G:$G,"pipino il breve")</f>
        <v>107.75</v>
      </c>
    </row>
    <row r="92" spans="1:5" x14ac:dyDescent="0.2">
      <c r="A92">
        <v>91</v>
      </c>
      <c r="B92" s="2" t="s">
        <v>69</v>
      </c>
      <c r="C92" s="3">
        <v>2.25</v>
      </c>
      <c r="D92" s="2" t="s">
        <v>200</v>
      </c>
      <c r="E92">
        <f>_xlfn.XLOOKUP(B92,'20'!$A:$A,'20'!$G:$G,"pipino il breve")</f>
        <v>101.94</v>
      </c>
    </row>
    <row r="93" spans="1:5" x14ac:dyDescent="0.2">
      <c r="A93">
        <v>92</v>
      </c>
      <c r="B93" s="2" t="s">
        <v>201</v>
      </c>
      <c r="C93" s="3">
        <v>0.72719999999999996</v>
      </c>
      <c r="D93" s="2" t="s">
        <v>202</v>
      </c>
      <c r="E93">
        <f>_xlfn.XLOOKUP(B93,'20'!$A:$A,'20'!$G:$G,"pipino il breve")</f>
        <v>100.55</v>
      </c>
    </row>
    <row r="94" spans="1:5" x14ac:dyDescent="0.2">
      <c r="A94">
        <v>93</v>
      </c>
      <c r="B94" s="2" t="s">
        <v>85</v>
      </c>
      <c r="C94" s="3">
        <v>1.6</v>
      </c>
      <c r="D94" s="2" t="s">
        <v>203</v>
      </c>
      <c r="E94">
        <f>_xlfn.XLOOKUP(B94,'20'!$A:$A,'20'!$G:$G,"pipino il breve")</f>
        <v>100.774</v>
      </c>
    </row>
    <row r="95" spans="1:5" x14ac:dyDescent="0.2">
      <c r="A95">
        <v>94</v>
      </c>
      <c r="B95" s="2" t="s">
        <v>76</v>
      </c>
      <c r="C95" s="3">
        <v>1.8</v>
      </c>
      <c r="D95" s="2" t="s">
        <v>204</v>
      </c>
      <c r="E95">
        <f>_xlfn.XLOOKUP(B95,'20'!$A:$A,'20'!$G:$G,"pipino il breve")</f>
        <v>100.524</v>
      </c>
    </row>
    <row r="96" spans="1:5" x14ac:dyDescent="0.2">
      <c r="A96">
        <v>95</v>
      </c>
      <c r="B96" s="2" t="s">
        <v>40</v>
      </c>
      <c r="C96" s="3">
        <v>0.92500000000000004</v>
      </c>
      <c r="D96" s="2" t="s">
        <v>205</v>
      </c>
      <c r="E96">
        <f>_xlfn.XLOOKUP(B96,'20'!$A:$A,'20'!$G:$G,"pipino il breve")</f>
        <v>99.977999999999994</v>
      </c>
    </row>
    <row r="97" spans="1:5" x14ac:dyDescent="0.2">
      <c r="A97">
        <v>96</v>
      </c>
      <c r="B97" s="2" t="s">
        <v>91</v>
      </c>
      <c r="C97" s="3">
        <v>1.55</v>
      </c>
      <c r="D97" s="2" t="s">
        <v>206</v>
      </c>
      <c r="E97">
        <f>_xlfn.XLOOKUP(B97,'20'!$A:$A,'20'!$G:$G,"pipino il breve")</f>
        <v>101.36</v>
      </c>
    </row>
    <row r="98" spans="1:5" x14ac:dyDescent="0.2">
      <c r="A98">
        <v>97</v>
      </c>
      <c r="B98" s="2" t="s">
        <v>95</v>
      </c>
      <c r="C98" s="3">
        <v>1.575</v>
      </c>
      <c r="D98" s="2" t="s">
        <v>207</v>
      </c>
      <c r="E98">
        <f>_xlfn.XLOOKUP(B98,'20'!$A:$A,'20'!$G:$G,"pipino il breve")</f>
        <v>100.81</v>
      </c>
    </row>
    <row r="99" spans="1:5" x14ac:dyDescent="0.2">
      <c r="A99">
        <v>98</v>
      </c>
      <c r="B99" s="2" t="s">
        <v>98</v>
      </c>
      <c r="C99" s="3">
        <v>1.2749999999999999</v>
      </c>
      <c r="D99" s="2" t="s">
        <v>208</v>
      </c>
      <c r="E99">
        <f>_xlfn.XLOOKUP(B99,'20'!$A:$A,'20'!$G:$G,"pipino il breve")</f>
        <v>100.84</v>
      </c>
    </row>
    <row r="100" spans="1:5" x14ac:dyDescent="0.2">
      <c r="A100">
        <v>99</v>
      </c>
      <c r="B100" s="2" t="s">
        <v>67</v>
      </c>
      <c r="C100" s="3">
        <v>1.7</v>
      </c>
      <c r="D100" s="2" t="s">
        <v>209</v>
      </c>
      <c r="E100">
        <f>_xlfn.XLOOKUP(B100,'20'!$A:$A,'20'!$G:$G,"pipino il breve")</f>
        <v>103.26</v>
      </c>
    </row>
    <row r="101" spans="1:5" x14ac:dyDescent="0.2">
      <c r="A101">
        <v>100</v>
      </c>
      <c r="B101" s="2" t="s">
        <v>84</v>
      </c>
      <c r="C101" s="3">
        <v>0.8125</v>
      </c>
      <c r="D101" s="2" t="s">
        <v>210</v>
      </c>
      <c r="E101">
        <f>_xlfn.XLOOKUP(B101,'20'!$A:$A,'20'!$G:$G,"pipino il breve")</f>
        <v>103.8</v>
      </c>
    </row>
    <row r="102" spans="1:5" x14ac:dyDescent="0.2">
      <c r="A102">
        <v>101</v>
      </c>
      <c r="B102" s="2" t="s">
        <v>211</v>
      </c>
      <c r="C102" s="3">
        <v>0.8125</v>
      </c>
      <c r="D102" s="2" t="s">
        <v>210</v>
      </c>
      <c r="E102">
        <f>_xlfn.XLOOKUP(B102,'20'!$A:$A,'20'!$G:$G,"pipino il breve")</f>
        <v>103.8</v>
      </c>
    </row>
    <row r="103" spans="1:5" x14ac:dyDescent="0.2">
      <c r="A103">
        <v>102</v>
      </c>
      <c r="B103" s="2" t="s">
        <v>79</v>
      </c>
      <c r="C103" s="3">
        <v>1.0249999999999999</v>
      </c>
      <c r="D103" s="2" t="s">
        <v>212</v>
      </c>
      <c r="E103">
        <f>_xlfn.XLOOKUP(B103,'20'!$A:$A,'20'!$G:$G,"pipino il breve")</f>
        <v>105.68</v>
      </c>
    </row>
    <row r="104" spans="1:5" x14ac:dyDescent="0.2">
      <c r="A104">
        <v>103</v>
      </c>
      <c r="B104" s="2" t="s">
        <v>213</v>
      </c>
      <c r="C104" s="3">
        <v>1.0249999999999999</v>
      </c>
      <c r="D104" s="2" t="s">
        <v>212</v>
      </c>
      <c r="E104">
        <f>_xlfn.XLOOKUP(B104,'20'!$A:$A,'20'!$G:$G,"pipino il breve")</f>
        <v>105.68</v>
      </c>
    </row>
    <row r="105" spans="1:5" x14ac:dyDescent="0.2">
      <c r="A105">
        <v>104</v>
      </c>
      <c r="B105" s="2" t="s">
        <v>73</v>
      </c>
      <c r="C105" s="3">
        <v>1.625</v>
      </c>
      <c r="D105" s="2" t="s">
        <v>214</v>
      </c>
      <c r="E105">
        <f>_xlfn.XLOOKUP(B105,'20'!$A:$A,'20'!$G:$G,"pipino il breve")</f>
        <v>103.38</v>
      </c>
    </row>
    <row r="106" spans="1:5" x14ac:dyDescent="0.2">
      <c r="A106">
        <v>105</v>
      </c>
      <c r="B106" s="2" t="s">
        <v>215</v>
      </c>
      <c r="C106" s="3">
        <v>1.625</v>
      </c>
      <c r="D106" s="2" t="s">
        <v>214</v>
      </c>
      <c r="E106">
        <f>_xlfn.XLOOKUP(B106,'20'!$A:$A,'20'!$G:$G,"pipino il breve")</f>
        <v>103.38</v>
      </c>
    </row>
    <row r="107" spans="1:5" x14ac:dyDescent="0.2">
      <c r="A107">
        <v>106</v>
      </c>
      <c r="B107" s="2" t="s">
        <v>88</v>
      </c>
      <c r="C107" s="3">
        <v>0.83750000000000002</v>
      </c>
      <c r="D107" s="2" t="s">
        <v>216</v>
      </c>
      <c r="E107">
        <f>_xlfn.XLOOKUP(B107,'20'!$A:$A,'20'!$G:$G,"pipino il breve")</f>
        <v>103.48</v>
      </c>
    </row>
    <row r="108" spans="1:5" x14ac:dyDescent="0.2">
      <c r="A108">
        <v>107</v>
      </c>
      <c r="B108" s="2" t="s">
        <v>217</v>
      </c>
      <c r="C108" s="3">
        <v>0.83750000000000002</v>
      </c>
      <c r="D108" s="2" t="s">
        <v>216</v>
      </c>
      <c r="E108">
        <f>_xlfn.XLOOKUP(B108,'20'!$A:$A,'20'!$G:$G,"pipino il breve")</f>
        <v>103.48</v>
      </c>
    </row>
    <row r="109" spans="1:5" x14ac:dyDescent="0.2">
      <c r="A109">
        <v>108</v>
      </c>
      <c r="B109" s="2" t="s">
        <v>80</v>
      </c>
      <c r="C109" s="3">
        <v>2.0499999999999998</v>
      </c>
      <c r="D109" s="2" t="s">
        <v>163</v>
      </c>
      <c r="E109">
        <f>_xlfn.XLOOKUP(B109,'20'!$A:$A,'20'!$G:$G,"pipino il breve")</f>
        <v>105.86</v>
      </c>
    </row>
    <row r="110" spans="1:5" x14ac:dyDescent="0.2">
      <c r="A110">
        <v>109</v>
      </c>
      <c r="B110" s="2" t="s">
        <v>218</v>
      </c>
      <c r="C110" s="3">
        <v>1.2749999999999999</v>
      </c>
      <c r="D110" s="2" t="s">
        <v>219</v>
      </c>
      <c r="E110">
        <f>_xlfn.XLOOKUP(B110,'20'!$A:$A,'20'!$G:$G,"pipino il breve")</f>
        <v>100.85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AA1F-47C5-374C-AF3C-759B2CE09976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116.49</v>
      </c>
      <c r="H2" s="3">
        <v>3.3539633251588001</v>
      </c>
      <c r="I2" s="3">
        <v>2.6879929828933999</v>
      </c>
      <c r="J2" s="3">
        <v>7.8</v>
      </c>
      <c r="K2" s="3">
        <v>6.2426830273562999</v>
      </c>
      <c r="L2" s="2" t="s">
        <v>364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100.38</v>
      </c>
      <c r="H3" s="3">
        <v>2.0262430269374998</v>
      </c>
      <c r="I3" s="3">
        <v>1.7348167097795</v>
      </c>
      <c r="J3" s="3">
        <v>2.1232876712328999</v>
      </c>
      <c r="K3" s="3">
        <v>2.0285734557546999</v>
      </c>
      <c r="L3" s="2" t="s">
        <v>364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99.61</v>
      </c>
      <c r="H4" s="3">
        <v>2.1542765430349</v>
      </c>
      <c r="I4" s="3">
        <v>1.8966437064654</v>
      </c>
      <c r="J4" s="3">
        <v>2.7945205479452002</v>
      </c>
      <c r="K4" s="3">
        <v>2.6636559649553</v>
      </c>
      <c r="L4" s="2" t="s">
        <v>364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101.8</v>
      </c>
      <c r="H5" s="3">
        <v>2.5700439158755999</v>
      </c>
      <c r="I5" s="3">
        <v>2.1946951967772002</v>
      </c>
      <c r="J5" s="3">
        <v>4.2931506849314998</v>
      </c>
      <c r="K5" s="3">
        <v>3.9379910375120999</v>
      </c>
      <c r="L5" s="2" t="s">
        <v>364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101.3</v>
      </c>
      <c r="H6" s="3">
        <v>4.0668250448677004</v>
      </c>
      <c r="I6" s="3">
        <v>3.5411610495608001</v>
      </c>
      <c r="J6" s="3">
        <v>14.465753424657001</v>
      </c>
      <c r="K6" s="3">
        <v>10.600273372730999</v>
      </c>
      <c r="L6" s="2" t="s">
        <v>364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86.06</v>
      </c>
      <c r="H7" s="3">
        <v>3.0744890987575002</v>
      </c>
      <c r="I7" s="3">
        <v>2.9914842312153</v>
      </c>
      <c r="J7" s="3">
        <v>6.2931506849314998</v>
      </c>
      <c r="K7" s="3">
        <v>5.9819052739926004</v>
      </c>
      <c r="L7" s="2" t="s">
        <v>364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107.55</v>
      </c>
      <c r="H8" s="3">
        <v>4.2171944822593996</v>
      </c>
      <c r="I8" s="3">
        <v>3.6373760976437999</v>
      </c>
      <c r="J8" s="3">
        <v>19.389041095890001</v>
      </c>
      <c r="K8" s="3">
        <v>12.540493598872001</v>
      </c>
      <c r="L8" s="2" t="s">
        <v>364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103.77</v>
      </c>
      <c r="H9" s="3">
        <v>2.6858543935378001</v>
      </c>
      <c r="I9" s="3">
        <v>2.2497844210764</v>
      </c>
      <c r="J9" s="3">
        <v>4.8739726027397001</v>
      </c>
      <c r="K9" s="3">
        <v>4.3949119262238998</v>
      </c>
      <c r="L9" s="2" t="s">
        <v>364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90.75</v>
      </c>
      <c r="H10" s="3">
        <v>3.1804074952424002</v>
      </c>
      <c r="I10" s="3">
        <v>2.9571457441132001</v>
      </c>
      <c r="J10" s="3">
        <v>6.8767123287671001</v>
      </c>
      <c r="K10" s="3">
        <v>6.2929590949116001</v>
      </c>
      <c r="L10" s="2" t="s">
        <v>364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99.55</v>
      </c>
      <c r="H11" s="3">
        <v>2.0169753865037001</v>
      </c>
      <c r="I11" s="3">
        <v>1.8145075042465</v>
      </c>
      <c r="J11" s="3">
        <v>1.1232876712329001</v>
      </c>
      <c r="K11" s="3">
        <v>1.0894345050419001</v>
      </c>
      <c r="L11" s="2" t="s">
        <v>364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86.27</v>
      </c>
      <c r="H12" s="3">
        <v>3.7745717232730001</v>
      </c>
      <c r="I12" s="3">
        <v>3.4612894863982002</v>
      </c>
      <c r="J12" s="3">
        <v>11.383561643836</v>
      </c>
      <c r="K12" s="3">
        <v>9.5893020182474995</v>
      </c>
      <c r="L12" s="2" t="s">
        <v>364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88.47</v>
      </c>
      <c r="H13" s="3">
        <v>4.2837261548047998</v>
      </c>
      <c r="I13" s="3">
        <v>3.8067028170697998</v>
      </c>
      <c r="J13" s="3">
        <v>22.887671232877</v>
      </c>
      <c r="K13" s="3">
        <v>14.807587542576</v>
      </c>
      <c r="L13" s="2" t="s">
        <v>364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89.74</v>
      </c>
      <c r="H14" s="3">
        <v>4.0606499363701003</v>
      </c>
      <c r="I14" s="3">
        <v>3.6385227684485999</v>
      </c>
      <c r="J14" s="3">
        <v>14.882191780822</v>
      </c>
      <c r="K14" s="3">
        <v>11.332174950827</v>
      </c>
      <c r="L14" s="2" t="s">
        <v>364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98.070999999999998</v>
      </c>
      <c r="H15" s="3">
        <v>2.0289376338918998</v>
      </c>
      <c r="I15" s="3">
        <v>2.0162644273376999</v>
      </c>
      <c r="J15" s="3">
        <v>0.95616438356164002</v>
      </c>
      <c r="K15" s="3">
        <v>0.93740577263961999</v>
      </c>
      <c r="L15" s="2" t="s">
        <v>364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59.5</v>
      </c>
      <c r="H16" s="3">
        <v>4.1413712847218003</v>
      </c>
      <c r="I16" s="3">
        <v>3.7415881904006998</v>
      </c>
      <c r="J16" s="3">
        <v>46.904109589040999</v>
      </c>
      <c r="K16" s="3">
        <v>23.181614640643001</v>
      </c>
      <c r="L16" s="2" t="s">
        <v>364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93.48</v>
      </c>
      <c r="H17" s="3">
        <v>3.9341543400466001</v>
      </c>
      <c r="I17" s="3">
        <v>3.5020625877514999</v>
      </c>
      <c r="J17" s="3">
        <v>12.879452054794999</v>
      </c>
      <c r="K17" s="3">
        <v>10.091086442742</v>
      </c>
      <c r="L17" s="2" t="s">
        <v>364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98.27</v>
      </c>
      <c r="H18" s="3">
        <v>2.0162783621866001</v>
      </c>
      <c r="I18" s="3">
        <v>1.8759234983902</v>
      </c>
      <c r="J18" s="3">
        <v>1.9561643835616001</v>
      </c>
      <c r="K18" s="3">
        <v>1.9013234469388001</v>
      </c>
      <c r="L18" s="2" t="s">
        <v>364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102.91</v>
      </c>
      <c r="H19" s="3">
        <v>2.6289195816793001</v>
      </c>
      <c r="I19" s="3">
        <v>2.2088081991280002</v>
      </c>
      <c r="J19" s="3">
        <v>4.2082191780822003</v>
      </c>
      <c r="K19" s="3">
        <v>3.8301842588252</v>
      </c>
      <c r="L19" s="2" t="s">
        <v>364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102.31</v>
      </c>
      <c r="H20" s="3">
        <v>3.5808944034025001</v>
      </c>
      <c r="I20" s="3">
        <v>3.0967382838644002</v>
      </c>
      <c r="J20" s="3">
        <v>9.2109589041095994</v>
      </c>
      <c r="K20" s="3">
        <v>7.5125442396075002</v>
      </c>
      <c r="L20" s="2" t="s">
        <v>364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93.5</v>
      </c>
      <c r="H21" s="3">
        <v>2.9289502043381002</v>
      </c>
      <c r="I21" s="3">
        <v>2.7072424567528</v>
      </c>
      <c r="J21" s="3">
        <v>5.6273972602739999</v>
      </c>
      <c r="K21" s="3">
        <v>5.2025361525590004</v>
      </c>
      <c r="L21" s="2" t="s">
        <v>364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87.14</v>
      </c>
      <c r="H22" s="3">
        <v>3.1358937061710002</v>
      </c>
      <c r="I22" s="3">
        <v>3.0050863456841999</v>
      </c>
      <c r="J22" s="3">
        <v>6.6273972602739999</v>
      </c>
      <c r="K22" s="3">
        <v>6.2012999273825002</v>
      </c>
      <c r="L22" s="2" t="s">
        <v>364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104.51</v>
      </c>
      <c r="H23" s="3">
        <v>2.3809901980261001</v>
      </c>
      <c r="I23" s="3">
        <v>1.9136389320928</v>
      </c>
      <c r="J23" s="3">
        <v>3.2931506849315002</v>
      </c>
      <c r="K23" s="3">
        <v>3.036440300802</v>
      </c>
      <c r="L23" s="2" t="s">
        <v>364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111.59</v>
      </c>
      <c r="H24" s="3">
        <v>3.5554060603954998</v>
      </c>
      <c r="I24" s="3">
        <v>2.9587829376439001</v>
      </c>
      <c r="J24" s="3">
        <v>9.2958904109589007</v>
      </c>
      <c r="K24" s="3">
        <v>7.3291141305794998</v>
      </c>
      <c r="L24" s="2" t="s">
        <v>364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102.32</v>
      </c>
      <c r="H25" s="3">
        <v>3.7856590501655001</v>
      </c>
      <c r="I25" s="3">
        <v>3.2843491216218998</v>
      </c>
      <c r="J25" s="3">
        <v>11.802739726026999</v>
      </c>
      <c r="K25" s="3">
        <v>9.1349379984392005</v>
      </c>
      <c r="L25" s="2" t="s">
        <v>364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</v>
      </c>
      <c r="H26" s="3">
        <v>4.0203109258912999</v>
      </c>
      <c r="I26" s="3">
        <v>3.4238656686803002</v>
      </c>
      <c r="J26" s="3">
        <v>14.298630136986</v>
      </c>
      <c r="K26" s="3">
        <v>10.109911542640001</v>
      </c>
      <c r="L26" s="2" t="s">
        <v>364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98.91</v>
      </c>
      <c r="H27" s="3">
        <v>1.9429226772301</v>
      </c>
      <c r="I27" s="3">
        <v>1.7842596635548</v>
      </c>
      <c r="J27" s="3">
        <v>1.6246575342466001</v>
      </c>
      <c r="K27" s="3">
        <v>1.57534824465</v>
      </c>
      <c r="L27" s="2" t="s">
        <v>364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101.53</v>
      </c>
      <c r="H28" s="3">
        <v>2.3679931082397001</v>
      </c>
      <c r="I28" s="3">
        <v>2.0131254697875001</v>
      </c>
      <c r="J28" s="3">
        <v>3.6273972602739999</v>
      </c>
      <c r="K28" s="3">
        <v>3.3614094853630001</v>
      </c>
      <c r="L28" s="2" t="s">
        <v>364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98.781000000000006</v>
      </c>
      <c r="H29" s="3">
        <v>2.0242411710633998</v>
      </c>
      <c r="I29" s="3">
        <v>1.9538261839227999</v>
      </c>
      <c r="J29" s="3">
        <v>0.7945205479452</v>
      </c>
      <c r="K29" s="3">
        <v>0.78039056782809002</v>
      </c>
      <c r="L29" s="2" t="s">
        <v>364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97.56</v>
      </c>
      <c r="H30" s="3">
        <v>1.9245114827239</v>
      </c>
      <c r="I30" s="3">
        <v>1.9223946375256</v>
      </c>
      <c r="J30" s="3">
        <v>1.2904109589041</v>
      </c>
      <c r="K30" s="3">
        <v>1.2714217533223999</v>
      </c>
      <c r="L30" s="2" t="s">
        <v>364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101.82</v>
      </c>
      <c r="H31" s="3">
        <v>3.6572011406537999</v>
      </c>
      <c r="I31" s="3">
        <v>3.1733995265959001</v>
      </c>
      <c r="J31" s="3">
        <v>9.8000000000000007</v>
      </c>
      <c r="K31" s="3">
        <v>7.9206410167688999</v>
      </c>
      <c r="L31" s="2" t="s">
        <v>364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110.62</v>
      </c>
      <c r="H32" s="3">
        <v>4.1002846870271998</v>
      </c>
      <c r="I32" s="3">
        <v>3.501507187788</v>
      </c>
      <c r="J32" s="3">
        <v>15.386301369863</v>
      </c>
      <c r="K32" s="3">
        <v>10.667279962717</v>
      </c>
      <c r="L32" s="2" t="s">
        <v>364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102.07899999999999</v>
      </c>
      <c r="H33" s="3">
        <v>2.0554052030490002</v>
      </c>
      <c r="I33" s="3">
        <v>1.5078477351763999</v>
      </c>
      <c r="J33" s="3">
        <v>0.87123287671232996</v>
      </c>
      <c r="K33" s="3">
        <v>0.84596888007838</v>
      </c>
      <c r="L33" s="2" t="s">
        <v>364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86.47</v>
      </c>
      <c r="H34" s="3">
        <v>4.2567428956368998</v>
      </c>
      <c r="I34" s="3">
        <v>3.8027024417797</v>
      </c>
      <c r="J34" s="3">
        <v>21.389041095890001</v>
      </c>
      <c r="K34" s="3">
        <v>14.390795958135</v>
      </c>
      <c r="L34" s="2" t="s">
        <v>364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99.99</v>
      </c>
      <c r="H35" s="3">
        <v>1.9862338452499</v>
      </c>
      <c r="I35" s="3">
        <v>1.7398403759679</v>
      </c>
      <c r="J35" s="3">
        <v>0.62465753424657</v>
      </c>
      <c r="K35" s="3">
        <v>0.60778174804268004</v>
      </c>
      <c r="L35" s="2" t="s">
        <v>364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71.13</v>
      </c>
      <c r="H36" s="3">
        <v>4.3333701369983997</v>
      </c>
      <c r="I36" s="3">
        <v>3.8758631681598001</v>
      </c>
      <c r="J36" s="3">
        <v>41.898630136986</v>
      </c>
      <c r="K36" s="3">
        <v>20.622917552678999</v>
      </c>
      <c r="L36" s="2" t="s">
        <v>364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93.23</v>
      </c>
      <c r="H37" s="3">
        <v>3.4102085105247002</v>
      </c>
      <c r="I37" s="3">
        <v>3.0826573914969999</v>
      </c>
      <c r="J37" s="3">
        <v>8.3808219178082002</v>
      </c>
      <c r="K37" s="3">
        <v>7.3200923191141003</v>
      </c>
      <c r="L37" s="2" t="s">
        <v>364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90.07</v>
      </c>
      <c r="H38" s="3">
        <v>3.9451323042571</v>
      </c>
      <c r="I38" s="3">
        <v>3.5454026575655999</v>
      </c>
      <c r="J38" s="3">
        <v>13.383561643836</v>
      </c>
      <c r="K38" s="3">
        <v>10.547874904263001</v>
      </c>
      <c r="L38" s="2" t="s">
        <v>364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98.01</v>
      </c>
      <c r="H39" s="3">
        <v>3.6211222376672998</v>
      </c>
      <c r="I39" s="3">
        <v>3.1887049757877999</v>
      </c>
      <c r="J39" s="3">
        <v>9.8767123287671001</v>
      </c>
      <c r="K39" s="3">
        <v>8.1436146049111997</v>
      </c>
      <c r="L39" s="2" t="s">
        <v>364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93.54</v>
      </c>
      <c r="H40" s="3">
        <v>4.3213500456823004</v>
      </c>
      <c r="I40" s="3">
        <v>3.8082052614400999</v>
      </c>
      <c r="J40" s="3">
        <v>24.391780821918001</v>
      </c>
      <c r="K40" s="3">
        <v>14.992871418184</v>
      </c>
      <c r="L40" s="2" t="s">
        <v>364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93.66</v>
      </c>
      <c r="H41" s="3">
        <v>2.7431931419109001</v>
      </c>
      <c r="I41" s="3">
        <v>2.5659104988758998</v>
      </c>
      <c r="J41" s="3">
        <v>4.9589041095889996</v>
      </c>
      <c r="K41" s="3">
        <v>4.6762156150649998</v>
      </c>
      <c r="L41" s="2" t="s">
        <v>364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71.97</v>
      </c>
      <c r="H42" s="3">
        <v>4.3117205744823002</v>
      </c>
      <c r="I42" s="3">
        <v>3.9254384638828999</v>
      </c>
      <c r="J42" s="3">
        <v>25.391780821918001</v>
      </c>
      <c r="K42" s="3">
        <v>16.896595846623001</v>
      </c>
      <c r="L42" s="2" t="s">
        <v>364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60.54</v>
      </c>
      <c r="H43" s="3">
        <v>4.2253144015200004</v>
      </c>
      <c r="I43" s="3">
        <v>3.9266447476783002</v>
      </c>
      <c r="J43" s="3">
        <v>26.391780821918001</v>
      </c>
      <c r="K43" s="3">
        <v>18.710738394349999</v>
      </c>
      <c r="L43" s="2" t="s">
        <v>364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103.29</v>
      </c>
      <c r="H44" s="3">
        <v>4.2315021208461001</v>
      </c>
      <c r="I44" s="3">
        <v>3.6750118145700998</v>
      </c>
      <c r="J44" s="3">
        <v>18.386301369862998</v>
      </c>
      <c r="K44" s="3">
        <v>12.263693912512</v>
      </c>
      <c r="L44" s="2" t="s">
        <v>364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105.35</v>
      </c>
      <c r="H45" s="3">
        <v>3.5214526668828001</v>
      </c>
      <c r="I45" s="3">
        <v>3.0043512014429998</v>
      </c>
      <c r="J45" s="3">
        <v>8.8767123287671001</v>
      </c>
      <c r="K45" s="3">
        <v>7.2523768514568996</v>
      </c>
      <c r="L45" s="2" t="s">
        <v>364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88.72</v>
      </c>
      <c r="H46" s="3">
        <v>3.0017057905342002</v>
      </c>
      <c r="I46" s="3">
        <v>2.8797843519689001</v>
      </c>
      <c r="J46" s="3">
        <v>5.9589041095889996</v>
      </c>
      <c r="K46" s="3">
        <v>5.6326272066082002</v>
      </c>
      <c r="L46" s="2" t="s">
        <v>364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85.77</v>
      </c>
      <c r="H47" s="3">
        <v>3.2228347148331999</v>
      </c>
      <c r="I47" s="3">
        <v>3.0820000194429999</v>
      </c>
      <c r="J47" s="3">
        <v>7.1287671232876999</v>
      </c>
      <c r="K47" s="3">
        <v>6.6448540866194001</v>
      </c>
      <c r="L47" s="2" t="s">
        <v>364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107.31</v>
      </c>
      <c r="H48" s="3">
        <v>3.3790951215848999</v>
      </c>
      <c r="I48" s="3">
        <v>2.8437147261436002</v>
      </c>
      <c r="J48" s="3">
        <v>8.0438356164384004</v>
      </c>
      <c r="K48" s="3">
        <v>6.5645504184346999</v>
      </c>
      <c r="L48" s="2" t="s">
        <v>364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107.99</v>
      </c>
      <c r="H49" s="3">
        <v>1.9526640864953999</v>
      </c>
      <c r="I49" s="3">
        <v>1.0884626729739</v>
      </c>
      <c r="J49" s="3">
        <v>1.5424657534246999</v>
      </c>
      <c r="K49" s="3">
        <v>1.4204958853722001</v>
      </c>
      <c r="L49" s="2" t="s">
        <v>364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110.74</v>
      </c>
      <c r="H50" s="3">
        <v>2.1384980647171998</v>
      </c>
      <c r="I50" s="3">
        <v>1.3705873752155</v>
      </c>
      <c r="J50" s="3">
        <v>2.5424657534246999</v>
      </c>
      <c r="K50" s="3">
        <v>2.2828667543063998</v>
      </c>
      <c r="L50" s="2" t="s">
        <v>364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111.36</v>
      </c>
      <c r="H51" s="3">
        <v>2.5937137952571998</v>
      </c>
      <c r="I51" s="3">
        <v>1.9711234485650999</v>
      </c>
      <c r="J51" s="3">
        <v>4.5452054794521004</v>
      </c>
      <c r="K51" s="3">
        <v>3.9415357162287998</v>
      </c>
      <c r="L51" s="2" t="s">
        <v>364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116.79</v>
      </c>
      <c r="H52" s="3">
        <v>2.9629582281241</v>
      </c>
      <c r="I52" s="3">
        <v>2.2701481862213</v>
      </c>
      <c r="J52" s="3">
        <v>6.0410958904110004</v>
      </c>
      <c r="K52" s="3">
        <v>4.9695521292641001</v>
      </c>
      <c r="L52" s="2" t="s">
        <v>364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90.81</v>
      </c>
      <c r="H53" s="3">
        <v>2.8515790062458</v>
      </c>
      <c r="I53" s="3">
        <v>2.7194415175253002</v>
      </c>
      <c r="J53" s="3">
        <v>5.2931506849314998</v>
      </c>
      <c r="K53" s="3">
        <v>5.0137010653920999</v>
      </c>
      <c r="L53" s="2" t="s">
        <v>364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106.63</v>
      </c>
      <c r="H54" s="3">
        <v>3.2519180282561</v>
      </c>
      <c r="I54" s="3">
        <v>2.7433961557822002</v>
      </c>
      <c r="J54" s="3">
        <v>8.5479452054795004</v>
      </c>
      <c r="K54" s="3">
        <v>6.9227180581007</v>
      </c>
      <c r="L54" s="2" t="s">
        <v>364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3.5847661278130998</v>
      </c>
      <c r="I55" s="3">
        <v>3.1306497511327001</v>
      </c>
      <c r="J55" s="3">
        <v>10.46301369863</v>
      </c>
      <c r="K55" s="3">
        <v>8.5216220990799005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101.33</v>
      </c>
      <c r="H56" s="3">
        <v>2.6966080259431999</v>
      </c>
      <c r="I56" s="3">
        <v>2.3141855608728998</v>
      </c>
      <c r="J56" s="3">
        <v>4.4602739726026996</v>
      </c>
      <c r="K56" s="3">
        <v>4.0948271609919003</v>
      </c>
      <c r="L56" s="2" t="s">
        <v>364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105.73</v>
      </c>
      <c r="H57" s="3">
        <v>2.5187992759563</v>
      </c>
      <c r="I57" s="3">
        <v>1.9916391861361999</v>
      </c>
      <c r="J57" s="3">
        <v>3.7972602739725998</v>
      </c>
      <c r="K57" s="3">
        <v>3.4491671961921999</v>
      </c>
      <c r="L57" s="2" t="s">
        <v>364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100.38</v>
      </c>
      <c r="H58" s="3">
        <v>2.8906856496360001</v>
      </c>
      <c r="I58" s="3">
        <v>2.5179252829410999</v>
      </c>
      <c r="J58" s="3">
        <v>5.2082191780822003</v>
      </c>
      <c r="K58" s="3">
        <v>4.7132727621584998</v>
      </c>
      <c r="L58" s="2" t="s">
        <v>364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94.76</v>
      </c>
      <c r="H59" s="3">
        <v>3.3062639447414002</v>
      </c>
      <c r="I59" s="3">
        <v>2.9559638234769001</v>
      </c>
      <c r="J59" s="3">
        <v>7.6301369863013999</v>
      </c>
      <c r="K59" s="3">
        <v>6.6838887078795999</v>
      </c>
      <c r="L59" s="2" t="s">
        <v>364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99.96</v>
      </c>
      <c r="H60" s="3">
        <v>2.0777030818100002</v>
      </c>
      <c r="I60" s="3">
        <v>1.8093991115729999</v>
      </c>
      <c r="J60" s="3">
        <v>2.2904109589041002</v>
      </c>
      <c r="K60" s="3">
        <v>2.1973216025196001</v>
      </c>
      <c r="L60" s="2" t="s">
        <v>364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101.2</v>
      </c>
      <c r="H61" s="3">
        <v>2.1873796341437002</v>
      </c>
      <c r="I61" s="3">
        <v>1.8473085906885001</v>
      </c>
      <c r="J61" s="3">
        <v>2.6246575342465999</v>
      </c>
      <c r="K61" s="3">
        <v>2.4749093297940998</v>
      </c>
      <c r="L61" s="2" t="s">
        <v>364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78.849999999999994</v>
      </c>
      <c r="H62" s="3">
        <v>4.2263534812414996</v>
      </c>
      <c r="I62" s="3">
        <v>3.8263313125101002</v>
      </c>
      <c r="J62" s="3">
        <v>21.884931506849</v>
      </c>
      <c r="K62" s="3">
        <v>15.171234993077</v>
      </c>
      <c r="L62" s="2" t="s">
        <v>364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2.6980103867912999</v>
      </c>
      <c r="I63" s="3">
        <v>2.3610625504871998</v>
      </c>
      <c r="J63" s="3">
        <v>5.4602739726026996</v>
      </c>
      <c r="K63" s="3">
        <v>4.9971868988315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73.010000000000005</v>
      </c>
      <c r="H64" s="3">
        <v>3.8275639843984002</v>
      </c>
      <c r="I64" s="3">
        <v>3.6800781966442</v>
      </c>
      <c r="J64" s="3">
        <v>11.879452054794999</v>
      </c>
      <c r="K64" s="3">
        <v>10.698065800167001</v>
      </c>
      <c r="L64" s="2" t="s">
        <v>364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66.12</v>
      </c>
      <c r="H65" s="3">
        <v>4.2990446497679997</v>
      </c>
      <c r="I65" s="3">
        <v>3.9422045135214998</v>
      </c>
      <c r="J65" s="3">
        <v>27.394520547945</v>
      </c>
      <c r="K65" s="3">
        <v>18.163815463171002</v>
      </c>
      <c r="L65" s="2" t="s">
        <v>364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101.57</v>
      </c>
      <c r="H66" s="3">
        <v>2.0801321390096001</v>
      </c>
      <c r="I66" s="3">
        <v>1.7051372181186</v>
      </c>
      <c r="J66" s="3">
        <v>1.8328767123287999</v>
      </c>
      <c r="K66" s="3">
        <v>1.7536326891234</v>
      </c>
      <c r="L66" s="2" t="s">
        <v>364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99.66</v>
      </c>
      <c r="H67" s="3">
        <v>3.7221721318598999</v>
      </c>
      <c r="I67" s="3">
        <v>3.2531273660015998</v>
      </c>
      <c r="J67" s="3">
        <v>10.295890410959</v>
      </c>
      <c r="K67" s="3">
        <v>8.2991092027821995</v>
      </c>
      <c r="L67" s="2" t="s">
        <v>364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100.14</v>
      </c>
      <c r="H68" s="3">
        <v>1.9977103749536</v>
      </c>
      <c r="I68" s="3">
        <v>1.7328631800306</v>
      </c>
      <c r="J68" s="3">
        <v>1.2438356164383999</v>
      </c>
      <c r="K68" s="3">
        <v>1.2043015555462</v>
      </c>
      <c r="L68" s="2" t="s">
        <v>364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102.05</v>
      </c>
      <c r="H69" s="3">
        <v>3.1092580770985001</v>
      </c>
      <c r="I69" s="3">
        <v>2.6771148165841998</v>
      </c>
      <c r="J69" s="3">
        <v>6.2465753424657002</v>
      </c>
      <c r="K69" s="3">
        <v>5.4631454565385997</v>
      </c>
      <c r="L69" s="2" t="s">
        <v>364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73.63</v>
      </c>
      <c r="H70" s="3">
        <v>4.1104677261239999</v>
      </c>
      <c r="I70" s="3">
        <v>3.8357212158510001</v>
      </c>
      <c r="J70" s="3">
        <v>15.882191780822</v>
      </c>
      <c r="K70" s="3">
        <v>12.891458586999001</v>
      </c>
      <c r="L70" s="2" t="s">
        <v>364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105.43</v>
      </c>
      <c r="H71" s="3">
        <v>2.9551327080385001</v>
      </c>
      <c r="I71" s="3">
        <v>2.4642883842685999</v>
      </c>
      <c r="J71" s="3">
        <v>5.5835616438356004</v>
      </c>
      <c r="K71" s="3">
        <v>4.8536528435930002</v>
      </c>
      <c r="L71" s="2" t="s">
        <v>364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98.13</v>
      </c>
      <c r="H72" s="3">
        <v>1.9514030126099999</v>
      </c>
      <c r="I72" s="3">
        <v>1.8368379839316999</v>
      </c>
      <c r="J72" s="3">
        <v>1.7479452054794</v>
      </c>
      <c r="K72" s="3">
        <v>1.7018790568458</v>
      </c>
      <c r="L72" s="2" t="s">
        <v>364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92.81</v>
      </c>
      <c r="H73" s="3">
        <v>2.4384745768335998</v>
      </c>
      <c r="I73" s="3">
        <v>2.3626482980307002</v>
      </c>
      <c r="J73" s="3">
        <v>3.8356164383562001</v>
      </c>
      <c r="K73" s="3">
        <v>3.7121963144488999</v>
      </c>
      <c r="L73" s="2" t="s">
        <v>364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105.07</v>
      </c>
      <c r="H74" s="3">
        <v>2.6980331653933001</v>
      </c>
      <c r="I74" s="3">
        <v>2.2256746198744999</v>
      </c>
      <c r="J74" s="3">
        <v>4.6657534246574999</v>
      </c>
      <c r="K74" s="3">
        <v>4.1661821763121996</v>
      </c>
      <c r="L74" s="2" t="s">
        <v>364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101.25</v>
      </c>
      <c r="H75" s="3">
        <v>2.1930844730771999</v>
      </c>
      <c r="I75" s="3">
        <v>1.8532777355484</v>
      </c>
      <c r="J75" s="3">
        <v>2.4958904109589</v>
      </c>
      <c r="K75" s="3">
        <v>2.3784565874763999</v>
      </c>
      <c r="L75" s="2" t="s">
        <v>364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102.67</v>
      </c>
      <c r="H76" s="3">
        <v>3.0147355917266001</v>
      </c>
      <c r="I76" s="3">
        <v>2.5766938767358001</v>
      </c>
      <c r="J76" s="3">
        <v>5.8356164383562001</v>
      </c>
      <c r="K76" s="3">
        <v>5.1567791838405004</v>
      </c>
      <c r="L76" s="2" t="s">
        <v>364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101.658</v>
      </c>
      <c r="H77" s="3">
        <v>2.0885332285273002</v>
      </c>
      <c r="I77" s="3">
        <v>1.6215397247094001</v>
      </c>
      <c r="J77" s="3">
        <v>0.99452054794521005</v>
      </c>
      <c r="K77" s="3">
        <v>0.96541363024660998</v>
      </c>
      <c r="L77" s="2" t="s">
        <v>364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100.98</v>
      </c>
      <c r="H78" s="3">
        <v>2.5646418993959998</v>
      </c>
      <c r="I78" s="3">
        <v>2.2127996410038002</v>
      </c>
      <c r="J78" s="3">
        <v>4.1643835616437999</v>
      </c>
      <c r="K78" s="3">
        <v>3.8270003334743001</v>
      </c>
      <c r="L78" s="2" t="s">
        <v>364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97.36</v>
      </c>
      <c r="H79" s="3">
        <v>2.0863225142504001</v>
      </c>
      <c r="I79" s="3">
        <v>1.9646098335661999</v>
      </c>
      <c r="J79" s="3">
        <v>2.413698630137</v>
      </c>
      <c r="K79" s="3">
        <v>2.3409149526083</v>
      </c>
      <c r="L79" s="2" t="s">
        <v>364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100.92</v>
      </c>
      <c r="H80" s="3">
        <v>2.3587604626343999</v>
      </c>
      <c r="I80" s="3">
        <v>2.0142286336303998</v>
      </c>
      <c r="J80" s="3">
        <v>3.1643835616437999</v>
      </c>
      <c r="K80" s="3">
        <v>2.9793653713585999</v>
      </c>
      <c r="L80" s="2" t="s">
        <v>364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104.17</v>
      </c>
      <c r="H81" s="3">
        <v>2.8413303708201001</v>
      </c>
      <c r="I81" s="3">
        <v>2.3575843229479001</v>
      </c>
      <c r="J81" s="3">
        <v>5.1643835616437999</v>
      </c>
      <c r="K81" s="3">
        <v>4.5779671014841998</v>
      </c>
      <c r="L81" s="2" t="s">
        <v>364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94.39</v>
      </c>
      <c r="H82" s="3">
        <v>2.3124150011097999</v>
      </c>
      <c r="I82" s="3">
        <v>2.2261260280823998</v>
      </c>
      <c r="J82" s="3">
        <v>3.2465753424656998</v>
      </c>
      <c r="K82" s="3">
        <v>3.1519867609310999</v>
      </c>
      <c r="L82" s="2" t="s">
        <v>364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102.88</v>
      </c>
      <c r="H83" s="3">
        <v>2.1420970543653</v>
      </c>
      <c r="I83" s="3">
        <v>1.7142672409313</v>
      </c>
      <c r="J83" s="3">
        <v>2.2438356164384001</v>
      </c>
      <c r="K83" s="3">
        <v>2.1167962990396001</v>
      </c>
      <c r="L83" s="2" t="s">
        <v>364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102.46</v>
      </c>
      <c r="H84" s="3">
        <v>2.0757110763368001</v>
      </c>
      <c r="I84" s="3">
        <v>1.5995689534244</v>
      </c>
      <c r="J84" s="3">
        <v>1.413698630137</v>
      </c>
      <c r="K84" s="3">
        <v>1.3577360105272001</v>
      </c>
      <c r="L84" s="2" t="s">
        <v>364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100.273</v>
      </c>
      <c r="H85" s="3">
        <v>1.9640704706523999</v>
      </c>
      <c r="I85" s="3">
        <v>1.6580593167597999</v>
      </c>
      <c r="J85" s="3">
        <v>0.58082191780822001</v>
      </c>
      <c r="K85" s="3">
        <v>0.56896777749550997</v>
      </c>
      <c r="L85" s="2" t="s">
        <v>364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97.92</v>
      </c>
      <c r="H86" s="3">
        <v>4.4725378170595</v>
      </c>
      <c r="I86" s="3">
        <v>3.9157852809759</v>
      </c>
      <c r="J86" s="3">
        <v>29.476712328767</v>
      </c>
      <c r="K86" s="3">
        <v>16.096049213825001</v>
      </c>
      <c r="L86" s="2" t="s">
        <v>364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101.002</v>
      </c>
      <c r="H87" s="3">
        <v>2.1061031764692002</v>
      </c>
      <c r="I87" s="3">
        <v>1.6746327122064</v>
      </c>
      <c r="J87" s="3">
        <v>0.74794520547944998</v>
      </c>
      <c r="K87" s="3">
        <v>0.72426622286502995</v>
      </c>
      <c r="L87" s="2" t="s">
        <v>364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94.45</v>
      </c>
      <c r="H88" s="3">
        <v>2.2409980551137001</v>
      </c>
      <c r="I88" s="3">
        <v>2.2022393826464999</v>
      </c>
      <c r="J88" s="3">
        <v>2.9123287671233</v>
      </c>
      <c r="K88" s="3">
        <v>2.8390183524221002</v>
      </c>
      <c r="L88" s="2" t="s">
        <v>364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79.900000000000006</v>
      </c>
      <c r="H89" s="3">
        <v>3.7438533983115998</v>
      </c>
      <c r="I89" s="3">
        <v>3.5320779041271999</v>
      </c>
      <c r="J89" s="3">
        <v>10.879452054794999</v>
      </c>
      <c r="K89" s="3">
        <v>9.6078227914153995</v>
      </c>
      <c r="L89" s="2" t="s">
        <v>364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</v>
      </c>
      <c r="H90" s="3">
        <v>4.1529571496240996</v>
      </c>
      <c r="I90" s="3">
        <v>3.6497895365163999</v>
      </c>
      <c r="J90" s="3">
        <v>15.468493150684999</v>
      </c>
      <c r="K90" s="3">
        <v>11.246629350838999</v>
      </c>
      <c r="L90" s="2" t="s">
        <v>364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99.674999999999997</v>
      </c>
      <c r="H91" s="3">
        <v>2.1710358148158</v>
      </c>
      <c r="I91" s="3">
        <v>2.0093126707203002</v>
      </c>
      <c r="J91" s="3">
        <v>0.32876712328766999</v>
      </c>
      <c r="K91" s="3">
        <v>0.32182923367168997</v>
      </c>
      <c r="L91" s="2" t="s">
        <v>364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9.9287671232877006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107.71</v>
      </c>
      <c r="H93" s="3">
        <v>2.3672269628154998</v>
      </c>
      <c r="I93" s="3">
        <v>1.7944792500972999</v>
      </c>
      <c r="J93" s="3">
        <v>3.3780821917808002</v>
      </c>
      <c r="K93" s="3">
        <v>3.0808141158209001</v>
      </c>
      <c r="L93" s="2" t="s">
        <v>364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101.6</v>
      </c>
      <c r="H94" s="3">
        <v>4.4457057966439004</v>
      </c>
      <c r="I94" s="3">
        <v>3.8775453198051002</v>
      </c>
      <c r="J94" s="3">
        <v>28.476712328767</v>
      </c>
      <c r="K94" s="3">
        <v>15.70112748779</v>
      </c>
      <c r="L94" s="2" t="s">
        <v>364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100.44</v>
      </c>
      <c r="H95" s="3">
        <v>3.1944505425166998</v>
      </c>
      <c r="I95" s="3">
        <v>2.7848411057264002</v>
      </c>
      <c r="J95" s="3">
        <v>7.2493150684931003</v>
      </c>
      <c r="K95" s="3">
        <v>6.3209355210618003</v>
      </c>
      <c r="L95" s="2" t="s">
        <v>370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100.806</v>
      </c>
      <c r="H96" s="3">
        <v>2.1243073933407999</v>
      </c>
      <c r="I96" s="3">
        <v>1.7111738190573</v>
      </c>
      <c r="J96" s="3">
        <v>0.78356164383561999</v>
      </c>
      <c r="K96" s="3">
        <v>0.75972795796020998</v>
      </c>
      <c r="L96" s="2" t="s">
        <v>364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100.616</v>
      </c>
      <c r="H97" s="3">
        <v>2.1604144657712001</v>
      </c>
      <c r="I97" s="3">
        <v>1.7175578966572</v>
      </c>
      <c r="J97" s="3">
        <v>0.45205479452054997</v>
      </c>
      <c r="K97" s="3">
        <v>0.44257956536679999</v>
      </c>
      <c r="L97" s="2" t="s">
        <v>364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99.936999999999998</v>
      </c>
      <c r="H98" s="3">
        <v>2.1319859699607999</v>
      </c>
      <c r="I98" s="3">
        <v>1.8971301840998001</v>
      </c>
      <c r="J98" s="3">
        <v>0.2054794520548</v>
      </c>
      <c r="K98" s="3">
        <v>0.20120963465538</v>
      </c>
      <c r="L98" s="2" t="s">
        <v>364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101.39</v>
      </c>
      <c r="H99" s="3">
        <v>2.0778112272621998</v>
      </c>
      <c r="I99" s="3">
        <v>1.6898857272515</v>
      </c>
      <c r="J99" s="3">
        <v>1.3643835616438</v>
      </c>
      <c r="K99" s="3">
        <v>1.3146222065016</v>
      </c>
      <c r="L99" s="2" t="s">
        <v>364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99.96</v>
      </c>
      <c r="H100" s="3">
        <v>3.1758335899763002</v>
      </c>
      <c r="I100" s="3">
        <v>2.7769297633706</v>
      </c>
      <c r="J100" s="3">
        <v>6.5835616438356004</v>
      </c>
      <c r="K100" s="3">
        <v>5.7415171400918998</v>
      </c>
      <c r="L100" s="2" t="s">
        <v>364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</v>
      </c>
      <c r="H101" s="3">
        <v>2.1180637668658999</v>
      </c>
      <c r="I101" s="3">
        <v>1.7928530219725001</v>
      </c>
      <c r="J101" s="3">
        <v>1.8602739726027</v>
      </c>
      <c r="K101" s="3">
        <v>1.7850935642146999</v>
      </c>
      <c r="L101" s="2" t="s">
        <v>364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103.18</v>
      </c>
      <c r="H102" s="3">
        <v>2.2881377294925</v>
      </c>
      <c r="I102" s="3">
        <v>1.8544949071514001</v>
      </c>
      <c r="J102" s="3">
        <v>2.9589041095890001</v>
      </c>
      <c r="K102" s="3">
        <v>2.7798798124273998</v>
      </c>
      <c r="L102" s="2" t="s">
        <v>364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103.24</v>
      </c>
      <c r="H103" s="3">
        <v>3.0142508593662001</v>
      </c>
      <c r="I103" s="3">
        <v>2.5526652191195001</v>
      </c>
      <c r="J103" s="3">
        <v>4.8849315068493002</v>
      </c>
      <c r="K103" s="3">
        <v>4.3712040462594999</v>
      </c>
      <c r="L103" s="2" t="s">
        <v>364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103.24</v>
      </c>
      <c r="H104" s="3">
        <v>3.1475783552004999</v>
      </c>
      <c r="I104" s="3">
        <v>2.6738448656372</v>
      </c>
      <c r="J104" s="3">
        <v>4.8849315068493002</v>
      </c>
      <c r="K104" s="3">
        <v>4.3663639893935002</v>
      </c>
      <c r="L104" s="2" t="s">
        <v>364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105.48</v>
      </c>
      <c r="H105" s="3">
        <v>2.6947435755523999</v>
      </c>
      <c r="I105" s="3">
        <v>2.1618427300728</v>
      </c>
      <c r="J105" s="3">
        <v>3.4849315068492999</v>
      </c>
      <c r="K105" s="3">
        <v>3.1791058960549998</v>
      </c>
      <c r="L105" s="2" t="s">
        <v>364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105.48</v>
      </c>
      <c r="H106" s="3">
        <v>2.8303215966264998</v>
      </c>
      <c r="I106" s="3">
        <v>2.2866857872718001</v>
      </c>
      <c r="J106" s="3">
        <v>3.4849315068492999</v>
      </c>
      <c r="K106" s="3">
        <v>3.1752659416859998</v>
      </c>
      <c r="L106" s="2" t="s">
        <v>364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103.36</v>
      </c>
      <c r="H107" s="3">
        <v>2.3474873405037</v>
      </c>
      <c r="I107" s="3">
        <v>1.8606337518022</v>
      </c>
      <c r="J107" s="3">
        <v>2.1561643835615998</v>
      </c>
      <c r="K107" s="3">
        <v>2.0243780792288999</v>
      </c>
      <c r="L107" s="2" t="s">
        <v>364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103.36</v>
      </c>
      <c r="H108" s="3">
        <v>2.5720513386123001</v>
      </c>
      <c r="I108" s="3">
        <v>2.0710561071348002</v>
      </c>
      <c r="J108" s="3">
        <v>2.1561643835615998</v>
      </c>
      <c r="K108" s="3">
        <v>2.0200749163332001</v>
      </c>
      <c r="L108" s="2" t="s">
        <v>364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102.84</v>
      </c>
      <c r="H109" s="3">
        <v>3.0927746851069</v>
      </c>
      <c r="I109" s="3">
        <v>2.6335957643982</v>
      </c>
      <c r="J109" s="3">
        <v>5.0767123287671003</v>
      </c>
      <c r="K109" s="3">
        <v>4.5132277932002003</v>
      </c>
      <c r="L109" s="2" t="s">
        <v>364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102.84</v>
      </c>
      <c r="H110" s="3">
        <v>3.2391687259564002</v>
      </c>
      <c r="I110" s="3">
        <v>2.7660573633860999</v>
      </c>
      <c r="J110" s="3">
        <v>5.0767123287671003</v>
      </c>
      <c r="K110" s="3">
        <v>4.5078101645136002</v>
      </c>
      <c r="L110" s="2" t="s">
        <v>364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</v>
      </c>
      <c r="H111" s="3">
        <v>4.8226287342549998</v>
      </c>
      <c r="I111" s="3">
        <v>4.4923424997483998</v>
      </c>
      <c r="J111" s="3">
        <v>31.098630136985999</v>
      </c>
      <c r="K111" s="3">
        <v>5.7124787364623</v>
      </c>
      <c r="L111" s="2" t="s">
        <v>371</v>
      </c>
      <c r="M11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8B31-577F-3949-B94B-EB98CBDD2068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116.73</v>
      </c>
      <c r="H2" s="3">
        <v>3.3206142502524001</v>
      </c>
      <c r="I2" s="3">
        <v>2.6555436143923998</v>
      </c>
      <c r="J2" s="3">
        <v>7.7972602739725998</v>
      </c>
      <c r="K2" s="3">
        <v>6.2437003766116996</v>
      </c>
      <c r="L2" s="2" t="s">
        <v>372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100.49</v>
      </c>
      <c r="H3" s="3">
        <v>1.972403229562</v>
      </c>
      <c r="I3" s="3">
        <v>1.6811716262379</v>
      </c>
      <c r="J3" s="3">
        <v>2.1205479452054998</v>
      </c>
      <c r="K3" s="3">
        <v>2.0269979914228</v>
      </c>
      <c r="L3" s="2" t="s">
        <v>372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99.65</v>
      </c>
      <c r="H4" s="3">
        <v>2.1393699449544998</v>
      </c>
      <c r="I4" s="3">
        <v>1.881814745749</v>
      </c>
      <c r="J4" s="3">
        <v>2.7917808219178002</v>
      </c>
      <c r="K4" s="3">
        <v>2.6613809350101998</v>
      </c>
      <c r="L4" s="2" t="s">
        <v>372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</v>
      </c>
      <c r="H5" s="3">
        <v>2.5202026263814998</v>
      </c>
      <c r="I5" s="3">
        <v>2.1453684629451999</v>
      </c>
      <c r="J5" s="3">
        <v>4.2904109589040997</v>
      </c>
      <c r="K5" s="3">
        <v>3.9375464017935999</v>
      </c>
      <c r="L5" s="2" t="s">
        <v>372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101.56</v>
      </c>
      <c r="H6" s="3">
        <v>4.0426677032592</v>
      </c>
      <c r="I6" s="3">
        <v>3.5178778614239001</v>
      </c>
      <c r="J6" s="3">
        <v>14.46301369863</v>
      </c>
      <c r="K6" s="3">
        <v>10.605088461398999</v>
      </c>
      <c r="L6" s="2" t="s">
        <v>372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86.25</v>
      </c>
      <c r="H7" s="3">
        <v>3.0387320298723002</v>
      </c>
      <c r="I7" s="3">
        <v>2.9558431208711999</v>
      </c>
      <c r="J7" s="3">
        <v>6.2904109589040997</v>
      </c>
      <c r="K7" s="3">
        <v>5.9814980162687004</v>
      </c>
      <c r="L7" s="2" t="s">
        <v>372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107.67</v>
      </c>
      <c r="H8" s="3">
        <v>4.2083036109315</v>
      </c>
      <c r="I8" s="3">
        <v>3.6289027532697999</v>
      </c>
      <c r="J8" s="3">
        <v>19.386301369862998</v>
      </c>
      <c r="K8" s="3">
        <v>12.54272461281</v>
      </c>
      <c r="L8" s="2" t="s">
        <v>372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103.97</v>
      </c>
      <c r="H9" s="3">
        <v>2.6417953048922</v>
      </c>
      <c r="I9" s="3">
        <v>2.2062724066028001</v>
      </c>
      <c r="J9" s="3">
        <v>4.8712328767123001</v>
      </c>
      <c r="K9" s="3">
        <v>4.3945574061568999</v>
      </c>
      <c r="L9" s="2" t="s">
        <v>372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</v>
      </c>
      <c r="H10" s="3">
        <v>3.1373664610868999</v>
      </c>
      <c r="I10" s="3">
        <v>2.9144743436841001</v>
      </c>
      <c r="J10" s="3">
        <v>6.8739726027397001</v>
      </c>
      <c r="K10" s="3">
        <v>6.2935794076203999</v>
      </c>
      <c r="L10" s="2" t="s">
        <v>372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99.62</v>
      </c>
      <c r="H11" s="3">
        <v>1.9537069632359001</v>
      </c>
      <c r="I11" s="3">
        <v>1.7513924314436999</v>
      </c>
      <c r="J11" s="3">
        <v>1.1205479452055001</v>
      </c>
      <c r="K11" s="3">
        <v>1.087429267029</v>
      </c>
      <c r="L11" s="2" t="s">
        <v>372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86.55</v>
      </c>
      <c r="H12" s="3">
        <v>3.7412169283178001</v>
      </c>
      <c r="I12" s="3">
        <v>3.4285540139772999</v>
      </c>
      <c r="J12" s="3">
        <v>11.380821917807999</v>
      </c>
      <c r="K12" s="3">
        <v>9.5925495932656997</v>
      </c>
      <c r="L12" s="2" t="s">
        <v>372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88.72</v>
      </c>
      <c r="H13" s="3">
        <v>4.2648358726271001</v>
      </c>
      <c r="I13" s="3">
        <v>3.7887245088234001</v>
      </c>
      <c r="J13" s="3">
        <v>22.884931506849</v>
      </c>
      <c r="K13" s="3">
        <v>14.819097069043</v>
      </c>
      <c r="L13" s="2" t="s">
        <v>372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89.96</v>
      </c>
      <c r="H14" s="3">
        <v>4.0392783029092003</v>
      </c>
      <c r="I14" s="3">
        <v>3.6178132516849999</v>
      </c>
      <c r="J14" s="3">
        <v>14.879452054794999</v>
      </c>
      <c r="K14" s="3">
        <v>11.336264883486001</v>
      </c>
      <c r="L14" s="2" t="s">
        <v>372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98.138999999999996</v>
      </c>
      <c r="H15" s="3">
        <v>1.9616792649132</v>
      </c>
      <c r="I15" s="3">
        <v>1.9489790799791</v>
      </c>
      <c r="J15" s="3">
        <v>0.95342465753424999</v>
      </c>
      <c r="K15" s="3">
        <v>0.93532759455906</v>
      </c>
      <c r="L15" s="2" t="s">
        <v>372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59.48</v>
      </c>
      <c r="H16" s="3">
        <v>4.1428731893444999</v>
      </c>
      <c r="I16" s="3">
        <v>3.7429820990508</v>
      </c>
      <c r="J16" s="3">
        <v>46.901369863013997</v>
      </c>
      <c r="K16" s="3">
        <v>23.174654179377001</v>
      </c>
      <c r="L16" s="2" t="s">
        <v>372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93.66</v>
      </c>
      <c r="H17" s="3">
        <v>3.9152920821631998</v>
      </c>
      <c r="I17" s="3">
        <v>3.4837284774914998</v>
      </c>
      <c r="J17" s="3">
        <v>12.876712328767001</v>
      </c>
      <c r="K17" s="3">
        <v>10.092973634472999</v>
      </c>
      <c r="L17" s="2" t="s">
        <v>372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</v>
      </c>
      <c r="H18" s="3">
        <v>1.9479815868085999</v>
      </c>
      <c r="I18" s="3">
        <v>1.8077875778029</v>
      </c>
      <c r="J18" s="3">
        <v>1.9534246575342</v>
      </c>
      <c r="K18" s="3">
        <v>1.8999222876402999</v>
      </c>
      <c r="L18" s="2" t="s">
        <v>372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103.06</v>
      </c>
      <c r="H19" s="3">
        <v>2.5907677322537999</v>
      </c>
      <c r="I19" s="3">
        <v>2.1710817114554</v>
      </c>
      <c r="J19" s="3">
        <v>4.2054794520548002</v>
      </c>
      <c r="K19" s="3">
        <v>3.8291999312284002</v>
      </c>
      <c r="L19" s="2" t="s">
        <v>372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102.53</v>
      </c>
      <c r="H20" s="3">
        <v>3.5525287693512002</v>
      </c>
      <c r="I20" s="3">
        <v>3.0690353351541999</v>
      </c>
      <c r="J20" s="3">
        <v>9.2082191780821994</v>
      </c>
      <c r="K20" s="3">
        <v>7.513814621891</v>
      </c>
      <c r="L20" s="2" t="s">
        <v>372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93.69</v>
      </c>
      <c r="H21" s="3">
        <v>2.8907734145363002</v>
      </c>
      <c r="I21" s="3">
        <v>2.6693433417266998</v>
      </c>
      <c r="J21" s="3">
        <v>5.6246575342465999</v>
      </c>
      <c r="K21" s="3">
        <v>5.2021621966286</v>
      </c>
      <c r="L21" s="2" t="s">
        <v>372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87.33</v>
      </c>
      <c r="H22" s="3">
        <v>3.1017910914540998</v>
      </c>
      <c r="I22" s="3">
        <v>2.9711640514139002</v>
      </c>
      <c r="J22" s="3">
        <v>6.6246575342465999</v>
      </c>
      <c r="K22" s="3">
        <v>6.2010165576896998</v>
      </c>
      <c r="L22" s="2" t="s">
        <v>372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104.67</v>
      </c>
      <c r="H23" s="3">
        <v>2.3297992427033001</v>
      </c>
      <c r="I23" s="3">
        <v>1.8629883996054</v>
      </c>
      <c r="J23" s="3">
        <v>3.2904109589041002</v>
      </c>
      <c r="K23" s="3">
        <v>3.0354616392296001</v>
      </c>
      <c r="L23" s="2" t="s">
        <v>372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111.87</v>
      </c>
      <c r="H24" s="3">
        <v>3.5211635724320001</v>
      </c>
      <c r="I24" s="3">
        <v>2.9254446891977</v>
      </c>
      <c r="J24" s="3">
        <v>9.2931506849315006</v>
      </c>
      <c r="K24" s="3">
        <v>7.3314105801769998</v>
      </c>
      <c r="L24" s="2" t="s">
        <v>372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102.6</v>
      </c>
      <c r="H25" s="3">
        <v>3.7559300890645999</v>
      </c>
      <c r="I25" s="3">
        <v>3.2554991681299001</v>
      </c>
      <c r="J25" s="3">
        <v>11.8</v>
      </c>
      <c r="K25" s="3">
        <v>9.1386305736536002</v>
      </c>
      <c r="L25" s="2" t="s">
        <v>372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111.14</v>
      </c>
      <c r="H26" s="3">
        <v>4.0078081631367999</v>
      </c>
      <c r="I26" s="3">
        <v>3.4118534023525</v>
      </c>
      <c r="J26" s="3">
        <v>14.295890410959</v>
      </c>
      <c r="K26" s="3">
        <v>10.111179423902</v>
      </c>
      <c r="L26" s="2" t="s">
        <v>372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98.97</v>
      </c>
      <c r="H27" s="3">
        <v>1.9057104514200001</v>
      </c>
      <c r="I27" s="3">
        <v>1.7471387547899999</v>
      </c>
      <c r="J27" s="3">
        <v>1.6219178082192001</v>
      </c>
      <c r="K27" s="3">
        <v>1.5732427143247001</v>
      </c>
      <c r="L27" s="2" t="s">
        <v>372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101.65</v>
      </c>
      <c r="H28" s="3">
        <v>2.3328722620039999</v>
      </c>
      <c r="I28" s="3">
        <v>1.9782935692949</v>
      </c>
      <c r="J28" s="3">
        <v>3.6246575342465999</v>
      </c>
      <c r="K28" s="3">
        <v>3.3600316172108</v>
      </c>
      <c r="L28" s="2" t="s">
        <v>372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98.832999999999998</v>
      </c>
      <c r="H29" s="3">
        <v>1.963050638141</v>
      </c>
      <c r="I29" s="3">
        <v>1.892647073822</v>
      </c>
      <c r="J29" s="3">
        <v>0.79178082191780996</v>
      </c>
      <c r="K29" s="3">
        <v>0.77816472114196</v>
      </c>
      <c r="L29" s="2" t="s">
        <v>372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97.61</v>
      </c>
      <c r="H30" s="3">
        <v>1.8882496129073001</v>
      </c>
      <c r="I30" s="3">
        <v>1.8861255830579</v>
      </c>
      <c r="J30" s="3">
        <v>1.2876712328766999</v>
      </c>
      <c r="K30" s="3">
        <v>1.2691852984465</v>
      </c>
      <c r="L30" s="2" t="s">
        <v>372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102.03</v>
      </c>
      <c r="H31" s="3">
        <v>3.6313247463277998</v>
      </c>
      <c r="I31" s="3">
        <v>3.1481638769243001</v>
      </c>
      <c r="J31" s="3">
        <v>9.7972602739726007</v>
      </c>
      <c r="K31" s="3">
        <v>7.9219268168257999</v>
      </c>
      <c r="L31" s="2" t="s">
        <v>372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110.89</v>
      </c>
      <c r="H32" s="3">
        <v>4.0774562351829999</v>
      </c>
      <c r="I32" s="3">
        <v>3.4796021034183</v>
      </c>
      <c r="J32" s="3">
        <v>15.383561643836</v>
      </c>
      <c r="K32" s="3">
        <v>10.672756198198</v>
      </c>
      <c r="L32" s="2" t="s">
        <v>372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102.05</v>
      </c>
      <c r="H33" s="3">
        <v>2.0810242056232</v>
      </c>
      <c r="I33" s="3">
        <v>1.5333384800137</v>
      </c>
      <c r="J33" s="3">
        <v>0.86849315068493005</v>
      </c>
      <c r="K33" s="3">
        <v>0.84307335382478998</v>
      </c>
      <c r="L33" s="2" t="s">
        <v>372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86.4</v>
      </c>
      <c r="H34" s="3">
        <v>4.2624322672534998</v>
      </c>
      <c r="I34" s="3">
        <v>3.8081444444726</v>
      </c>
      <c r="J34" s="3">
        <v>21.386301369862998</v>
      </c>
      <c r="K34" s="3">
        <v>14.384448890386</v>
      </c>
      <c r="L34" s="2" t="s">
        <v>372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100.008</v>
      </c>
      <c r="H35" s="3">
        <v>1.9573190633004001</v>
      </c>
      <c r="I35" s="3">
        <v>1.7109745965187</v>
      </c>
      <c r="J35" s="3">
        <v>0.62191780821917997</v>
      </c>
      <c r="K35" s="3">
        <v>0.60526447923122995</v>
      </c>
      <c r="L35" s="2" t="s">
        <v>372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71.239999999999995</v>
      </c>
      <c r="H36" s="3">
        <v>4.3259648844403999</v>
      </c>
      <c r="I36" s="3">
        <v>3.8690229976351</v>
      </c>
      <c r="J36" s="3">
        <v>41.895890410958998</v>
      </c>
      <c r="K36" s="3">
        <v>20.637080469097999</v>
      </c>
      <c r="L36" s="2" t="s">
        <v>372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93.43</v>
      </c>
      <c r="H37" s="3">
        <v>3.3813118580314998</v>
      </c>
      <c r="I37" s="3">
        <v>3.0541822635761</v>
      </c>
      <c r="J37" s="3">
        <v>8.3780821917808002</v>
      </c>
      <c r="K37" s="3">
        <v>7.3205438474721998</v>
      </c>
      <c r="L37" s="2" t="s">
        <v>372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90.29</v>
      </c>
      <c r="H38" s="3">
        <v>3.9222680753863002</v>
      </c>
      <c r="I38" s="3">
        <v>3.5231561778890002</v>
      </c>
      <c r="J38" s="3">
        <v>13.380821917807999</v>
      </c>
      <c r="K38" s="3">
        <v>10.551031585167999</v>
      </c>
      <c r="L38" s="2" t="s">
        <v>372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98.26</v>
      </c>
      <c r="H39" s="3">
        <v>3.5900376503619</v>
      </c>
      <c r="I39" s="3">
        <v>3.1583113120499999</v>
      </c>
      <c r="J39" s="3">
        <v>9.8739726027397001</v>
      </c>
      <c r="K39" s="3">
        <v>8.1455971486367993</v>
      </c>
      <c r="L39" s="2" t="s">
        <v>372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93.63</v>
      </c>
      <c r="H40" s="3">
        <v>4.3150011425182004</v>
      </c>
      <c r="I40" s="3">
        <v>3.8021992798842001</v>
      </c>
      <c r="J40" s="3">
        <v>24.389041095890001</v>
      </c>
      <c r="K40" s="3">
        <v>14.995603916773</v>
      </c>
      <c r="L40" s="2" t="s">
        <v>372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93.85</v>
      </c>
      <c r="H41" s="3">
        <v>2.7006157775537001</v>
      </c>
      <c r="I41" s="3">
        <v>2.5235707593484999</v>
      </c>
      <c r="J41" s="3">
        <v>4.9561643835615996</v>
      </c>
      <c r="K41" s="3">
        <v>4.6756763434352999</v>
      </c>
      <c r="L41" s="2" t="s">
        <v>372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72.040000000000006</v>
      </c>
      <c r="H42" s="3">
        <v>4.3061316124467002</v>
      </c>
      <c r="I42" s="3">
        <v>3.9201100233395998</v>
      </c>
      <c r="J42" s="3">
        <v>25.389041095890001</v>
      </c>
      <c r="K42" s="3">
        <v>16.899047551302999</v>
      </c>
      <c r="L42" s="2" t="s">
        <v>372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60.46</v>
      </c>
      <c r="H43" s="3">
        <v>4.2325576734014998</v>
      </c>
      <c r="I43" s="3">
        <v>3.9336239074654999</v>
      </c>
      <c r="J43" s="3">
        <v>26.389041095890001</v>
      </c>
      <c r="K43" s="3">
        <v>18.701256857967</v>
      </c>
      <c r="L43" s="2" t="s">
        <v>372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103.4</v>
      </c>
      <c r="H44" s="3">
        <v>4.2228477154614001</v>
      </c>
      <c r="I44" s="3">
        <v>3.6667504395842001</v>
      </c>
      <c r="J44" s="3">
        <v>18.383561643836</v>
      </c>
      <c r="K44" s="3">
        <v>12.265340825812</v>
      </c>
      <c r="L44" s="2" t="s">
        <v>372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105.58</v>
      </c>
      <c r="H45" s="3">
        <v>3.4913550926189001</v>
      </c>
      <c r="I45" s="3">
        <v>2.9749783402868002</v>
      </c>
      <c r="J45" s="3">
        <v>8.8739726027397001</v>
      </c>
      <c r="K45" s="3">
        <v>7.2536106115237997</v>
      </c>
      <c r="L45" s="2" t="s">
        <v>372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88.96</v>
      </c>
      <c r="H46" s="3">
        <v>2.9547030560348002</v>
      </c>
      <c r="I46" s="3">
        <v>2.8329944003533001</v>
      </c>
      <c r="J46" s="3">
        <v>5.9561643835615996</v>
      </c>
      <c r="K46" s="3">
        <v>5.6327973435913998</v>
      </c>
      <c r="L46" s="2" t="s">
        <v>372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86.03</v>
      </c>
      <c r="H47" s="3">
        <v>3.1783195684304002</v>
      </c>
      <c r="I47" s="3">
        <v>3.0377196356719001</v>
      </c>
      <c r="J47" s="3">
        <v>7.1260273972602999</v>
      </c>
      <c r="K47" s="3">
        <v>6.6455902797972</v>
      </c>
      <c r="L47" s="2" t="s">
        <v>372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107.54</v>
      </c>
      <c r="H48" s="3">
        <v>3.3467775151871999</v>
      </c>
      <c r="I48" s="3">
        <v>2.812137083878</v>
      </c>
      <c r="J48" s="3">
        <v>8.0410958904110004</v>
      </c>
      <c r="K48" s="3">
        <v>6.5656150797506001</v>
      </c>
      <c r="L48" s="2" t="s">
        <v>372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108.01</v>
      </c>
      <c r="H49" s="3">
        <v>1.9310486667368001</v>
      </c>
      <c r="I49" s="3">
        <v>1.0670494443908001</v>
      </c>
      <c r="J49" s="3">
        <v>1.5397260273972999</v>
      </c>
      <c r="K49" s="3">
        <v>1.4181309590539</v>
      </c>
      <c r="L49" s="2" t="s">
        <v>372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110.77</v>
      </c>
      <c r="H50" s="3">
        <v>2.1225569008425</v>
      </c>
      <c r="I50" s="3">
        <v>1.3548325886029</v>
      </c>
      <c r="J50" s="3">
        <v>2.5397260273972999</v>
      </c>
      <c r="K50" s="3">
        <v>2.2805928043821</v>
      </c>
      <c r="L50" s="2" t="s">
        <v>372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111.52</v>
      </c>
      <c r="H51" s="3">
        <v>2.5565977126436001</v>
      </c>
      <c r="I51" s="3">
        <v>1.9346211104472999</v>
      </c>
      <c r="J51" s="3">
        <v>4.5424657534247004</v>
      </c>
      <c r="K51" s="3">
        <v>3.9407676135179002</v>
      </c>
      <c r="L51" s="2" t="s">
        <v>372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116.94</v>
      </c>
      <c r="H52" s="3">
        <v>2.9365437323207</v>
      </c>
      <c r="I52" s="3">
        <v>2.2443295339257001</v>
      </c>
      <c r="J52" s="3">
        <v>6.0383561643836003</v>
      </c>
      <c r="K52" s="3">
        <v>4.9689282133808002</v>
      </c>
      <c r="L52" s="2" t="s">
        <v>372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91.02</v>
      </c>
      <c r="H53" s="3">
        <v>2.8065559452172999</v>
      </c>
      <c r="I53" s="3">
        <v>2.6745974810247</v>
      </c>
      <c r="J53" s="3">
        <v>5.2904109589040997</v>
      </c>
      <c r="K53" s="3">
        <v>5.0134295797329997</v>
      </c>
      <c r="L53" s="2" t="s">
        <v>372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106.83</v>
      </c>
      <c r="H54" s="3">
        <v>3.2250133960527001</v>
      </c>
      <c r="I54" s="3">
        <v>2.7171389765162002</v>
      </c>
      <c r="J54" s="3">
        <v>8.5452054794521004</v>
      </c>
      <c r="K54" s="3">
        <v>6.9234930096936997</v>
      </c>
      <c r="L54" s="2" t="s">
        <v>372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3.5858988276665</v>
      </c>
      <c r="I55" s="3">
        <v>3.1316168159509998</v>
      </c>
      <c r="J55" s="3">
        <v>10.460273972603</v>
      </c>
      <c r="K55" s="3">
        <v>8.5187916961117995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101.51</v>
      </c>
      <c r="H56" s="3">
        <v>2.6531164916295999</v>
      </c>
      <c r="I56" s="3">
        <v>2.2711544646222999</v>
      </c>
      <c r="J56" s="3">
        <v>4.4575342465752996</v>
      </c>
      <c r="K56" s="3">
        <v>4.0941673487869998</v>
      </c>
      <c r="L56" s="2" t="s">
        <v>372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105.87</v>
      </c>
      <c r="H57" s="3">
        <v>2.4796196339562999</v>
      </c>
      <c r="I57" s="3">
        <v>1.9529362963007999</v>
      </c>
      <c r="J57" s="3">
        <v>3.7945205479452002</v>
      </c>
      <c r="K57" s="3">
        <v>3.4480325067301001</v>
      </c>
      <c r="L57" s="2" t="s">
        <v>372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100.58</v>
      </c>
      <c r="H58" s="3">
        <v>2.8485389273603001</v>
      </c>
      <c r="I58" s="3">
        <v>2.4762812173905999</v>
      </c>
      <c r="J58" s="3">
        <v>5.2054794520548002</v>
      </c>
      <c r="K58" s="3">
        <v>4.7129807117388003</v>
      </c>
      <c r="L58" s="2" t="s">
        <v>372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95.05</v>
      </c>
      <c r="H59" s="3">
        <v>3.2612547263856002</v>
      </c>
      <c r="I59" s="3">
        <v>2.9115596619168</v>
      </c>
      <c r="J59" s="3">
        <v>7.6273972602739999</v>
      </c>
      <c r="K59" s="3">
        <v>6.6855406104092996</v>
      </c>
      <c r="L59" s="2" t="s">
        <v>372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100.08</v>
      </c>
      <c r="H60" s="3">
        <v>2.0232780697914001</v>
      </c>
      <c r="I60" s="3">
        <v>1.7551920390769</v>
      </c>
      <c r="J60" s="3">
        <v>2.2876712328767002</v>
      </c>
      <c r="K60" s="3">
        <v>2.1958465319867</v>
      </c>
      <c r="L60" s="2" t="s">
        <v>372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101.32</v>
      </c>
      <c r="H61" s="3">
        <v>2.1394439519528001</v>
      </c>
      <c r="I61" s="3">
        <v>1.7996806254211</v>
      </c>
      <c r="J61" s="3">
        <v>2.6219178082191998</v>
      </c>
      <c r="K61" s="3">
        <v>2.4734651412790001</v>
      </c>
      <c r="L61" s="2" t="s">
        <v>372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78.760000000000005</v>
      </c>
      <c r="H62" s="3">
        <v>4.2339878890064</v>
      </c>
      <c r="I62" s="3">
        <v>3.8336617106788</v>
      </c>
      <c r="J62" s="3">
        <v>21.882191780822001</v>
      </c>
      <c r="K62" s="3">
        <v>15.163460586399999</v>
      </c>
      <c r="L62" s="2" t="s">
        <v>372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2.6994707703351</v>
      </c>
      <c r="I63" s="3">
        <v>2.3623288050640001</v>
      </c>
      <c r="J63" s="3">
        <v>5.4575342465752996</v>
      </c>
      <c r="K63" s="3">
        <v>4.9944340344753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73.239999999999995</v>
      </c>
      <c r="H64" s="3">
        <v>3.7988441465278</v>
      </c>
      <c r="I64" s="3">
        <v>3.6516296687466001</v>
      </c>
      <c r="J64" s="3">
        <v>11.876712328767001</v>
      </c>
      <c r="K64" s="3">
        <v>10.699900857868</v>
      </c>
      <c r="L64" s="2" t="s">
        <v>372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65.930000000000007</v>
      </c>
      <c r="H65" s="3">
        <v>4.3149810138648004</v>
      </c>
      <c r="I65" s="3">
        <v>3.9574155755440001</v>
      </c>
      <c r="J65" s="3">
        <v>27.391780821918001</v>
      </c>
      <c r="K65" s="3">
        <v>18.144387192996</v>
      </c>
      <c r="L65" s="2" t="s">
        <v>372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101.61</v>
      </c>
      <c r="H66" s="3">
        <v>2.0564202841703998</v>
      </c>
      <c r="I66" s="3">
        <v>1.6815688322122999</v>
      </c>
      <c r="J66" s="3">
        <v>1.8301369863014001</v>
      </c>
      <c r="K66" s="3">
        <v>1.7513665938956</v>
      </c>
      <c r="L66" s="2" t="s">
        <v>372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</v>
      </c>
      <c r="H67" s="3">
        <v>3.6814470753176001</v>
      </c>
      <c r="I67" s="3">
        <v>3.2134144844860999</v>
      </c>
      <c r="J67" s="3">
        <v>10.293150684932</v>
      </c>
      <c r="K67" s="3">
        <v>8.3031462631502997</v>
      </c>
      <c r="L67" s="2" t="s">
        <v>372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100.14</v>
      </c>
      <c r="H68" s="3">
        <v>1.9974259302793</v>
      </c>
      <c r="I68" s="3">
        <v>1.7325877178088001</v>
      </c>
      <c r="J68" s="3">
        <v>1.2410958904110001</v>
      </c>
      <c r="K68" s="3">
        <v>1.2016188749731</v>
      </c>
      <c r="L68" s="2" t="s">
        <v>372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102.23</v>
      </c>
      <c r="H69" s="3">
        <v>3.0771099791655998</v>
      </c>
      <c r="I69" s="3">
        <v>2.6454684198535001</v>
      </c>
      <c r="J69" s="3">
        <v>6.2438356164383997</v>
      </c>
      <c r="K69" s="3">
        <v>5.4628626436482</v>
      </c>
      <c r="L69" s="2" t="s">
        <v>372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73.73</v>
      </c>
      <c r="H70" s="3">
        <v>4.1003148461791996</v>
      </c>
      <c r="I70" s="3">
        <v>3.8258035908494001</v>
      </c>
      <c r="J70" s="3">
        <v>15.879452054794999</v>
      </c>
      <c r="K70" s="3">
        <v>12.892060158839</v>
      </c>
      <c r="L70" s="2" t="s">
        <v>372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105.66</v>
      </c>
      <c r="H71" s="3">
        <v>2.9104553034745</v>
      </c>
      <c r="I71" s="3">
        <v>2.4203274287049998</v>
      </c>
      <c r="J71" s="3">
        <v>5.5808219178082004</v>
      </c>
      <c r="K71" s="3">
        <v>4.8539137065568996</v>
      </c>
      <c r="L71" s="2" t="s">
        <v>372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</v>
      </c>
      <c r="H72" s="3">
        <v>1.9112478262657999</v>
      </c>
      <c r="I72" s="3">
        <v>1.7967468566471001</v>
      </c>
      <c r="J72" s="3">
        <v>1.745205479452</v>
      </c>
      <c r="K72" s="3">
        <v>1.6998670451758</v>
      </c>
      <c r="L72" s="2" t="s">
        <v>372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92.92</v>
      </c>
      <c r="H73" s="3">
        <v>2.4079934288265998</v>
      </c>
      <c r="I73" s="3">
        <v>2.3321983176667</v>
      </c>
      <c r="J73" s="3">
        <v>3.8328767123288001</v>
      </c>
      <c r="K73" s="3">
        <v>3.7106496952503001</v>
      </c>
      <c r="L73" s="2" t="s">
        <v>372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105.25</v>
      </c>
      <c r="H74" s="3">
        <v>2.6568016885511998</v>
      </c>
      <c r="I74" s="3">
        <v>2.1850012730997999</v>
      </c>
      <c r="J74" s="3">
        <v>4.6630136986300998</v>
      </c>
      <c r="K74" s="3">
        <v>4.1656184282917001</v>
      </c>
      <c r="L74" s="2" t="s">
        <v>372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101.36</v>
      </c>
      <c r="H75" s="3">
        <v>2.1468353660902002</v>
      </c>
      <c r="I75" s="3">
        <v>1.8073339261510999</v>
      </c>
      <c r="J75" s="3">
        <v>2.4931506849314999</v>
      </c>
      <c r="K75" s="3">
        <v>2.3768929885700998</v>
      </c>
      <c r="L75" s="2" t="s">
        <v>372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102.85</v>
      </c>
      <c r="H76" s="3">
        <v>2.9807166458497001</v>
      </c>
      <c r="I76" s="3">
        <v>2.5431861613303002</v>
      </c>
      <c r="J76" s="3">
        <v>5.8328767123288001</v>
      </c>
      <c r="K76" s="3">
        <v>5.1563925280582001</v>
      </c>
      <c r="L76" s="2" t="s">
        <v>372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101.681</v>
      </c>
      <c r="H77" s="3">
        <v>2.0607173192745001</v>
      </c>
      <c r="I77" s="3">
        <v>1.5939122700313</v>
      </c>
      <c r="J77" s="3">
        <v>0.99178082191781003</v>
      </c>
      <c r="K77" s="3">
        <v>0.96298908371904002</v>
      </c>
      <c r="L77" s="2" t="s">
        <v>372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101.19</v>
      </c>
      <c r="H78" s="3">
        <v>2.5106827775238001</v>
      </c>
      <c r="I78" s="3">
        <v>2.1593519381205</v>
      </c>
      <c r="J78" s="3">
        <v>4.1616438356163998</v>
      </c>
      <c r="K78" s="3">
        <v>3.8266636567140999</v>
      </c>
      <c r="L78" s="2" t="s">
        <v>372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97.4</v>
      </c>
      <c r="H79" s="3">
        <v>2.0700595380975999</v>
      </c>
      <c r="I79" s="3">
        <v>1.9483849947103999</v>
      </c>
      <c r="J79" s="3">
        <v>2.4109589041096</v>
      </c>
      <c r="K79" s="3">
        <v>2.3386093070531002</v>
      </c>
      <c r="L79" s="2" t="s">
        <v>372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101.04</v>
      </c>
      <c r="H80" s="3">
        <v>2.3186666574664998</v>
      </c>
      <c r="I80" s="3">
        <v>1.9744443190083001</v>
      </c>
      <c r="J80" s="3">
        <v>3.1616438356163998</v>
      </c>
      <c r="K80" s="3">
        <v>2.9779397055289998</v>
      </c>
      <c r="L80" s="2" t="s">
        <v>372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104.32</v>
      </c>
      <c r="H81" s="3">
        <v>2.8098319680678001</v>
      </c>
      <c r="I81" s="3">
        <v>2.326520607495</v>
      </c>
      <c r="J81" s="3">
        <v>5.1616438356163998</v>
      </c>
      <c r="K81" s="3">
        <v>4.5771292245419</v>
      </c>
      <c r="L81" s="2" t="s">
        <v>372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94.59</v>
      </c>
      <c r="H82" s="3">
        <v>2.2468435567573</v>
      </c>
      <c r="I82" s="3">
        <v>2.1606097696311002</v>
      </c>
      <c r="J82" s="3">
        <v>3.2438356164384001</v>
      </c>
      <c r="K82" s="3">
        <v>3.1513653766254999</v>
      </c>
      <c r="L82" s="2" t="s">
        <v>372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102.94</v>
      </c>
      <c r="H83" s="3">
        <v>2.1131610023455001</v>
      </c>
      <c r="I83" s="3">
        <v>1.6855496150114</v>
      </c>
      <c r="J83" s="3">
        <v>2.2410958904110001</v>
      </c>
      <c r="K83" s="3">
        <v>2.1147453559553</v>
      </c>
      <c r="L83" s="2" t="s">
        <v>372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102.51</v>
      </c>
      <c r="H84" s="3">
        <v>2.0364774384534998</v>
      </c>
      <c r="I84" s="3">
        <v>1.5605979230784</v>
      </c>
      <c r="J84" s="3">
        <v>1.4109589041096</v>
      </c>
      <c r="K84" s="3">
        <v>1.3555814658025001</v>
      </c>
      <c r="L84" s="2" t="s">
        <v>372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100.253</v>
      </c>
      <c r="H85" s="3">
        <v>1.9957238873303</v>
      </c>
      <c r="I85" s="3">
        <v>1.6897131891085</v>
      </c>
      <c r="J85" s="3">
        <v>0.57808219178081999</v>
      </c>
      <c r="K85" s="3">
        <v>0.56610544799608997</v>
      </c>
      <c r="L85" s="2" t="s">
        <v>372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97.83</v>
      </c>
      <c r="H86" s="3">
        <v>4.4782418412849001</v>
      </c>
      <c r="I86" s="3">
        <v>3.9211181017772998</v>
      </c>
      <c r="J86" s="3">
        <v>29.473972602740002</v>
      </c>
      <c r="K86" s="3">
        <v>16.086764300496998</v>
      </c>
      <c r="L86" s="2" t="s">
        <v>372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101.023</v>
      </c>
      <c r="H87" s="3">
        <v>2.0729985005009</v>
      </c>
      <c r="I87" s="3">
        <v>1.6416792081413001</v>
      </c>
      <c r="J87" s="3">
        <v>0.74520547945204996</v>
      </c>
      <c r="K87" s="3">
        <v>0.72181410069491003</v>
      </c>
      <c r="L87" s="2" t="s">
        <v>372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94.62</v>
      </c>
      <c r="H88" s="3">
        <v>2.1795178189916999</v>
      </c>
      <c r="I88" s="3">
        <v>2.1407877643526998</v>
      </c>
      <c r="J88" s="3">
        <v>2.9095890410959</v>
      </c>
      <c r="K88" s="3">
        <v>2.8380557097681001</v>
      </c>
      <c r="L88" s="2" t="s">
        <v>372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80.099999999999994</v>
      </c>
      <c r="H89" s="3">
        <v>3.7184283150663</v>
      </c>
      <c r="I89" s="3">
        <v>3.5069703212814001</v>
      </c>
      <c r="J89" s="3">
        <v>10.876712328767001</v>
      </c>
      <c r="K89" s="3">
        <v>9.6089414862554001</v>
      </c>
      <c r="L89" s="2" t="s">
        <v>372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97.2</v>
      </c>
      <c r="H90" s="3">
        <v>4.1347061062961004</v>
      </c>
      <c r="I90" s="3">
        <v>3.632213103902</v>
      </c>
      <c r="J90" s="3">
        <v>15.465753424657001</v>
      </c>
      <c r="K90" s="3">
        <v>11.250341533815</v>
      </c>
      <c r="L90" s="2" t="s">
        <v>372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99.691999999999993</v>
      </c>
      <c r="H91" s="3">
        <v>2.1273296672144002</v>
      </c>
      <c r="I91" s="3">
        <v>1.9656116464624001</v>
      </c>
      <c r="J91" s="3">
        <v>0.32602739726027002</v>
      </c>
      <c r="K91" s="3">
        <v>0.31928231192808998</v>
      </c>
      <c r="L91" s="2" t="s">
        <v>372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9.9260273972603006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107.83</v>
      </c>
      <c r="H93" s="3">
        <v>2.329478352487</v>
      </c>
      <c r="I93" s="3">
        <v>1.7572146163839999</v>
      </c>
      <c r="J93" s="3">
        <v>3.3753424657534001</v>
      </c>
      <c r="K93" s="3">
        <v>3.0794315009270998</v>
      </c>
      <c r="L93" s="2" t="s">
        <v>372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101.74</v>
      </c>
      <c r="H94" s="3">
        <v>4.4369443864287996</v>
      </c>
      <c r="I94" s="3">
        <v>3.8693481333164002</v>
      </c>
      <c r="J94" s="3">
        <v>28.473972602740002</v>
      </c>
      <c r="K94" s="3">
        <v>15.708094823342</v>
      </c>
      <c r="L94" s="2" t="s">
        <v>372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100.44</v>
      </c>
      <c r="H95" s="3">
        <v>3.19581406557</v>
      </c>
      <c r="I95" s="3">
        <v>2.7860122720401002</v>
      </c>
      <c r="J95" s="3">
        <v>7.2465753424657002</v>
      </c>
      <c r="K95" s="3">
        <v>6.3181597234847997</v>
      </c>
      <c r="L95" s="2" t="s">
        <v>370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100.828</v>
      </c>
      <c r="H96" s="3">
        <v>2.0924224322537999</v>
      </c>
      <c r="I96" s="3">
        <v>1.6794404713486</v>
      </c>
      <c r="J96" s="3">
        <v>0.78082191780821997</v>
      </c>
      <c r="K96" s="3">
        <v>0.75727849374399003</v>
      </c>
      <c r="L96" s="2" t="s">
        <v>372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100.605</v>
      </c>
      <c r="H97" s="3">
        <v>2.1762708091798002</v>
      </c>
      <c r="I97" s="3">
        <v>1.7334320392253999</v>
      </c>
      <c r="J97" s="3">
        <v>0.44931506849315</v>
      </c>
      <c r="K97" s="3">
        <v>0.43982940771848</v>
      </c>
      <c r="L97" s="2" t="s">
        <v>372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</v>
      </c>
      <c r="H98" s="3">
        <v>2.0727400507154998</v>
      </c>
      <c r="I98" s="3">
        <v>1.8379177117159999</v>
      </c>
      <c r="J98" s="3">
        <v>0.20273972602740001</v>
      </c>
      <c r="K98" s="3">
        <v>0.19864112013265001</v>
      </c>
      <c r="L98" s="2" t="s">
        <v>372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101.43</v>
      </c>
      <c r="H99" s="3">
        <v>2.0457605430366002</v>
      </c>
      <c r="I99" s="3">
        <v>1.6580101812262</v>
      </c>
      <c r="J99" s="3">
        <v>1.3616438356164</v>
      </c>
      <c r="K99" s="3">
        <v>1.3123559051386</v>
      </c>
      <c r="L99" s="2" t="s">
        <v>372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100.16</v>
      </c>
      <c r="H100" s="3">
        <v>3.1414671450063998</v>
      </c>
      <c r="I100" s="3">
        <v>2.7430833417468001</v>
      </c>
      <c r="J100" s="3">
        <v>6.5808219178082004</v>
      </c>
      <c r="K100" s="3">
        <v>5.7416151481608004</v>
      </c>
      <c r="L100" s="2" t="s">
        <v>372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100.88</v>
      </c>
      <c r="H101" s="3">
        <v>2.0730376623860001</v>
      </c>
      <c r="I101" s="3">
        <v>1.7480697908409</v>
      </c>
      <c r="J101" s="3">
        <v>1.8575342465753</v>
      </c>
      <c r="K101" s="3">
        <v>1.7832152280208</v>
      </c>
      <c r="L101" s="2" t="s">
        <v>372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103.32</v>
      </c>
      <c r="H102" s="3">
        <v>2.2383962149911998</v>
      </c>
      <c r="I102" s="3">
        <v>1.8051887896158001</v>
      </c>
      <c r="J102" s="3">
        <v>2.9561643835616001</v>
      </c>
      <c r="K102" s="3">
        <v>2.7786518370022999</v>
      </c>
      <c r="L102" s="2" t="s">
        <v>372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103.44</v>
      </c>
      <c r="H103" s="3">
        <v>2.9700382928627</v>
      </c>
      <c r="I103" s="3">
        <v>2.5090294380859</v>
      </c>
      <c r="J103" s="3">
        <v>4.8821917808219002</v>
      </c>
      <c r="K103" s="3">
        <v>4.3708672334593999</v>
      </c>
      <c r="L103" s="2" t="s">
        <v>372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103.44</v>
      </c>
      <c r="H104" s="3">
        <v>3.1033979429945</v>
      </c>
      <c r="I104" s="3">
        <v>2.6302381356467999</v>
      </c>
      <c r="J104" s="3">
        <v>4.8821917808219002</v>
      </c>
      <c r="K104" s="3">
        <v>4.3660227078003997</v>
      </c>
      <c r="L104" s="2" t="s">
        <v>372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105.61</v>
      </c>
      <c r="H105" s="3">
        <v>2.6549447044146999</v>
      </c>
      <c r="I105" s="3">
        <v>2.1225310495123999</v>
      </c>
      <c r="J105" s="3">
        <v>3.4821917808218998</v>
      </c>
      <c r="K105" s="3">
        <v>3.1778372943717001</v>
      </c>
      <c r="L105" s="2" t="s">
        <v>372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105.61</v>
      </c>
      <c r="H106" s="3">
        <v>2.7905884789397</v>
      </c>
      <c r="I106" s="3">
        <v>2.2474346365987001</v>
      </c>
      <c r="J106" s="3">
        <v>3.4821917808218998</v>
      </c>
      <c r="K106" s="3">
        <v>3.1739948237819999</v>
      </c>
      <c r="L106" s="2" t="s">
        <v>372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103.45</v>
      </c>
      <c r="H107" s="3">
        <v>2.3038262553939002</v>
      </c>
      <c r="I107" s="3">
        <v>1.8172189313736999</v>
      </c>
      <c r="J107" s="3">
        <v>2.1534246575342002</v>
      </c>
      <c r="K107" s="3">
        <v>2.0226139972514998</v>
      </c>
      <c r="L107" s="2" t="s">
        <v>372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103.45</v>
      </c>
      <c r="H108" s="3">
        <v>2.5285947620909002</v>
      </c>
      <c r="I108" s="3">
        <v>2.0278416004862998</v>
      </c>
      <c r="J108" s="3">
        <v>2.1534246575342002</v>
      </c>
      <c r="K108" s="3">
        <v>2.0183084466349999</v>
      </c>
      <c r="L108" s="2" t="s">
        <v>372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102.9</v>
      </c>
      <c r="H109" s="3">
        <v>3.0797518829434001</v>
      </c>
      <c r="I109" s="3">
        <v>2.6207403687319002</v>
      </c>
      <c r="J109" s="3">
        <v>5.0739726027397003</v>
      </c>
      <c r="K109" s="3">
        <v>4.5112940670718</v>
      </c>
      <c r="L109" s="2" t="s">
        <v>372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102.9</v>
      </c>
      <c r="H110" s="3">
        <v>3.2262165546145001</v>
      </c>
      <c r="I110" s="3">
        <v>2.7532710012982999</v>
      </c>
      <c r="J110" s="3">
        <v>5.0739726027397003</v>
      </c>
      <c r="K110" s="3">
        <v>4.5058741585115998</v>
      </c>
      <c r="L110" s="2" t="s">
        <v>372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</v>
      </c>
      <c r="H111" s="3">
        <v>4.8226252212266001</v>
      </c>
      <c r="I111" s="3">
        <v>4.4923388044878001</v>
      </c>
      <c r="J111" s="3">
        <v>31.095890410959001</v>
      </c>
      <c r="K111" s="3">
        <v>5.7119856277626004</v>
      </c>
      <c r="L111" s="2" t="s">
        <v>371</v>
      </c>
      <c r="M11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FCC8-E7D2-744A-B9BF-3E974252F62F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117.14</v>
      </c>
      <c r="H2" s="3">
        <v>3.2628406032333999</v>
      </c>
      <c r="I2" s="3">
        <v>2.5993033560945999</v>
      </c>
      <c r="J2" s="3">
        <v>7.7890410958903997</v>
      </c>
      <c r="K2" s="3">
        <v>6.2420981821317003</v>
      </c>
      <c r="L2" s="2" t="s">
        <v>373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100.59</v>
      </c>
      <c r="H3" s="3">
        <v>1.922654669922</v>
      </c>
      <c r="I3" s="3">
        <v>1.6315972213473999</v>
      </c>
      <c r="J3" s="3">
        <v>2.1123287671233002</v>
      </c>
      <c r="K3" s="3">
        <v>2.0199604044681001</v>
      </c>
      <c r="L3" s="2" t="s">
        <v>373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99.81</v>
      </c>
      <c r="H4" s="3">
        <v>2.0795041345568999</v>
      </c>
      <c r="I4" s="3">
        <v>1.8222471551801001</v>
      </c>
      <c r="J4" s="3">
        <v>2.7835616438356001</v>
      </c>
      <c r="K4" s="3">
        <v>2.6549645788265002</v>
      </c>
      <c r="L4" s="2" t="s">
        <v>373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102.23</v>
      </c>
      <c r="H5" s="3">
        <v>2.4623078594129999</v>
      </c>
      <c r="I5" s="3">
        <v>2.0880722524805999</v>
      </c>
      <c r="J5" s="3">
        <v>4.2821917808218997</v>
      </c>
      <c r="K5" s="3">
        <v>3.9321133289192001</v>
      </c>
      <c r="L5" s="2" t="s">
        <v>373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101.94</v>
      </c>
      <c r="H6" s="3">
        <v>4.0074415567493</v>
      </c>
      <c r="I6" s="3">
        <v>3.4839234471502998</v>
      </c>
      <c r="J6" s="3">
        <v>14.454794520548001</v>
      </c>
      <c r="K6" s="3">
        <v>10.608044846146999</v>
      </c>
      <c r="L6" s="2" t="s">
        <v>373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86.6</v>
      </c>
      <c r="H7" s="3">
        <v>2.9742169445080999</v>
      </c>
      <c r="I7" s="3">
        <v>2.8915407252379999</v>
      </c>
      <c r="J7" s="3">
        <v>6.2821917808218997</v>
      </c>
      <c r="K7" s="3">
        <v>5.9775805878426</v>
      </c>
      <c r="L7" s="2" t="s">
        <v>373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108.13</v>
      </c>
      <c r="H8" s="3">
        <v>4.1743749420979999</v>
      </c>
      <c r="I8" s="3">
        <v>3.5965637378503001</v>
      </c>
      <c r="J8" s="3">
        <v>19.378082191781001</v>
      </c>
      <c r="K8" s="3">
        <v>12.553380842640999</v>
      </c>
      <c r="L8" s="2" t="s">
        <v>373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104.25</v>
      </c>
      <c r="H9" s="3">
        <v>2.5794495701739999</v>
      </c>
      <c r="I9" s="3">
        <v>2.1446935016838</v>
      </c>
      <c r="J9" s="3">
        <v>4.8630136986301</v>
      </c>
      <c r="K9" s="3">
        <v>4.3898214839490004</v>
      </c>
      <c r="L9" s="2" t="s">
        <v>373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91.34</v>
      </c>
      <c r="H10" s="3">
        <v>3.0798978313871999</v>
      </c>
      <c r="I10" s="3">
        <v>2.8575062536804001</v>
      </c>
      <c r="J10" s="3">
        <v>6.8657534246575</v>
      </c>
      <c r="K10" s="3">
        <v>6.2899822237735998</v>
      </c>
      <c r="L10" s="2" t="s">
        <v>373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</v>
      </c>
      <c r="H11" s="3">
        <v>1.8823634205124</v>
      </c>
      <c r="I11" s="3">
        <v>1.6802328662854999</v>
      </c>
      <c r="J11" s="3">
        <v>1.1123287671233</v>
      </c>
      <c r="K11" s="3">
        <v>1.080130111558</v>
      </c>
      <c r="L11" s="2" t="s">
        <v>373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86.94</v>
      </c>
      <c r="H12" s="3">
        <v>3.6954429024927</v>
      </c>
      <c r="I12" s="3">
        <v>3.3836352223392998</v>
      </c>
      <c r="J12" s="3">
        <v>11.372602739726</v>
      </c>
      <c r="K12" s="3">
        <v>9.5927020783068002</v>
      </c>
      <c r="L12" s="2" t="s">
        <v>373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88.64</v>
      </c>
      <c r="H13" s="3">
        <v>4.2710830221525997</v>
      </c>
      <c r="I13" s="3">
        <v>3.7946836659162</v>
      </c>
      <c r="J13" s="3">
        <v>22.876712328766999</v>
      </c>
      <c r="K13" s="3">
        <v>14.806539621164999</v>
      </c>
      <c r="L13" s="2" t="s">
        <v>373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90.36</v>
      </c>
      <c r="H14" s="3">
        <v>4.0007261498273001</v>
      </c>
      <c r="I14" s="3">
        <v>3.5804547773101998</v>
      </c>
      <c r="J14" s="3">
        <v>14.871232876712</v>
      </c>
      <c r="K14" s="3">
        <v>11.340485347684</v>
      </c>
      <c r="L14" s="2" t="s">
        <v>373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98.197000000000003</v>
      </c>
      <c r="H15" s="3">
        <v>1.9159356236420999</v>
      </c>
      <c r="I15" s="3">
        <v>1.9032260922727999</v>
      </c>
      <c r="J15" s="3">
        <v>0.94520547945206002</v>
      </c>
      <c r="K15" s="3">
        <v>0.92767411962519997</v>
      </c>
      <c r="L15" s="2" t="s">
        <v>373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59.52</v>
      </c>
      <c r="H16" s="3">
        <v>4.1401604133022998</v>
      </c>
      <c r="I16" s="3">
        <v>3.7404969327600002</v>
      </c>
      <c r="J16" s="3">
        <v>46.893150684931001</v>
      </c>
      <c r="K16" s="3">
        <v>23.174582407909998</v>
      </c>
      <c r="L16" s="2" t="s">
        <v>373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94.13</v>
      </c>
      <c r="H17" s="3">
        <v>3.8662613318451</v>
      </c>
      <c r="I17" s="3">
        <v>3.4360650162151001</v>
      </c>
      <c r="J17" s="3">
        <v>12.868493150685</v>
      </c>
      <c r="K17" s="3">
        <v>10.096815800973999</v>
      </c>
      <c r="L17" s="2" t="s">
        <v>373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98.44</v>
      </c>
      <c r="H18" s="3">
        <v>1.9300526943116001</v>
      </c>
      <c r="I18" s="3">
        <v>1.7899091656805</v>
      </c>
      <c r="J18" s="3">
        <v>1.945205479452</v>
      </c>
      <c r="K18" s="3">
        <v>1.8921962034741999</v>
      </c>
      <c r="L18" s="2" t="s">
        <v>373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103.31</v>
      </c>
      <c r="H19" s="3">
        <v>2.5265238073198999</v>
      </c>
      <c r="I19" s="3">
        <v>2.1075538924211998</v>
      </c>
      <c r="J19" s="3">
        <v>4.1972602739726002</v>
      </c>
      <c r="K19" s="3">
        <v>3.8240235013410002</v>
      </c>
      <c r="L19" s="2" t="s">
        <v>373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102.98</v>
      </c>
      <c r="H20" s="3">
        <v>3.4945930790619002</v>
      </c>
      <c r="I20" s="3">
        <v>3.0124513421253001</v>
      </c>
      <c r="J20" s="3">
        <v>9.1999999999999993</v>
      </c>
      <c r="K20" s="3">
        <v>7.5138713157705999</v>
      </c>
      <c r="L20" s="2" t="s">
        <v>373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</v>
      </c>
      <c r="H21" s="3">
        <v>2.8293621999581999</v>
      </c>
      <c r="I21" s="3">
        <v>2.6083857967315001</v>
      </c>
      <c r="J21" s="3">
        <v>5.6164383561643998</v>
      </c>
      <c r="K21" s="3">
        <v>5.1978521155586002</v>
      </c>
      <c r="L21" s="2" t="s">
        <v>373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87.69</v>
      </c>
      <c r="H22" s="3">
        <v>3.0382777141349</v>
      </c>
      <c r="I22" s="3">
        <v>2.9079828231586999</v>
      </c>
      <c r="J22" s="3">
        <v>6.6164383561643998</v>
      </c>
      <c r="K22" s="3">
        <v>6.1974625008341002</v>
      </c>
      <c r="L22" s="2" t="s">
        <v>373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104.8</v>
      </c>
      <c r="H23" s="3">
        <v>2.2855244182688002</v>
      </c>
      <c r="I23" s="3">
        <v>1.8191716816837</v>
      </c>
      <c r="J23" s="3">
        <v>3.2821917808219001</v>
      </c>
      <c r="K23" s="3">
        <v>3.0288954357110001</v>
      </c>
      <c r="L23" s="2" t="s">
        <v>373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112.34</v>
      </c>
      <c r="H24" s="3">
        <v>3.4633744679382001</v>
      </c>
      <c r="I24" s="3">
        <v>2.8691685595563001</v>
      </c>
      <c r="J24" s="3">
        <v>9.2849315068493006</v>
      </c>
      <c r="K24" s="3">
        <v>7.3318089982614998</v>
      </c>
      <c r="L24" s="2" t="s">
        <v>373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103.01</v>
      </c>
      <c r="H25" s="3">
        <v>3.7124513015845002</v>
      </c>
      <c r="I25" s="3">
        <v>3.2133031542218</v>
      </c>
      <c r="J25" s="3">
        <v>11.791780821918</v>
      </c>
      <c r="K25" s="3">
        <v>9.1399661483262005</v>
      </c>
      <c r="L25" s="2" t="s">
        <v>373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111.64</v>
      </c>
      <c r="H26" s="3">
        <v>3.9633825328465</v>
      </c>
      <c r="I26" s="3">
        <v>3.3691705441136999</v>
      </c>
      <c r="J26" s="3">
        <v>14.287671232877001</v>
      </c>
      <c r="K26" s="3">
        <v>10.117137023033999</v>
      </c>
      <c r="L26" s="2" t="s">
        <v>373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99.01</v>
      </c>
      <c r="H27" s="3">
        <v>1.8833177175110001</v>
      </c>
      <c r="I27" s="3">
        <v>1.7247987434550001</v>
      </c>
      <c r="J27" s="3">
        <v>1.613698630137</v>
      </c>
      <c r="K27" s="3">
        <v>1.5655258831395999</v>
      </c>
      <c r="L27" s="2" t="s">
        <v>373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101.88</v>
      </c>
      <c r="H28" s="3">
        <v>2.2651344966182001</v>
      </c>
      <c r="I28" s="3">
        <v>1.9111065848158</v>
      </c>
      <c r="J28" s="3">
        <v>3.6164383561643998</v>
      </c>
      <c r="K28" s="3">
        <v>3.3545011922115999</v>
      </c>
      <c r="L28" s="2" t="s">
        <v>373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98.867000000000004</v>
      </c>
      <c r="H29" s="3">
        <v>1.9344104487850999</v>
      </c>
      <c r="I29" s="3">
        <v>1.8640486262239999</v>
      </c>
      <c r="J29" s="3">
        <v>0.78356164383561999</v>
      </c>
      <c r="K29" s="3">
        <v>0.77031436363896</v>
      </c>
      <c r="L29" s="2" t="s">
        <v>373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</v>
      </c>
      <c r="H30" s="3">
        <v>1.8273805516463</v>
      </c>
      <c r="I30" s="3">
        <v>1.8252541907683999</v>
      </c>
      <c r="J30" s="3">
        <v>1.2794520547945001</v>
      </c>
      <c r="K30" s="3">
        <v>1.261872297891</v>
      </c>
      <c r="L30" s="2" t="s">
        <v>373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102.49</v>
      </c>
      <c r="H31" s="3">
        <v>3.5747637697633001</v>
      </c>
      <c r="I31" s="3">
        <v>3.0929957550384999</v>
      </c>
      <c r="J31" s="3">
        <v>9.7890410958904006</v>
      </c>
      <c r="K31" s="3">
        <v>7.9225799848697998</v>
      </c>
      <c r="L31" s="2" t="s">
        <v>373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111.29</v>
      </c>
      <c r="H32" s="3">
        <v>4.0435767040099</v>
      </c>
      <c r="I32" s="3">
        <v>3.4470825317243001</v>
      </c>
      <c r="J32" s="3">
        <v>15.375342465753</v>
      </c>
      <c r="K32" s="3">
        <v>10.676889204267001</v>
      </c>
      <c r="L32" s="2" t="s">
        <v>373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102.10599999999999</v>
      </c>
      <c r="H33" s="3">
        <v>1.9947508158647</v>
      </c>
      <c r="I33" s="3">
        <v>1.447578060621</v>
      </c>
      <c r="J33" s="3">
        <v>0.86027397260273997</v>
      </c>
      <c r="K33" s="3">
        <v>0.83571959994904998</v>
      </c>
      <c r="L33" s="2" t="s">
        <v>373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86.89</v>
      </c>
      <c r="H34" s="3">
        <v>4.2235968923392999</v>
      </c>
      <c r="I34" s="3">
        <v>3.7710417750268999</v>
      </c>
      <c r="J34" s="3">
        <v>21.378082191781001</v>
      </c>
      <c r="K34" s="3">
        <v>14.401945598467</v>
      </c>
      <c r="L34" s="2" t="s">
        <v>373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100.051</v>
      </c>
      <c r="H35" s="3">
        <v>1.8869699904806001</v>
      </c>
      <c r="I35" s="3">
        <v>1.6407913072861</v>
      </c>
      <c r="J35" s="3">
        <v>0.61369863013699</v>
      </c>
      <c r="K35" s="3">
        <v>0.59760900324372002</v>
      </c>
      <c r="L35" s="2" t="s">
        <v>373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71.28</v>
      </c>
      <c r="H36" s="3">
        <v>4.3234016815123004</v>
      </c>
      <c r="I36" s="3">
        <v>3.8666700689431002</v>
      </c>
      <c r="J36" s="3">
        <v>41.887671232876997</v>
      </c>
      <c r="K36" s="3">
        <v>20.635014616559999</v>
      </c>
      <c r="L36" s="2" t="s">
        <v>373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93.89</v>
      </c>
      <c r="H37" s="3">
        <v>3.3152480057742002</v>
      </c>
      <c r="I37" s="3">
        <v>2.9890802736251998</v>
      </c>
      <c r="J37" s="3">
        <v>8.3698630136986001</v>
      </c>
      <c r="K37" s="3">
        <v>7.3196800873220997</v>
      </c>
      <c r="L37" s="2" t="s">
        <v>373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90.72</v>
      </c>
      <c r="H38" s="3">
        <v>3.8779144839275999</v>
      </c>
      <c r="I38" s="3">
        <v>3.4800033567336</v>
      </c>
      <c r="J38" s="3">
        <v>13.372602739726</v>
      </c>
      <c r="K38" s="3">
        <v>10.554352808116001</v>
      </c>
      <c r="L38" s="2" t="s">
        <v>373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98.68</v>
      </c>
      <c r="H39" s="3">
        <v>3.5380570230070001</v>
      </c>
      <c r="I39" s="3">
        <v>3.1074834740258002</v>
      </c>
      <c r="J39" s="3">
        <v>9.8657534246575</v>
      </c>
      <c r="K39" s="3">
        <v>8.1453961540892994</v>
      </c>
      <c r="L39" s="2" t="s">
        <v>373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94.04</v>
      </c>
      <c r="H40" s="3">
        <v>4.2861285218819001</v>
      </c>
      <c r="I40" s="3">
        <v>3.7748800503452999</v>
      </c>
      <c r="J40" s="3">
        <v>24.380821917807999</v>
      </c>
      <c r="K40" s="3">
        <v>15.012093051219001</v>
      </c>
      <c r="L40" s="2" t="s">
        <v>373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94.13</v>
      </c>
      <c r="H41" s="3">
        <v>2.6390304064931001</v>
      </c>
      <c r="I41" s="3">
        <v>2.4623389052313001</v>
      </c>
      <c r="J41" s="3">
        <v>4.9479452054794999</v>
      </c>
      <c r="K41" s="3">
        <v>4.6707483067014</v>
      </c>
      <c r="L41" s="2" t="s">
        <v>373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72.34</v>
      </c>
      <c r="H42" s="3">
        <v>4.2820773357231001</v>
      </c>
      <c r="I42" s="3">
        <v>3.8971644294463998</v>
      </c>
      <c r="J42" s="3">
        <v>25.380821917807999</v>
      </c>
      <c r="K42" s="3">
        <v>16.913016364112998</v>
      </c>
      <c r="L42" s="2" t="s">
        <v>373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60.71</v>
      </c>
      <c r="H43" s="3">
        <v>4.2111813684378001</v>
      </c>
      <c r="I43" s="3">
        <v>3.9130823309177001</v>
      </c>
      <c r="J43" s="3">
        <v>26.380821917807999</v>
      </c>
      <c r="K43" s="3">
        <v>18.713589114484002</v>
      </c>
      <c r="L43" s="2" t="s">
        <v>373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103.85</v>
      </c>
      <c r="H44" s="3">
        <v>4.1875816555667997</v>
      </c>
      <c r="I44" s="3">
        <v>3.6330861432691002</v>
      </c>
      <c r="J44" s="3">
        <v>18.375342465753</v>
      </c>
      <c r="K44" s="3">
        <v>12.274873046292999</v>
      </c>
      <c r="L44" s="2" t="s">
        <v>373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105.99</v>
      </c>
      <c r="H45" s="3">
        <v>3.4376232166901</v>
      </c>
      <c r="I45" s="3">
        <v>2.9225304636964999</v>
      </c>
      <c r="J45" s="3">
        <v>8.8657534246575</v>
      </c>
      <c r="K45" s="3">
        <v>7.2525935126267003</v>
      </c>
      <c r="L45" s="2" t="s">
        <v>373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89.27</v>
      </c>
      <c r="H46" s="3">
        <v>2.8956918467802</v>
      </c>
      <c r="I46" s="3">
        <v>2.7742567151312998</v>
      </c>
      <c r="J46" s="3">
        <v>5.9479452054794999</v>
      </c>
      <c r="K46" s="3">
        <v>5.6283656669362996</v>
      </c>
      <c r="L46" s="2" t="s">
        <v>373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86.39</v>
      </c>
      <c r="H47" s="3">
        <v>3.1182047458500999</v>
      </c>
      <c r="I47" s="3">
        <v>2.9779259250132002</v>
      </c>
      <c r="J47" s="3">
        <v>7.1178082191780998</v>
      </c>
      <c r="K47" s="3">
        <v>6.6422013430174003</v>
      </c>
      <c r="L47" s="2" t="s">
        <v>373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107.99</v>
      </c>
      <c r="H48" s="3">
        <v>3.2833932481499999</v>
      </c>
      <c r="I48" s="3">
        <v>2.7501903430239998</v>
      </c>
      <c r="J48" s="3">
        <v>8.0328767123288003</v>
      </c>
      <c r="K48" s="3">
        <v>6.5649453884978</v>
      </c>
      <c r="L48" s="2" t="s">
        <v>373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108.04</v>
      </c>
      <c r="H49" s="3">
        <v>1.8848726311366</v>
      </c>
      <c r="I49" s="3">
        <v>1.0212337528613</v>
      </c>
      <c r="J49" s="3">
        <v>1.5315068493151001</v>
      </c>
      <c r="K49" s="3">
        <v>1.4107528642631999</v>
      </c>
      <c r="L49" s="2" t="s">
        <v>373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110.92</v>
      </c>
      <c r="H50" s="3">
        <v>2.0514116821636001</v>
      </c>
      <c r="I50" s="3">
        <v>1.2845894800008999</v>
      </c>
      <c r="J50" s="3">
        <v>2.5315068493150998</v>
      </c>
      <c r="K50" s="3">
        <v>2.2743630817993998</v>
      </c>
      <c r="L50" s="2" t="s">
        <v>373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111.76</v>
      </c>
      <c r="H51" s="3">
        <v>2.4987135232508999</v>
      </c>
      <c r="I51" s="3">
        <v>1.8776619539487001</v>
      </c>
      <c r="J51" s="3">
        <v>4.5342465753425003</v>
      </c>
      <c r="K51" s="3">
        <v>3.9357178007771001</v>
      </c>
      <c r="L51" s="2" t="s">
        <v>373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117.23</v>
      </c>
      <c r="H52" s="3">
        <v>2.884244047997</v>
      </c>
      <c r="I52" s="3">
        <v>2.1931789658902998</v>
      </c>
      <c r="J52" s="3">
        <v>6.0301369863014003</v>
      </c>
      <c r="K52" s="3">
        <v>4.9649744984010997</v>
      </c>
      <c r="L52" s="2" t="s">
        <v>373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91.3</v>
      </c>
      <c r="H53" s="3">
        <v>2.7481709247522002</v>
      </c>
      <c r="I53" s="3">
        <v>2.6164515343900998</v>
      </c>
      <c r="J53" s="3">
        <v>5.2821917808218997</v>
      </c>
      <c r="K53" s="3">
        <v>5.0085352741604998</v>
      </c>
      <c r="L53" s="2" t="s">
        <v>373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107.33</v>
      </c>
      <c r="H54" s="3">
        <v>3.1577819333364001</v>
      </c>
      <c r="I54" s="3">
        <v>2.6515204969614001</v>
      </c>
      <c r="J54" s="3">
        <v>8.5369863013699003</v>
      </c>
      <c r="K54" s="3">
        <v>6.9240947304683997</v>
      </c>
      <c r="L54" s="2" t="s">
        <v>373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3.5893012996391001</v>
      </c>
      <c r="I55" s="3">
        <v>3.1345216466857999</v>
      </c>
      <c r="J55" s="3">
        <v>10.45205479452</v>
      </c>
      <c r="K55" s="3">
        <v>8.5103001203038993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101.79</v>
      </c>
      <c r="H56" s="3">
        <v>2.5851869203423998</v>
      </c>
      <c r="I56" s="3">
        <v>2.2039538251431998</v>
      </c>
      <c r="J56" s="3">
        <v>4.4493150684931999</v>
      </c>
      <c r="K56" s="3">
        <v>4.0892945649443</v>
      </c>
      <c r="L56" s="2" t="s">
        <v>373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106.1</v>
      </c>
      <c r="H57" s="3">
        <v>2.4136866734861999</v>
      </c>
      <c r="I57" s="3">
        <v>1.8877993332712999</v>
      </c>
      <c r="J57" s="3">
        <v>3.7863013698630001</v>
      </c>
      <c r="K57" s="3">
        <v>3.4425971809439999</v>
      </c>
      <c r="L57" s="2" t="s">
        <v>373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100.9</v>
      </c>
      <c r="H58" s="3">
        <v>2.7810790345690002</v>
      </c>
      <c r="I58" s="3">
        <v>2.4096251212655</v>
      </c>
      <c r="J58" s="3">
        <v>5.1972602739726002</v>
      </c>
      <c r="K58" s="3">
        <v>4.7087816962942002</v>
      </c>
      <c r="L58" s="2" t="s">
        <v>373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95.4</v>
      </c>
      <c r="H59" s="3">
        <v>3.2075223002331001</v>
      </c>
      <c r="I59" s="3">
        <v>2.8585544289173002</v>
      </c>
      <c r="J59" s="3">
        <v>7.6191780821917998</v>
      </c>
      <c r="K59" s="3">
        <v>6.6827170729145999</v>
      </c>
      <c r="L59" s="2" t="s">
        <v>373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100.18</v>
      </c>
      <c r="H60" s="3">
        <v>1.9776423044795</v>
      </c>
      <c r="I60" s="3">
        <v>1.7097465652702999</v>
      </c>
      <c r="J60" s="3">
        <v>2.2794520547945001</v>
      </c>
      <c r="K60" s="3">
        <v>2.1888013967844002</v>
      </c>
      <c r="L60" s="2" t="s">
        <v>373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101.41</v>
      </c>
      <c r="H61" s="3">
        <v>2.1021997190516002</v>
      </c>
      <c r="I61" s="3">
        <v>1.762665432121</v>
      </c>
      <c r="J61" s="3">
        <v>2.6136986301370002</v>
      </c>
      <c r="K61" s="3">
        <v>2.4663769883089</v>
      </c>
      <c r="L61" s="2" t="s">
        <v>373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79.010000000000005</v>
      </c>
      <c r="H62" s="3">
        <v>4.2135983564087001</v>
      </c>
      <c r="I62" s="3">
        <v>3.8141202055691998</v>
      </c>
      <c r="J62" s="3">
        <v>21.87397260274</v>
      </c>
      <c r="K62" s="3">
        <v>15.169315284504</v>
      </c>
      <c r="L62" s="2" t="s">
        <v>373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2.7038614464444</v>
      </c>
      <c r="I63" s="3">
        <v>2.3661357473483999</v>
      </c>
      <c r="J63" s="3">
        <v>5.4493150684931999</v>
      </c>
      <c r="K63" s="3">
        <v>4.9861753540766003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73.58</v>
      </c>
      <c r="H64" s="3">
        <v>3.7574945635580002</v>
      </c>
      <c r="I64" s="3">
        <v>3.6106781787078002</v>
      </c>
      <c r="J64" s="3">
        <v>11.868493150685</v>
      </c>
      <c r="K64" s="3">
        <v>10.698420027319999</v>
      </c>
      <c r="L64" s="2" t="s">
        <v>373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66.25</v>
      </c>
      <c r="H65" s="3">
        <v>4.2888785333129</v>
      </c>
      <c r="I65" s="3">
        <v>3.9325378154482999</v>
      </c>
      <c r="J65" s="3">
        <v>27.383561643836</v>
      </c>
      <c r="K65" s="3">
        <v>18.164022674773001</v>
      </c>
      <c r="L65" s="2" t="s">
        <v>373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</v>
      </c>
      <c r="H66" s="3">
        <v>2.0017774085774001</v>
      </c>
      <c r="I66" s="3">
        <v>1.6272577755323001</v>
      </c>
      <c r="J66" s="3">
        <v>1.8219178082192</v>
      </c>
      <c r="K66" s="3">
        <v>1.7442722600034</v>
      </c>
      <c r="L66" s="2" t="s">
        <v>373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100.36</v>
      </c>
      <c r="H67" s="3">
        <v>3.6384502678262001</v>
      </c>
      <c r="I67" s="3">
        <v>3.1714856154719002</v>
      </c>
      <c r="J67" s="3">
        <v>10.284931506849</v>
      </c>
      <c r="K67" s="3">
        <v>8.3022669523894006</v>
      </c>
      <c r="L67" s="2" t="s">
        <v>373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100.27</v>
      </c>
      <c r="H68" s="3">
        <v>1.8885228148868001</v>
      </c>
      <c r="I68" s="3">
        <v>1.6240780151691001</v>
      </c>
      <c r="J68" s="3">
        <v>1.2328767123288</v>
      </c>
      <c r="K68" s="3">
        <v>1.1948496610879999</v>
      </c>
      <c r="L68" s="2" t="s">
        <v>373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102.63</v>
      </c>
      <c r="H69" s="3">
        <v>3.0056735749893</v>
      </c>
      <c r="I69" s="3">
        <v>2.5751445374352002</v>
      </c>
      <c r="J69" s="3">
        <v>6.2356164383561996</v>
      </c>
      <c r="K69" s="3">
        <v>5.4601626015912998</v>
      </c>
      <c r="L69" s="2" t="s">
        <v>373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74.099999999999994</v>
      </c>
      <c r="H70" s="3">
        <v>4.0626342470262999</v>
      </c>
      <c r="I70" s="3">
        <v>3.7889904958699998</v>
      </c>
      <c r="J70" s="3">
        <v>15.871232876712</v>
      </c>
      <c r="K70" s="3">
        <v>12.896155471257</v>
      </c>
      <c r="L70" s="2" t="s">
        <v>373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105.97</v>
      </c>
      <c r="H71" s="3">
        <v>2.8494949516362</v>
      </c>
      <c r="I71" s="3">
        <v>2.3603298492899998</v>
      </c>
      <c r="J71" s="3">
        <v>5.5726027397260003</v>
      </c>
      <c r="K71" s="3">
        <v>4.8499119254565004</v>
      </c>
      <c r="L71" s="2" t="s">
        <v>373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98.29</v>
      </c>
      <c r="H72" s="3">
        <v>1.8622053825325</v>
      </c>
      <c r="I72" s="3">
        <v>1.7477729610303001</v>
      </c>
      <c r="J72" s="3">
        <v>1.7369863013699001</v>
      </c>
      <c r="K72" s="3">
        <v>1.6926235765113</v>
      </c>
      <c r="L72" s="2" t="s">
        <v>373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93.12</v>
      </c>
      <c r="H73" s="3">
        <v>2.3541880348477999</v>
      </c>
      <c r="I73" s="3">
        <v>2.2784609947943002</v>
      </c>
      <c r="J73" s="3">
        <v>3.8246575342466</v>
      </c>
      <c r="K73" s="3">
        <v>3.704612124229</v>
      </c>
      <c r="L73" s="2" t="s">
        <v>373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</v>
      </c>
      <c r="H74" s="3">
        <v>2.5985001359928002</v>
      </c>
      <c r="I74" s="3">
        <v>2.1274765223875001</v>
      </c>
      <c r="J74" s="3">
        <v>4.6547945205480001</v>
      </c>
      <c r="K74" s="3">
        <v>4.1605848256386002</v>
      </c>
      <c r="L74" s="2" t="s">
        <v>373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101.45</v>
      </c>
      <c r="H75" s="3">
        <v>2.1075490948305999</v>
      </c>
      <c r="I75" s="3">
        <v>1.7683062262966001</v>
      </c>
      <c r="J75" s="3">
        <v>2.4849315068492999</v>
      </c>
      <c r="K75" s="3">
        <v>2.3697933621658001</v>
      </c>
      <c r="L75" s="2" t="s">
        <v>373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103.21</v>
      </c>
      <c r="H76" s="3">
        <v>2.9125349077578999</v>
      </c>
      <c r="I76" s="3">
        <v>2.4760216508825001</v>
      </c>
      <c r="J76" s="3">
        <v>5.8246575342466</v>
      </c>
      <c r="K76" s="3">
        <v>5.1529645403093998</v>
      </c>
      <c r="L76" s="2" t="s">
        <v>373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101.711</v>
      </c>
      <c r="H77" s="3">
        <v>2.0160143009989002</v>
      </c>
      <c r="I77" s="3">
        <v>1.5495366764133001</v>
      </c>
      <c r="J77" s="3">
        <v>0.98356164383561995</v>
      </c>
      <c r="K77" s="3">
        <v>0.95534779855427998</v>
      </c>
      <c r="L77" s="2" t="s">
        <v>373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101.36</v>
      </c>
      <c r="H78" s="3">
        <v>2.4665790949087998</v>
      </c>
      <c r="I78" s="3">
        <v>2.1156606434526002</v>
      </c>
      <c r="J78" s="3">
        <v>4.1534246575343001</v>
      </c>
      <c r="K78" s="3">
        <v>3.8205520839976002</v>
      </c>
      <c r="L78" s="2" t="s">
        <v>373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97.87</v>
      </c>
      <c r="H79" s="3">
        <v>1.8677262893877</v>
      </c>
      <c r="I79" s="3">
        <v>1.7465248820348001</v>
      </c>
      <c r="J79" s="3">
        <v>2.4027397260273999</v>
      </c>
      <c r="K79" s="3">
        <v>2.3352548099939998</v>
      </c>
      <c r="L79" s="2" t="s">
        <v>373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101.22</v>
      </c>
      <c r="H80" s="3">
        <v>2.2579888934564001</v>
      </c>
      <c r="I80" s="3">
        <v>1.9142298129961</v>
      </c>
      <c r="J80" s="3">
        <v>3.1534246575342002</v>
      </c>
      <c r="K80" s="3">
        <v>2.9717969604081</v>
      </c>
      <c r="L80" s="2" t="s">
        <v>373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104.6</v>
      </c>
      <c r="H81" s="3">
        <v>2.7505713367578002</v>
      </c>
      <c r="I81" s="3">
        <v>2.2680652526054002</v>
      </c>
      <c r="J81" s="3">
        <v>5.1534246575343001</v>
      </c>
      <c r="K81" s="3">
        <v>4.5725680643875997</v>
      </c>
      <c r="L81" s="2" t="s">
        <v>373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94.77</v>
      </c>
      <c r="H82" s="3">
        <v>2.1908781024083002</v>
      </c>
      <c r="I82" s="3">
        <v>2.1046984217225999</v>
      </c>
      <c r="J82" s="3">
        <v>3.2356164383562001</v>
      </c>
      <c r="K82" s="3">
        <v>3.1450796331116999</v>
      </c>
      <c r="L82" s="2" t="s">
        <v>373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103.05</v>
      </c>
      <c r="H83" s="3">
        <v>2.0580163871376</v>
      </c>
      <c r="I83" s="3">
        <v>1.6308197057233</v>
      </c>
      <c r="J83" s="3">
        <v>2.2328767123288</v>
      </c>
      <c r="K83" s="3">
        <v>2.1078960410548002</v>
      </c>
      <c r="L83" s="2" t="s">
        <v>373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102.55</v>
      </c>
      <c r="H84" s="3">
        <v>1.9973041320166001</v>
      </c>
      <c r="I84" s="3">
        <v>1.5216502346587999</v>
      </c>
      <c r="J84" s="3">
        <v>1.4027397260273999</v>
      </c>
      <c r="K84" s="3">
        <v>1.3480522967191999</v>
      </c>
      <c r="L84" s="2" t="s">
        <v>373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100.312</v>
      </c>
      <c r="H85" s="3">
        <v>1.8866883024884</v>
      </c>
      <c r="I85" s="3">
        <v>1.5809489124058</v>
      </c>
      <c r="J85" s="3">
        <v>0.56986301369863002</v>
      </c>
      <c r="K85" s="3">
        <v>0.55863738502547</v>
      </c>
      <c r="L85" s="2" t="s">
        <v>373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98.24</v>
      </c>
      <c r="H86" s="3">
        <v>4.4523220962385004</v>
      </c>
      <c r="I86" s="3">
        <v>3.8968967467181002</v>
      </c>
      <c r="J86" s="3">
        <v>29.465753424656999</v>
      </c>
      <c r="K86" s="3">
        <v>16.109177638409999</v>
      </c>
      <c r="L86" s="2" t="s">
        <v>373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101.03100000000001</v>
      </c>
      <c r="H87" s="3">
        <v>2.0464667130645999</v>
      </c>
      <c r="I87" s="3">
        <v>1.6153450209711999</v>
      </c>
      <c r="J87" s="3">
        <v>0.73698630136985999</v>
      </c>
      <c r="K87" s="3">
        <v>0.71394289933332</v>
      </c>
      <c r="L87" s="2" t="s">
        <v>373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94.75</v>
      </c>
      <c r="H88" s="3">
        <v>2.1365253503661998</v>
      </c>
      <c r="I88" s="3">
        <v>2.0978225377076001</v>
      </c>
      <c r="J88" s="3">
        <v>2.9013698630136999</v>
      </c>
      <c r="K88" s="3">
        <v>2.8312103894380001</v>
      </c>
      <c r="L88" s="2" t="s">
        <v>373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80.5</v>
      </c>
      <c r="H89" s="3">
        <v>3.6682860663149999</v>
      </c>
      <c r="I89" s="3">
        <v>3.45745956765</v>
      </c>
      <c r="J89" s="3">
        <v>10.868493150685</v>
      </c>
      <c r="K89" s="3">
        <v>9.6084274189793</v>
      </c>
      <c r="L89" s="2" t="s">
        <v>373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97.59</v>
      </c>
      <c r="H90" s="3">
        <v>4.0992650391824998</v>
      </c>
      <c r="I90" s="3">
        <v>3.598079344526</v>
      </c>
      <c r="J90" s="3">
        <v>15.457534246574999</v>
      </c>
      <c r="K90" s="3">
        <v>11.254760485067001</v>
      </c>
      <c r="L90" s="2" t="s">
        <v>373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99.707999999999998</v>
      </c>
      <c r="H91" s="3">
        <v>2.1011838980541002</v>
      </c>
      <c r="I91" s="3">
        <v>1.9394937524806</v>
      </c>
      <c r="J91" s="3">
        <v>0.31780821917808</v>
      </c>
      <c r="K91" s="3">
        <v>0.31131121392934002</v>
      </c>
      <c r="L91" s="2" t="s">
        <v>373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9.9178082191781005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107.97</v>
      </c>
      <c r="H93" s="3">
        <v>2.2820424644916</v>
      </c>
      <c r="I93" s="3">
        <v>1.7103530133689</v>
      </c>
      <c r="J93" s="3">
        <v>3.3671232876712001</v>
      </c>
      <c r="K93" s="3">
        <v>3.0730227399011998</v>
      </c>
      <c r="L93" s="2" t="s">
        <v>373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102.06</v>
      </c>
      <c r="H94" s="3">
        <v>4.4169736181230004</v>
      </c>
      <c r="I94" s="3">
        <v>3.850662214358</v>
      </c>
      <c r="J94" s="3">
        <v>28.465753424656999</v>
      </c>
      <c r="K94" s="3">
        <v>15.722090497730999</v>
      </c>
      <c r="L94" s="2" t="s">
        <v>373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100.44</v>
      </c>
      <c r="H95" s="3">
        <v>3.1999116758446999</v>
      </c>
      <c r="I95" s="3">
        <v>2.7895317204997001</v>
      </c>
      <c r="J95" s="3">
        <v>7.2383561643835996</v>
      </c>
      <c r="K95" s="3">
        <v>6.3098321384571001</v>
      </c>
      <c r="L95" s="2" t="s">
        <v>370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100.854</v>
      </c>
      <c r="H96" s="3">
        <v>2.0471245223761998</v>
      </c>
      <c r="I96" s="3">
        <v>1.6343973292934999</v>
      </c>
      <c r="J96" s="3">
        <v>0.77260273972603</v>
      </c>
      <c r="K96" s="3">
        <v>0.74955432607209005</v>
      </c>
      <c r="L96" s="2" t="s">
        <v>373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100.63</v>
      </c>
      <c r="H97" s="3">
        <v>2.0951301152599999</v>
      </c>
      <c r="I97" s="3">
        <v>1.6525504265605999</v>
      </c>
      <c r="J97" s="3">
        <v>0.44109589041095998</v>
      </c>
      <c r="K97" s="3">
        <v>0.43212187167875998</v>
      </c>
      <c r="L97" s="2" t="s">
        <v>373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99.938000000000002</v>
      </c>
      <c r="H98" s="3">
        <v>2.1434485561293002</v>
      </c>
      <c r="I98" s="3">
        <v>1.9086812257020001</v>
      </c>
      <c r="J98" s="3">
        <v>0.19452054794521001</v>
      </c>
      <c r="K98" s="3">
        <v>0.19045631679684</v>
      </c>
      <c r="L98" s="2" t="s">
        <v>373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101.51</v>
      </c>
      <c r="H99" s="3">
        <v>1.9790250599646999</v>
      </c>
      <c r="I99" s="3">
        <v>1.5916409002712999</v>
      </c>
      <c r="J99" s="3">
        <v>1.3534246575341999</v>
      </c>
      <c r="K99" s="3">
        <v>1.3051667129305</v>
      </c>
      <c r="L99" s="2" t="s">
        <v>373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100.5</v>
      </c>
      <c r="H100" s="3">
        <v>3.0831305753380001</v>
      </c>
      <c r="I100" s="3">
        <v>2.6856254774280002</v>
      </c>
      <c r="J100" s="3">
        <v>6.5726027397260003</v>
      </c>
      <c r="K100" s="3">
        <v>5.7383180211155</v>
      </c>
      <c r="L100" s="2" t="s">
        <v>373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</v>
      </c>
      <c r="H101" s="3">
        <v>2.0040924958124999</v>
      </c>
      <c r="I101" s="3">
        <v>1.6794999952892</v>
      </c>
      <c r="J101" s="3">
        <v>1.8493150684932</v>
      </c>
      <c r="K101" s="3">
        <v>1.7763908768537999</v>
      </c>
      <c r="L101" s="2" t="s">
        <v>373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103.49</v>
      </c>
      <c r="H102" s="3">
        <v>2.176032587406</v>
      </c>
      <c r="I102" s="3">
        <v>1.7433648446178001</v>
      </c>
      <c r="J102" s="3">
        <v>2.9479452054794999</v>
      </c>
      <c r="K102" s="3">
        <v>2.7724281659513998</v>
      </c>
      <c r="L102" s="2" t="s">
        <v>373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103.76</v>
      </c>
      <c r="H103" s="3">
        <v>2.8992203685165001</v>
      </c>
      <c r="I103" s="3">
        <v>2.4390742912804</v>
      </c>
      <c r="J103" s="3">
        <v>4.8739726027397001</v>
      </c>
      <c r="K103" s="3">
        <v>4.3666035133521</v>
      </c>
      <c r="L103" s="2" t="s">
        <v>373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103.76</v>
      </c>
      <c r="H104" s="3">
        <v>3.0327453423235</v>
      </c>
      <c r="I104" s="3">
        <v>2.5604436553566998</v>
      </c>
      <c r="J104" s="3">
        <v>4.8739726027397001</v>
      </c>
      <c r="K104" s="3">
        <v>4.3617506839048001</v>
      </c>
      <c r="L104" s="2" t="s">
        <v>373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</v>
      </c>
      <c r="H105" s="3">
        <v>2.5950367704085999</v>
      </c>
      <c r="I105" s="3">
        <v>2.0633157926430998</v>
      </c>
      <c r="J105" s="3">
        <v>3.4739726027397002</v>
      </c>
      <c r="K105" s="3">
        <v>3.1719341418856999</v>
      </c>
      <c r="L105" s="2" t="s">
        <v>373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</v>
      </c>
      <c r="H106" s="3">
        <v>2.7309506128750001</v>
      </c>
      <c r="I106" s="3">
        <v>2.1884823791435002</v>
      </c>
      <c r="J106" s="3">
        <v>3.4739726027397002</v>
      </c>
      <c r="K106" s="3">
        <v>3.1680871662959</v>
      </c>
      <c r="L106" s="2" t="s">
        <v>373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103.58</v>
      </c>
      <c r="H107" s="3">
        <v>2.2387737104943999</v>
      </c>
      <c r="I107" s="3">
        <v>1.7523582980187</v>
      </c>
      <c r="J107" s="3">
        <v>2.1452054794520001</v>
      </c>
      <c r="K107" s="3">
        <v>2.0159362531198002</v>
      </c>
      <c r="L107" s="2" t="s">
        <v>373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103.58</v>
      </c>
      <c r="H108" s="3">
        <v>2.4643001553313999</v>
      </c>
      <c r="I108" s="3">
        <v>1.9637220380167999</v>
      </c>
      <c r="J108" s="3">
        <v>2.1452054794520001</v>
      </c>
      <c r="K108" s="3">
        <v>2.0116266350594998</v>
      </c>
      <c r="L108" s="2" t="s">
        <v>373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103.35</v>
      </c>
      <c r="H109" s="3">
        <v>2.9829711995318999</v>
      </c>
      <c r="I109" s="3">
        <v>2.5252821534827001</v>
      </c>
      <c r="J109" s="3">
        <v>5.0657534246575002</v>
      </c>
      <c r="K109" s="3">
        <v>4.5086965321937003</v>
      </c>
      <c r="L109" s="2" t="s">
        <v>373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103.35</v>
      </c>
      <c r="H110" s="3">
        <v>3.1295786139085999</v>
      </c>
      <c r="I110" s="3">
        <v>2.6579514904420001</v>
      </c>
      <c r="J110" s="3">
        <v>5.0657534246575002</v>
      </c>
      <c r="K110" s="3">
        <v>4.5032641634074997</v>
      </c>
      <c r="L110" s="2" t="s">
        <v>373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</v>
      </c>
      <c r="H111" s="3">
        <v>4.8226157785316</v>
      </c>
      <c r="I111" s="3">
        <v>4.4923301129100004</v>
      </c>
      <c r="J111" s="3">
        <v>31.087671232877</v>
      </c>
      <c r="K111" s="3">
        <v>5.7105055017264998</v>
      </c>
      <c r="L111" s="2" t="s">
        <v>371</v>
      </c>
      <c r="M111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7CA8-C942-F04A-AD32-192F6F015B63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117.32</v>
      </c>
      <c r="H2" s="3">
        <v>3.2362650473610999</v>
      </c>
      <c r="I2" s="3">
        <v>2.5734065476887</v>
      </c>
      <c r="J2" s="3">
        <v>7.7808219178081997</v>
      </c>
      <c r="K2" s="3">
        <v>6.2370600213297998</v>
      </c>
      <c r="L2" s="2" t="s">
        <v>370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100.63</v>
      </c>
      <c r="H3" s="3">
        <v>1.9019626867220001</v>
      </c>
      <c r="I3" s="3">
        <v>1.610970003899</v>
      </c>
      <c r="J3" s="3">
        <v>2.1041095890411001</v>
      </c>
      <c r="K3" s="3">
        <v>2.0123202614515998</v>
      </c>
      <c r="L3" s="2" t="s">
        <v>370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99.88</v>
      </c>
      <c r="H4" s="3">
        <v>2.0532834022655999</v>
      </c>
      <c r="I4" s="3">
        <v>1.7961672722747</v>
      </c>
      <c r="J4" s="3">
        <v>2.7753424657534</v>
      </c>
      <c r="K4" s="3">
        <v>2.6476255766049999</v>
      </c>
      <c r="L4" s="2" t="s">
        <v>370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102.28</v>
      </c>
      <c r="H5" s="3">
        <v>2.4488684237599001</v>
      </c>
      <c r="I5" s="3">
        <v>2.0747714346885</v>
      </c>
      <c r="J5" s="3">
        <v>4.2739726027396996</v>
      </c>
      <c r="K5" s="3">
        <v>3.9246908353381</v>
      </c>
      <c r="L5" s="2" t="s">
        <v>370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102.22</v>
      </c>
      <c r="H6" s="3">
        <v>3.9815474947192002</v>
      </c>
      <c r="I6" s="3">
        <v>3.4589616680841999</v>
      </c>
      <c r="J6" s="3">
        <v>14.446575342466</v>
      </c>
      <c r="K6" s="3">
        <v>10.608119495274</v>
      </c>
      <c r="L6" s="2" t="s">
        <v>370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86.71</v>
      </c>
      <c r="H7" s="3">
        <v>2.9560629435201</v>
      </c>
      <c r="I7" s="3">
        <v>2.8734517596456999</v>
      </c>
      <c r="J7" s="3">
        <v>6.2739726027396996</v>
      </c>
      <c r="K7" s="3">
        <v>5.9707404591794004</v>
      </c>
      <c r="L7" s="2" t="s">
        <v>370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108.37</v>
      </c>
      <c r="H8" s="3">
        <v>4.1566651878726999</v>
      </c>
      <c r="I8" s="3">
        <v>3.5796776953451999</v>
      </c>
      <c r="J8" s="3">
        <v>19.369863013699</v>
      </c>
      <c r="K8" s="3">
        <v>12.555168902265001</v>
      </c>
      <c r="L8" s="2" t="s">
        <v>370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104.33</v>
      </c>
      <c r="H9" s="3">
        <v>2.5605902796015001</v>
      </c>
      <c r="I9" s="3">
        <v>2.1260538744414998</v>
      </c>
      <c r="J9" s="3">
        <v>4.8547945205478999</v>
      </c>
      <c r="K9" s="3">
        <v>4.3827978336852</v>
      </c>
      <c r="L9" s="2" t="s">
        <v>370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91.5</v>
      </c>
      <c r="H10" s="3">
        <v>3.0537464375229</v>
      </c>
      <c r="I10" s="3">
        <v>2.831587420075</v>
      </c>
      <c r="J10" s="3">
        <v>6.8575342465753</v>
      </c>
      <c r="K10" s="3">
        <v>6.2839971607254004</v>
      </c>
      <c r="L10" s="2" t="s">
        <v>370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99.75</v>
      </c>
      <c r="H11" s="3">
        <v>1.8379344954701</v>
      </c>
      <c r="I11" s="3">
        <v>1.6359182485354</v>
      </c>
      <c r="J11" s="3">
        <v>1.1041095890410999</v>
      </c>
      <c r="K11" s="3">
        <v>1.0725346675337</v>
      </c>
      <c r="L11" s="2" t="s">
        <v>370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87.18</v>
      </c>
      <c r="H12" s="3">
        <v>3.6677161684345001</v>
      </c>
      <c r="I12" s="3">
        <v>3.3564310388976</v>
      </c>
      <c r="J12" s="3">
        <v>11.364383561644001</v>
      </c>
      <c r="K12" s="3">
        <v>9.5896645087106993</v>
      </c>
      <c r="L12" s="2" t="s">
        <v>370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89.2</v>
      </c>
      <c r="H13" s="3">
        <v>4.2290030644268004</v>
      </c>
      <c r="I13" s="3">
        <v>3.7546322367440998</v>
      </c>
      <c r="J13" s="3">
        <v>22.868493150685001</v>
      </c>
      <c r="K13" s="3">
        <v>14.830137146485001</v>
      </c>
      <c r="L13" s="2" t="s">
        <v>370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90.6</v>
      </c>
      <c r="H14" s="3">
        <v>3.9778336905853999</v>
      </c>
      <c r="I14" s="3">
        <v>3.5582745374561999</v>
      </c>
      <c r="J14" s="3">
        <v>14.863013698630001</v>
      </c>
      <c r="K14" s="3">
        <v>11.33977560406</v>
      </c>
      <c r="L14" s="2" t="s">
        <v>370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98.221000000000004</v>
      </c>
      <c r="H15" s="3">
        <v>1.9065490872088</v>
      </c>
      <c r="I15" s="3">
        <v>1.893836071385</v>
      </c>
      <c r="J15" s="3">
        <v>0.93698630136986005</v>
      </c>
      <c r="K15" s="3">
        <v>0.91969016938456005</v>
      </c>
      <c r="L15" s="2" t="s">
        <v>370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59.97</v>
      </c>
      <c r="H16" s="3">
        <v>4.1080574329527</v>
      </c>
      <c r="I16" s="3">
        <v>3.7108655828743</v>
      </c>
      <c r="J16" s="3">
        <v>46.884931506849</v>
      </c>
      <c r="K16" s="3">
        <v>23.259324674498998</v>
      </c>
      <c r="L16" s="2" t="s">
        <v>370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94.4</v>
      </c>
      <c r="H17" s="3">
        <v>3.8383378786376001</v>
      </c>
      <c r="I17" s="3">
        <v>3.4089210076355001</v>
      </c>
      <c r="J17" s="3">
        <v>12.860273972603</v>
      </c>
      <c r="K17" s="3">
        <v>10.095591636039</v>
      </c>
      <c r="L17" s="2" t="s">
        <v>370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98.49</v>
      </c>
      <c r="H18" s="3">
        <v>1.9066024690759</v>
      </c>
      <c r="I18" s="3">
        <v>1.7665273887827999</v>
      </c>
      <c r="J18" s="3">
        <v>1.9369863013699</v>
      </c>
      <c r="K18" s="3">
        <v>1.8845705114722999</v>
      </c>
      <c r="L18" s="2" t="s">
        <v>370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103.42</v>
      </c>
      <c r="H19" s="3">
        <v>2.4973227897440999</v>
      </c>
      <c r="I19" s="3">
        <v>2.0786736464900999</v>
      </c>
      <c r="J19" s="3">
        <v>4.1890410958904001</v>
      </c>
      <c r="K19" s="3">
        <v>3.8172942906806999</v>
      </c>
      <c r="L19" s="2" t="s">
        <v>370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103.26</v>
      </c>
      <c r="H20" s="3">
        <v>3.4585266115298001</v>
      </c>
      <c r="I20" s="3">
        <v>2.9772211690817998</v>
      </c>
      <c r="J20" s="3">
        <v>9.1917808219177992</v>
      </c>
      <c r="K20" s="3">
        <v>7.5109041914554</v>
      </c>
      <c r="L20" s="2" t="s">
        <v>370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94.15</v>
      </c>
      <c r="H21" s="3">
        <v>2.8005057591322999</v>
      </c>
      <c r="I21" s="3">
        <v>2.5797444435978001</v>
      </c>
      <c r="J21" s="3">
        <v>5.6082191780821997</v>
      </c>
      <c r="K21" s="3">
        <v>5.1915863601165997</v>
      </c>
      <c r="L21" s="2" t="s">
        <v>370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87.9</v>
      </c>
      <c r="H22" s="3">
        <v>3.0023425096969998</v>
      </c>
      <c r="I22" s="3">
        <v>2.8722417799900999</v>
      </c>
      <c r="J22" s="3">
        <v>6.6082191780821997</v>
      </c>
      <c r="K22" s="3">
        <v>6.1919842818862998</v>
      </c>
      <c r="L22" s="2" t="s">
        <v>370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104.91</v>
      </c>
      <c r="H23" s="3">
        <v>2.2473689803968999</v>
      </c>
      <c r="I23" s="3">
        <v>1.7814040204746</v>
      </c>
      <c r="J23" s="3">
        <v>3.2739726027397</v>
      </c>
      <c r="K23" s="3">
        <v>3.0221211169236999</v>
      </c>
      <c r="L23" s="2" t="s">
        <v>370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112.57</v>
      </c>
      <c r="H24" s="3">
        <v>3.4345687241837002</v>
      </c>
      <c r="I24" s="3">
        <v>2.8411035825576998</v>
      </c>
      <c r="J24" s="3">
        <v>9.2767123287671005</v>
      </c>
      <c r="K24" s="3">
        <v>7.3280198491792001</v>
      </c>
      <c r="L24" s="2" t="s">
        <v>370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103.29</v>
      </c>
      <c r="H25" s="3">
        <v>3.6827824195577001</v>
      </c>
      <c r="I25" s="3">
        <v>3.1845055731140999</v>
      </c>
      <c r="J25" s="3">
        <v>11.783561643836</v>
      </c>
      <c r="K25" s="3">
        <v>9.1383554139694994</v>
      </c>
      <c r="L25" s="2" t="s">
        <v>370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</v>
      </c>
      <c r="H26" s="3">
        <v>3.9313954340341</v>
      </c>
      <c r="I26" s="3">
        <v>3.3384314460489999</v>
      </c>
      <c r="J26" s="3">
        <v>14.279452054795</v>
      </c>
      <c r="K26" s="3">
        <v>10.119207783107999</v>
      </c>
      <c r="L26" s="2" t="s">
        <v>370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99.09</v>
      </c>
      <c r="H27" s="3">
        <v>1.8349219385204001</v>
      </c>
      <c r="I27" s="3">
        <v>1.6765302012582</v>
      </c>
      <c r="J27" s="3">
        <v>1.6054794520547999</v>
      </c>
      <c r="K27" s="3">
        <v>1.5582088211542</v>
      </c>
      <c r="L27" s="2" t="s">
        <v>370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101.95</v>
      </c>
      <c r="H28" s="3">
        <v>2.2436398366504999</v>
      </c>
      <c r="I28" s="3">
        <v>1.8897795937023001</v>
      </c>
      <c r="J28" s="3">
        <v>3.6082191780822002</v>
      </c>
      <c r="K28" s="3">
        <v>3.3472567544218998</v>
      </c>
      <c r="L28" s="2" t="s">
        <v>370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98.915999999999997</v>
      </c>
      <c r="H29" s="3">
        <v>1.8856943927647001</v>
      </c>
      <c r="I29" s="3">
        <v>1.815364530274</v>
      </c>
      <c r="J29" s="3">
        <v>0.77534246575343002</v>
      </c>
      <c r="K29" s="3">
        <v>0.76260795045843</v>
      </c>
      <c r="L29" s="2" t="s">
        <v>370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97.71</v>
      </c>
      <c r="H30" s="3">
        <v>1.8310886188933999</v>
      </c>
      <c r="I30" s="3">
        <v>1.8289641188429</v>
      </c>
      <c r="J30" s="3">
        <v>1.2712328767123</v>
      </c>
      <c r="K30" s="3">
        <v>1.2537549643068999</v>
      </c>
      <c r="L30" s="2" t="s">
        <v>370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102.72</v>
      </c>
      <c r="H31" s="3">
        <v>3.5464341607347998</v>
      </c>
      <c r="I31" s="3">
        <v>3.0653619869687998</v>
      </c>
      <c r="J31" s="3">
        <v>9.7808219178082005</v>
      </c>
      <c r="K31" s="3">
        <v>7.9189424011262002</v>
      </c>
      <c r="L31" s="2" t="s">
        <v>370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111.62</v>
      </c>
      <c r="H32" s="3">
        <v>4.0156612811750003</v>
      </c>
      <c r="I32" s="3">
        <v>3.4202828715683999</v>
      </c>
      <c r="J32" s="3">
        <v>15.367123287670999</v>
      </c>
      <c r="K32" s="3">
        <v>10.678899411172001</v>
      </c>
      <c r="L32" s="2" t="s">
        <v>370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102.107</v>
      </c>
      <c r="H33" s="3">
        <v>1.970566226748</v>
      </c>
      <c r="I33" s="3">
        <v>1.4235636595126</v>
      </c>
      <c r="J33" s="3">
        <v>0.85205479452055</v>
      </c>
      <c r="K33" s="3">
        <v>0.82785305514358998</v>
      </c>
      <c r="L33" s="2" t="s">
        <v>370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87.26</v>
      </c>
      <c r="H34" s="3">
        <v>4.1945116716745998</v>
      </c>
      <c r="I34" s="3">
        <v>3.7432522489503</v>
      </c>
      <c r="J34" s="3">
        <v>21.369863013699</v>
      </c>
      <c r="K34" s="3">
        <v>14.413058534973</v>
      </c>
      <c r="L34" s="2" t="s">
        <v>370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100.05500000000001</v>
      </c>
      <c r="H35" s="3">
        <v>1.879050737579</v>
      </c>
      <c r="I35" s="3">
        <v>1.6329048281222001</v>
      </c>
      <c r="J35" s="3">
        <v>0.60547945205479003</v>
      </c>
      <c r="K35" s="3">
        <v>0.58958482009534996</v>
      </c>
      <c r="L35" s="2" t="s">
        <v>370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71.69</v>
      </c>
      <c r="H36" s="3">
        <v>4.2959389648351998</v>
      </c>
      <c r="I36" s="3">
        <v>3.8412941878405999</v>
      </c>
      <c r="J36" s="3">
        <v>41.879452054794001</v>
      </c>
      <c r="K36" s="3">
        <v>20.689459473648999</v>
      </c>
      <c r="L36" s="2" t="s">
        <v>370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94.07</v>
      </c>
      <c r="H37" s="3">
        <v>3.2899256739498002</v>
      </c>
      <c r="I37" s="3">
        <v>2.9641324735899999</v>
      </c>
      <c r="J37" s="3">
        <v>8.3616438356164</v>
      </c>
      <c r="K37" s="3">
        <v>7.3144398655537</v>
      </c>
      <c r="L37" s="2" t="s">
        <v>370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90.91</v>
      </c>
      <c r="H38" s="3">
        <v>3.8586384052731999</v>
      </c>
      <c r="I38" s="3">
        <v>3.4612546203862999</v>
      </c>
      <c r="J38" s="3">
        <v>13.364383561644001</v>
      </c>
      <c r="K38" s="3">
        <v>10.551318411932</v>
      </c>
      <c r="L38" s="2" t="s">
        <v>370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98.9</v>
      </c>
      <c r="H39" s="3">
        <v>3.5109598539062001</v>
      </c>
      <c r="I39" s="3">
        <v>3.0809864290236999</v>
      </c>
      <c r="J39" s="3">
        <v>9.8575342465753</v>
      </c>
      <c r="K39" s="3">
        <v>8.1414874436069997</v>
      </c>
      <c r="L39" s="2" t="s">
        <v>370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94.46</v>
      </c>
      <c r="H40" s="3">
        <v>4.2567171119872</v>
      </c>
      <c r="I40" s="3">
        <v>3.7470451564751999</v>
      </c>
      <c r="J40" s="3">
        <v>24.372602739725998</v>
      </c>
      <c r="K40" s="3">
        <v>15.029033767577999</v>
      </c>
      <c r="L40" s="2" t="s">
        <v>370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94.24</v>
      </c>
      <c r="H41" s="3">
        <v>2.6160794761234998</v>
      </c>
      <c r="I41" s="3">
        <v>2.4395268114023998</v>
      </c>
      <c r="J41" s="3">
        <v>4.9397260273972998</v>
      </c>
      <c r="K41" s="3">
        <v>4.6638854743457996</v>
      </c>
      <c r="L41" s="2" t="s">
        <v>370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72.760000000000005</v>
      </c>
      <c r="H42" s="3">
        <v>4.2484452327508997</v>
      </c>
      <c r="I42" s="3">
        <v>3.8650670469555002</v>
      </c>
      <c r="J42" s="3">
        <v>25.372602739725998</v>
      </c>
      <c r="K42" s="3">
        <v>16.935665413953998</v>
      </c>
      <c r="L42" s="2" t="s">
        <v>370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61.1</v>
      </c>
      <c r="H43" s="3">
        <v>4.1777136122389997</v>
      </c>
      <c r="I43" s="3">
        <v>3.8809014377804001</v>
      </c>
      <c r="J43" s="3">
        <v>26.372602739725998</v>
      </c>
      <c r="K43" s="3">
        <v>18.737323513715001</v>
      </c>
      <c r="L43" s="2" t="s">
        <v>370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104.15</v>
      </c>
      <c r="H44" s="3">
        <v>4.1641421854959999</v>
      </c>
      <c r="I44" s="3">
        <v>3.6107058821253002</v>
      </c>
      <c r="J44" s="3">
        <v>18.367123287670999</v>
      </c>
      <c r="K44" s="3">
        <v>12.278558635985</v>
      </c>
      <c r="L44" s="2" t="s">
        <v>370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106.22</v>
      </c>
      <c r="H45" s="3">
        <v>3.4072849954443001</v>
      </c>
      <c r="I45" s="3">
        <v>2.8929072050850002</v>
      </c>
      <c r="J45" s="3">
        <v>8.8575342465753</v>
      </c>
      <c r="K45" s="3">
        <v>7.2485559668953998</v>
      </c>
      <c r="L45" s="2" t="s">
        <v>370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89.41</v>
      </c>
      <c r="H46" s="3">
        <v>2.8705357774047999</v>
      </c>
      <c r="I46" s="3">
        <v>2.7492217924758999</v>
      </c>
      <c r="J46" s="3">
        <v>5.9397260273972998</v>
      </c>
      <c r="K46" s="3">
        <v>5.6218909359316003</v>
      </c>
      <c r="L46" s="2" t="s">
        <v>370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86.52</v>
      </c>
      <c r="H47" s="3">
        <v>3.0980836286643001</v>
      </c>
      <c r="I47" s="3">
        <v>2.9579214869775998</v>
      </c>
      <c r="J47" s="3">
        <v>7.1095890410958997</v>
      </c>
      <c r="K47" s="3">
        <v>6.6357619681131004</v>
      </c>
      <c r="L47" s="2" t="s">
        <v>370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108.11</v>
      </c>
      <c r="H48" s="3">
        <v>3.2657807371613998</v>
      </c>
      <c r="I48" s="3">
        <v>2.7329599356107002</v>
      </c>
      <c r="J48" s="3">
        <v>8.0246575342466002</v>
      </c>
      <c r="K48" s="3">
        <v>6.5590104936472997</v>
      </c>
      <c r="L48" s="2" t="s">
        <v>370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108.07</v>
      </c>
      <c r="H49" s="3">
        <v>1.8382284320669999</v>
      </c>
      <c r="I49" s="3">
        <v>0.97495021782756996</v>
      </c>
      <c r="J49" s="3">
        <v>1.5232876712329</v>
      </c>
      <c r="K49" s="3">
        <v>1.4033749975358001</v>
      </c>
      <c r="L49" s="2" t="s">
        <v>370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110.99</v>
      </c>
      <c r="H50" s="3">
        <v>2.0108626090727002</v>
      </c>
      <c r="I50" s="3">
        <v>1.2444934796575999</v>
      </c>
      <c r="J50" s="3">
        <v>2.5232876712329002</v>
      </c>
      <c r="K50" s="3">
        <v>2.2673435305369001</v>
      </c>
      <c r="L50" s="2" t="s">
        <v>370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111.91</v>
      </c>
      <c r="H51" s="3">
        <v>2.460797179409</v>
      </c>
      <c r="I51" s="3">
        <v>1.8403256666296</v>
      </c>
      <c r="J51" s="3">
        <v>4.5260273972603002</v>
      </c>
      <c r="K51" s="3">
        <v>3.9296393061530002</v>
      </c>
      <c r="L51" s="2" t="s">
        <v>370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117.43</v>
      </c>
      <c r="H52" s="3">
        <v>2.8470526964551999</v>
      </c>
      <c r="I52" s="3">
        <v>2.1567794958094</v>
      </c>
      <c r="J52" s="3">
        <v>6.0219178082192002</v>
      </c>
      <c r="K52" s="3">
        <v>4.9598509204229</v>
      </c>
      <c r="L52" s="2" t="s">
        <v>370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91.45</v>
      </c>
      <c r="H53" s="3">
        <v>2.7181608869138998</v>
      </c>
      <c r="I53" s="3">
        <v>2.5865716223607</v>
      </c>
      <c r="J53" s="3">
        <v>5.2739726027396996</v>
      </c>
      <c r="K53" s="3">
        <v>5.0021284743186003</v>
      </c>
      <c r="L53" s="2" t="s">
        <v>370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107.57</v>
      </c>
      <c r="H54" s="3">
        <v>3.1250389902650002</v>
      </c>
      <c r="I54" s="3">
        <v>2.6195628948235998</v>
      </c>
      <c r="J54" s="3">
        <v>8.5287671232877003</v>
      </c>
      <c r="K54" s="3">
        <v>6.9202966152254</v>
      </c>
      <c r="L54" s="2" t="s">
        <v>370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3.5927103452711</v>
      </c>
      <c r="I55" s="3">
        <v>3.1374319439806002</v>
      </c>
      <c r="J55" s="3">
        <v>10.443835616437999</v>
      </c>
      <c r="K55" s="3">
        <v>8.5018079928240002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101.89</v>
      </c>
      <c r="H56" s="3">
        <v>2.5604066234365002</v>
      </c>
      <c r="I56" s="3">
        <v>2.1794357620757001</v>
      </c>
      <c r="J56" s="3">
        <v>4.4410958904109998</v>
      </c>
      <c r="K56" s="3">
        <v>4.0824247413328001</v>
      </c>
      <c r="L56" s="2" t="s">
        <v>370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106.16</v>
      </c>
      <c r="H57" s="3">
        <v>2.3938335632618002</v>
      </c>
      <c r="I57" s="3">
        <v>1.8681730516702</v>
      </c>
      <c r="J57" s="3">
        <v>3.7780821917808001</v>
      </c>
      <c r="K57" s="3">
        <v>3.4353491111133998</v>
      </c>
      <c r="L57" s="2" t="s">
        <v>370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100.97</v>
      </c>
      <c r="H58" s="3">
        <v>2.7660511922594</v>
      </c>
      <c r="I58" s="3">
        <v>2.3947817497783999</v>
      </c>
      <c r="J58" s="3">
        <v>5.1890410958904001</v>
      </c>
      <c r="K58" s="3">
        <v>4.7016291348793002</v>
      </c>
      <c r="L58" s="2" t="s">
        <v>370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95.56</v>
      </c>
      <c r="H59" s="3">
        <v>3.1833636063842001</v>
      </c>
      <c r="I59" s="3">
        <v>2.8347266228257002</v>
      </c>
      <c r="J59" s="3">
        <v>7.6109589041095997</v>
      </c>
      <c r="K59" s="3">
        <v>6.6770614465675999</v>
      </c>
      <c r="L59" s="2" t="s">
        <v>370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100.25</v>
      </c>
      <c r="H60" s="3">
        <v>1.9454088012035</v>
      </c>
      <c r="I60" s="3">
        <v>1.677640639784</v>
      </c>
      <c r="J60" s="3">
        <v>2.2712328767123</v>
      </c>
      <c r="K60" s="3">
        <v>2.1814537262016001</v>
      </c>
      <c r="L60" s="2" t="s">
        <v>370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101.55</v>
      </c>
      <c r="H61" s="3">
        <v>2.0449556914403999</v>
      </c>
      <c r="I61" s="3">
        <v>1.7057769314744</v>
      </c>
      <c r="J61" s="3">
        <v>2.6054794520548001</v>
      </c>
      <c r="K61" s="3">
        <v>2.4597976125551999</v>
      </c>
      <c r="L61" s="2" t="s">
        <v>370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79.430000000000007</v>
      </c>
      <c r="H62" s="3">
        <v>4.1792383631657</v>
      </c>
      <c r="I62" s="3">
        <v>3.7811712042507999</v>
      </c>
      <c r="J62" s="3">
        <v>21.865753424657001</v>
      </c>
      <c r="K62" s="3">
        <v>15.184569404235001</v>
      </c>
      <c r="L62" s="2" t="s">
        <v>370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2.7082664653652002</v>
      </c>
      <c r="I63" s="3">
        <v>2.3699550038531001</v>
      </c>
      <c r="J63" s="3">
        <v>5.4410958904109998</v>
      </c>
      <c r="K63" s="3">
        <v>4.9779165421734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73.81</v>
      </c>
      <c r="H64" s="3">
        <v>3.7302149505352999</v>
      </c>
      <c r="I64" s="3">
        <v>3.5836649576849999</v>
      </c>
      <c r="J64" s="3">
        <v>11.860273972603</v>
      </c>
      <c r="K64" s="3">
        <v>10.694743165975</v>
      </c>
      <c r="L64" s="2" t="s">
        <v>370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66.62</v>
      </c>
      <c r="H65" s="3">
        <v>4.2588252829868001</v>
      </c>
      <c r="I65" s="3">
        <v>3.9038857542443002</v>
      </c>
      <c r="J65" s="3">
        <v>27.375342465753</v>
      </c>
      <c r="K65" s="3">
        <v>18.187800420293001</v>
      </c>
      <c r="L65" s="2" t="s">
        <v>370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101.75</v>
      </c>
      <c r="H66" s="3">
        <v>1.9692409870631999</v>
      </c>
      <c r="I66" s="3">
        <v>1.5949105802476999</v>
      </c>
      <c r="J66" s="3">
        <v>1.8136986301369999</v>
      </c>
      <c r="K66" s="3">
        <v>1.7367834595844001</v>
      </c>
      <c r="L66" s="2" t="s">
        <v>370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100.71</v>
      </c>
      <c r="H67" s="3">
        <v>3.5967734461912002</v>
      </c>
      <c r="I67" s="3">
        <v>3.1308401384775002</v>
      </c>
      <c r="J67" s="3">
        <v>10.276712328766999</v>
      </c>
      <c r="K67" s="3">
        <v>8.3011650845550999</v>
      </c>
      <c r="L67" s="2" t="s">
        <v>370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100.35</v>
      </c>
      <c r="H68" s="3">
        <v>1.8201449437668</v>
      </c>
      <c r="I68" s="3">
        <v>1.5559422574148001</v>
      </c>
      <c r="J68" s="3">
        <v>1.2246575342466</v>
      </c>
      <c r="K68" s="3">
        <v>1.1875881590416</v>
      </c>
      <c r="L68" s="2" t="s">
        <v>370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102.75</v>
      </c>
      <c r="H69" s="3">
        <v>2.9838396972936998</v>
      </c>
      <c r="I69" s="3">
        <v>2.5536465294008002</v>
      </c>
      <c r="J69" s="3">
        <v>6.2273972602740004</v>
      </c>
      <c r="K69" s="3">
        <v>5.4537943719386996</v>
      </c>
      <c r="L69" s="2" t="s">
        <v>370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74.349999999999994</v>
      </c>
      <c r="H70" s="3">
        <v>4.0376100461117996</v>
      </c>
      <c r="I70" s="3">
        <v>3.7645470224556998</v>
      </c>
      <c r="J70" s="3">
        <v>15.863013698630001</v>
      </c>
      <c r="K70" s="3">
        <v>12.896213645406</v>
      </c>
      <c r="L70" s="2" t="s">
        <v>370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106.08</v>
      </c>
      <c r="H71" s="3">
        <v>2.8268362720525002</v>
      </c>
      <c r="I71" s="3">
        <v>2.3380150632346002</v>
      </c>
      <c r="J71" s="3">
        <v>5.5643835616438002</v>
      </c>
      <c r="K71" s="3">
        <v>4.8434007150536997</v>
      </c>
      <c r="L71" s="2" t="s">
        <v>370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98.34</v>
      </c>
      <c r="H72" s="3">
        <v>1.83684404138</v>
      </c>
      <c r="I72" s="3">
        <v>1.7224649051818</v>
      </c>
      <c r="J72" s="3">
        <v>1.7287671232877</v>
      </c>
      <c r="K72" s="3">
        <v>1.6849778159502999</v>
      </c>
      <c r="L72" s="2" t="s">
        <v>370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93.24</v>
      </c>
      <c r="H73" s="3">
        <v>2.3234770472310999</v>
      </c>
      <c r="I73" s="3">
        <v>2.2477935358308998</v>
      </c>
      <c r="J73" s="3">
        <v>3.8164383561644</v>
      </c>
      <c r="K73" s="3">
        <v>3.6977154052293</v>
      </c>
      <c r="L73" s="2" t="s">
        <v>370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105.63</v>
      </c>
      <c r="H74" s="3">
        <v>2.5671588456104999</v>
      </c>
      <c r="I74" s="3">
        <v>2.0965385694848999</v>
      </c>
      <c r="J74" s="3">
        <v>4.6465753424658001</v>
      </c>
      <c r="K74" s="3">
        <v>4.1541706240843999</v>
      </c>
      <c r="L74" s="2" t="s">
        <v>370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101.56</v>
      </c>
      <c r="H75" s="3">
        <v>2.0597326274575001</v>
      </c>
      <c r="I75" s="3">
        <v>1.7208021147582999</v>
      </c>
      <c r="J75" s="3">
        <v>2.4767123287670998</v>
      </c>
      <c r="K75" s="3">
        <v>2.3628934216321</v>
      </c>
      <c r="L75" s="2" t="s">
        <v>370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103.35</v>
      </c>
      <c r="H76" s="3">
        <v>2.8855165000773</v>
      </c>
      <c r="I76" s="3">
        <v>2.4494067575409999</v>
      </c>
      <c r="J76" s="3">
        <v>5.8164383561644</v>
      </c>
      <c r="K76" s="3">
        <v>5.1467813861118996</v>
      </c>
      <c r="L76" s="2" t="s">
        <v>370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101.791</v>
      </c>
      <c r="H77" s="3">
        <v>1.9195558412842</v>
      </c>
      <c r="I77" s="3">
        <v>1.4536885376346</v>
      </c>
      <c r="J77" s="3">
        <v>0.97534246575341998</v>
      </c>
      <c r="K77" s="3">
        <v>0.94817682798834002</v>
      </c>
      <c r="L77" s="2" t="s">
        <v>370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101.46</v>
      </c>
      <c r="H78" s="3">
        <v>2.4403091487820001</v>
      </c>
      <c r="I78" s="3">
        <v>2.0896350622725999</v>
      </c>
      <c r="J78" s="3">
        <v>4.1452054794521001</v>
      </c>
      <c r="K78" s="3">
        <v>3.8136648584073001</v>
      </c>
      <c r="L78" s="2" t="s">
        <v>370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97.64</v>
      </c>
      <c r="H79" s="3">
        <v>1.9719159836307001</v>
      </c>
      <c r="I79" s="3">
        <v>1.8504786429518001</v>
      </c>
      <c r="J79" s="3">
        <v>2.3945205479451999</v>
      </c>
      <c r="K79" s="3">
        <v>2.3247730675679001</v>
      </c>
      <c r="L79" s="2" t="s">
        <v>370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101.27</v>
      </c>
      <c r="H80" s="3">
        <v>2.2403040570821</v>
      </c>
      <c r="I80" s="3">
        <v>1.8966839543825</v>
      </c>
      <c r="J80" s="3">
        <v>3.1452054794520001</v>
      </c>
      <c r="K80" s="3">
        <v>2.9643091903231999</v>
      </c>
      <c r="L80" s="2" t="s">
        <v>370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104.76</v>
      </c>
      <c r="H81" s="3">
        <v>2.7160874807911002</v>
      </c>
      <c r="I81" s="3">
        <v>2.2340445065397998</v>
      </c>
      <c r="J81" s="3">
        <v>5.1452054794521001</v>
      </c>
      <c r="K81" s="3">
        <v>4.5665654934289996</v>
      </c>
      <c r="L81" s="2" t="s">
        <v>370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94.78</v>
      </c>
      <c r="H82" s="3">
        <v>2.1918071418266001</v>
      </c>
      <c r="I82" s="3">
        <v>2.1056346726925002</v>
      </c>
      <c r="J82" s="3">
        <v>3.227397260274</v>
      </c>
      <c r="K82" s="3">
        <v>3.1370076270390999</v>
      </c>
      <c r="L82" s="2" t="s">
        <v>370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103.17</v>
      </c>
      <c r="H83" s="3">
        <v>1.9979935127620001</v>
      </c>
      <c r="I83" s="3">
        <v>1.5712416425094</v>
      </c>
      <c r="J83" s="3">
        <v>2.2246575342466</v>
      </c>
      <c r="K83" s="3">
        <v>2.1011452283807999</v>
      </c>
      <c r="L83" s="2" t="s">
        <v>370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102.63</v>
      </c>
      <c r="H84" s="3">
        <v>1.9287460563933001</v>
      </c>
      <c r="I84" s="3">
        <v>1.4535237138451</v>
      </c>
      <c r="J84" s="3">
        <v>1.3945205479452001</v>
      </c>
      <c r="K84" s="3">
        <v>1.3409101283033</v>
      </c>
      <c r="L84" s="2" t="s">
        <v>370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100.3</v>
      </c>
      <c r="H85" s="3">
        <v>1.8990488263601</v>
      </c>
      <c r="I85" s="3">
        <v>1.5934070320478</v>
      </c>
      <c r="J85" s="3">
        <v>0.56164383561644005</v>
      </c>
      <c r="K85" s="3">
        <v>0.55050149156271</v>
      </c>
      <c r="L85" s="2" t="s">
        <v>370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98.82</v>
      </c>
      <c r="H86" s="3">
        <v>4.4159116115195003</v>
      </c>
      <c r="I86" s="3">
        <v>3.8628613011629001</v>
      </c>
      <c r="J86" s="3">
        <v>29.457534246575001</v>
      </c>
      <c r="K86" s="3">
        <v>16.143872329528001</v>
      </c>
      <c r="L86" s="2" t="s">
        <v>370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101.06399999999999</v>
      </c>
      <c r="H87" s="3">
        <v>1.9853164850862</v>
      </c>
      <c r="I87" s="3">
        <v>1.5545050088774</v>
      </c>
      <c r="J87" s="3">
        <v>0.72876712328767002</v>
      </c>
      <c r="K87" s="3">
        <v>0.70630548640183</v>
      </c>
      <c r="L87" s="2" t="s">
        <v>370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94.86</v>
      </c>
      <c r="H88" s="3">
        <v>2.1008408862432999</v>
      </c>
      <c r="I88" s="3">
        <v>2.0621505681961998</v>
      </c>
      <c r="J88" s="3">
        <v>2.8931506849314998</v>
      </c>
      <c r="K88" s="3">
        <v>2.8241559029102001</v>
      </c>
      <c r="L88" s="2" t="s">
        <v>370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80.680000000000007</v>
      </c>
      <c r="H89" s="3">
        <v>3.6466449747379999</v>
      </c>
      <c r="I89" s="3">
        <v>3.4360993491133001</v>
      </c>
      <c r="J89" s="3">
        <v>10.860273972603</v>
      </c>
      <c r="K89" s="3">
        <v>9.6036956630719992</v>
      </c>
      <c r="L89" s="2" t="s">
        <v>370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97.88</v>
      </c>
      <c r="H90" s="3">
        <v>4.0730254630460001</v>
      </c>
      <c r="I90" s="3">
        <v>3.5728064561400998</v>
      </c>
      <c r="J90" s="3">
        <v>15.449315068493</v>
      </c>
      <c r="K90" s="3">
        <v>11.255976445426001</v>
      </c>
      <c r="L90" s="2" t="s">
        <v>370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99.718999999999994</v>
      </c>
      <c r="H91" s="3">
        <v>2.0897670111720998</v>
      </c>
      <c r="I91" s="3">
        <v>1.9281371354776</v>
      </c>
      <c r="J91" s="3">
        <v>0.30958904109589003</v>
      </c>
      <c r="K91" s="3">
        <v>0.30329276045312997</v>
      </c>
      <c r="L91" s="2" t="s">
        <v>370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9.9095890410959004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108.1</v>
      </c>
      <c r="H93" s="3">
        <v>2.2374685321671</v>
      </c>
      <c r="I93" s="3">
        <v>1.666312493121</v>
      </c>
      <c r="J93" s="3">
        <v>3.358904109589</v>
      </c>
      <c r="K93" s="3">
        <v>3.0665100983063001</v>
      </c>
      <c r="L93" s="2" t="s">
        <v>370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102.53</v>
      </c>
      <c r="H94" s="3">
        <v>4.3878120671321996</v>
      </c>
      <c r="I94" s="3">
        <v>3.8233690768327002</v>
      </c>
      <c r="J94" s="3">
        <v>28.457534246575001</v>
      </c>
      <c r="K94" s="3">
        <v>15.746161846864</v>
      </c>
      <c r="L94" s="2" t="s">
        <v>370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100.44</v>
      </c>
      <c r="H95" s="3">
        <v>3.2040198798711002</v>
      </c>
      <c r="I95" s="3">
        <v>2.7930601198607001</v>
      </c>
      <c r="J95" s="3">
        <v>7.2301369863013996</v>
      </c>
      <c r="K95" s="3">
        <v>6.3015042640818004</v>
      </c>
      <c r="L95" s="2" t="s">
        <v>370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100.883</v>
      </c>
      <c r="H96" s="3">
        <v>1.9970055378711999</v>
      </c>
      <c r="I96" s="3">
        <v>1.5845433622481</v>
      </c>
      <c r="J96" s="3">
        <v>0.76438356164384003</v>
      </c>
      <c r="K96" s="3">
        <v>0.74185819228088001</v>
      </c>
      <c r="L96" s="2" t="s">
        <v>370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100.619</v>
      </c>
      <c r="H97" s="3">
        <v>2.0930745632284</v>
      </c>
      <c r="I97" s="3">
        <v>1.650669228158</v>
      </c>
      <c r="J97" s="3">
        <v>0.43287671232877001</v>
      </c>
      <c r="K97" s="3">
        <v>0.42407726685696001</v>
      </c>
      <c r="L97" s="2" t="s">
        <v>370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99.947999999999993</v>
      </c>
      <c r="H98" s="3">
        <v>2.1039966491834998</v>
      </c>
      <c r="I98" s="3">
        <v>1.8693676595454001</v>
      </c>
      <c r="J98" s="3">
        <v>0.18630136986300999</v>
      </c>
      <c r="K98" s="3">
        <v>0.18247828492248</v>
      </c>
      <c r="L98" s="2" t="s">
        <v>370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101.5</v>
      </c>
      <c r="H99" s="3">
        <v>1.9795795147473001</v>
      </c>
      <c r="I99" s="3">
        <v>1.5922022049228</v>
      </c>
      <c r="J99" s="3">
        <v>1.3452054794521</v>
      </c>
      <c r="K99" s="3">
        <v>1.2970998885942999</v>
      </c>
      <c r="L99" s="2" t="s">
        <v>370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100.68</v>
      </c>
      <c r="H100" s="3">
        <v>3.0522190909582001</v>
      </c>
      <c r="I100" s="3">
        <v>2.6551785713223999</v>
      </c>
      <c r="J100" s="3">
        <v>6.5643835616438002</v>
      </c>
      <c r="K100" s="3">
        <v>5.7328189379973997</v>
      </c>
      <c r="L100" s="2" t="s">
        <v>370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</v>
      </c>
      <c r="H101" s="3">
        <v>2.0015310387896998</v>
      </c>
      <c r="I101" s="3">
        <v>1.6769611719741999</v>
      </c>
      <c r="J101" s="3">
        <v>1.841095890411</v>
      </c>
      <c r="K101" s="3">
        <v>1.7683786310541001</v>
      </c>
      <c r="L101" s="2" t="s">
        <v>370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103.54</v>
      </c>
      <c r="H102" s="3">
        <v>2.1552752289589998</v>
      </c>
      <c r="I102" s="3">
        <v>1.7227837797925001</v>
      </c>
      <c r="J102" s="3">
        <v>2.9397260273972998</v>
      </c>
      <c r="K102" s="3">
        <v>2.7649871713734</v>
      </c>
      <c r="L102" s="2" t="s">
        <v>370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103.56</v>
      </c>
      <c r="H103" s="3">
        <v>2.9428639600751998</v>
      </c>
      <c r="I103" s="3">
        <v>2.4819996897126</v>
      </c>
      <c r="J103" s="3">
        <v>4.8657534246575</v>
      </c>
      <c r="K103" s="3">
        <v>4.3563272429706998</v>
      </c>
      <c r="L103" s="2" t="s">
        <v>370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103.56</v>
      </c>
      <c r="H104" s="3">
        <v>3.0766824112225999</v>
      </c>
      <c r="I104" s="3">
        <v>2.6036667098841999</v>
      </c>
      <c r="J104" s="3">
        <v>4.8657534246575</v>
      </c>
      <c r="K104" s="3">
        <v>4.3514755628539001</v>
      </c>
      <c r="L104" s="2" t="s">
        <v>370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105.84</v>
      </c>
      <c r="H105" s="3">
        <v>2.5796831034999999</v>
      </c>
      <c r="I105" s="3">
        <v>2.0480706641869002</v>
      </c>
      <c r="J105" s="3">
        <v>3.4657534246575001</v>
      </c>
      <c r="K105" s="3">
        <v>3.1644611190775001</v>
      </c>
      <c r="L105" s="2" t="s">
        <v>370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105.84</v>
      </c>
      <c r="H106" s="3">
        <v>2.7159225817166002</v>
      </c>
      <c r="I106" s="3">
        <v>2.1735629817595998</v>
      </c>
      <c r="J106" s="3">
        <v>3.4657534246575001</v>
      </c>
      <c r="K106" s="3">
        <v>3.1606119172059</v>
      </c>
      <c r="L106" s="2" t="s">
        <v>370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103.57</v>
      </c>
      <c r="H107" s="3">
        <v>2.2398581005181999</v>
      </c>
      <c r="I107" s="3">
        <v>1.7530627928342</v>
      </c>
      <c r="J107" s="3">
        <v>2.1369863013699</v>
      </c>
      <c r="K107" s="3">
        <v>2.0078745163245002</v>
      </c>
      <c r="L107" s="2" t="s">
        <v>370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103.57</v>
      </c>
      <c r="H108" s="3">
        <v>2.4662907808213999</v>
      </c>
      <c r="I108" s="3">
        <v>1.9653304314985001</v>
      </c>
      <c r="J108" s="3">
        <v>2.1369863013699</v>
      </c>
      <c r="K108" s="3">
        <v>2.0035639394654998</v>
      </c>
      <c r="L108" s="2" t="s">
        <v>370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103.36</v>
      </c>
      <c r="H109" s="3">
        <v>2.9801707871866001</v>
      </c>
      <c r="I109" s="3">
        <v>2.5224578012722998</v>
      </c>
      <c r="J109" s="3">
        <v>5.0575342465753002</v>
      </c>
      <c r="K109" s="3">
        <v>4.5008708891604998</v>
      </c>
      <c r="L109" s="2" t="s">
        <v>370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103.36</v>
      </c>
      <c r="H110" s="3">
        <v>3.1270349227298002</v>
      </c>
      <c r="I110" s="3">
        <v>2.6553852263111999</v>
      </c>
      <c r="J110" s="3">
        <v>5.0575342465753002</v>
      </c>
      <c r="K110" s="3">
        <v>4.4954351972674003</v>
      </c>
      <c r="L110" s="2" t="s">
        <v>370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</v>
      </c>
      <c r="H111" s="3">
        <v>4.8226065395867996</v>
      </c>
      <c r="I111" s="3">
        <v>4.4923211097555997</v>
      </c>
      <c r="J111" s="3">
        <v>31.079452054794999</v>
      </c>
      <c r="K111" s="3">
        <v>5.7090245930374</v>
      </c>
      <c r="L111" s="2" t="s">
        <v>371</v>
      </c>
      <c r="M11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B89C-8D99-5746-802C-DBE3C5A3AF0C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117.15</v>
      </c>
      <c r="H2" s="3">
        <v>3.2585225803690001</v>
      </c>
      <c r="I2" s="3">
        <v>2.5950423361930999</v>
      </c>
      <c r="J2" s="3">
        <v>7.7780821917807996</v>
      </c>
      <c r="K2" s="3">
        <v>6.2319600511341999</v>
      </c>
      <c r="L2" s="2" t="s">
        <v>371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100.54</v>
      </c>
      <c r="H3" s="3">
        <v>1.9457193045051999</v>
      </c>
      <c r="I3" s="3">
        <v>1.6545685184922001</v>
      </c>
      <c r="J3" s="3">
        <v>2.1013698630137001</v>
      </c>
      <c r="K3" s="3">
        <v>2.0087364299778998</v>
      </c>
      <c r="L3" s="2" t="s">
        <v>371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99.6</v>
      </c>
      <c r="H4" s="3">
        <v>2.1590188381040001</v>
      </c>
      <c r="I4" s="3">
        <v>1.9013906712999</v>
      </c>
      <c r="J4" s="3">
        <v>2.772602739726</v>
      </c>
      <c r="K4" s="3">
        <v>2.6420718105560002</v>
      </c>
      <c r="L4" s="2" t="s">
        <v>371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102.16</v>
      </c>
      <c r="H5" s="3">
        <v>2.4782424527749001</v>
      </c>
      <c r="I5" s="3">
        <v>2.1038440643065002</v>
      </c>
      <c r="J5" s="3">
        <v>4.2712328767122996</v>
      </c>
      <c r="K5" s="3">
        <v>3.9207079694125002</v>
      </c>
      <c r="L5" s="2" t="s">
        <v>371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102.05</v>
      </c>
      <c r="H6" s="3">
        <v>3.9971689966306001</v>
      </c>
      <c r="I6" s="3">
        <v>3.4740232731009999</v>
      </c>
      <c r="J6" s="3">
        <v>14.443835616437999</v>
      </c>
      <c r="K6" s="3">
        <v>10.600672691991999</v>
      </c>
      <c r="L6" s="2" t="s">
        <v>371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86.63</v>
      </c>
      <c r="H7" s="3">
        <v>2.9725232437666</v>
      </c>
      <c r="I7" s="3">
        <v>2.8898640117166998</v>
      </c>
      <c r="J7" s="3">
        <v>6.2712328767122996</v>
      </c>
      <c r="K7" s="3">
        <v>5.9670446646900999</v>
      </c>
      <c r="L7" s="2" t="s">
        <v>371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108.25</v>
      </c>
      <c r="H8" s="3">
        <v>4.1653816828933996</v>
      </c>
      <c r="I8" s="3">
        <v>3.5879830863453002</v>
      </c>
      <c r="J8" s="3">
        <v>19.367123287670999</v>
      </c>
      <c r="K8" s="3">
        <v>12.547775406136999</v>
      </c>
      <c r="L8" s="2" t="s">
        <v>371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104.24</v>
      </c>
      <c r="H9" s="3">
        <v>2.579707893768</v>
      </c>
      <c r="I9" s="3">
        <v>2.1449290130050001</v>
      </c>
      <c r="J9" s="3">
        <v>4.8520547945204999</v>
      </c>
      <c r="K9" s="3">
        <v>4.3791246151410999</v>
      </c>
      <c r="L9" s="2" t="s">
        <v>371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91.41</v>
      </c>
      <c r="H10" s="3">
        <v>3.0699073946258002</v>
      </c>
      <c r="I10" s="3">
        <v>2.8476141958403001</v>
      </c>
      <c r="J10" s="3">
        <v>6.8547945205478999</v>
      </c>
      <c r="K10" s="3">
        <v>6.2801100881104999</v>
      </c>
      <c r="L10" s="2" t="s">
        <v>371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99.65</v>
      </c>
      <c r="H11" s="3">
        <v>1.931711615415</v>
      </c>
      <c r="I11" s="3">
        <v>1.7294578506108</v>
      </c>
      <c r="J11" s="3">
        <v>1.1013698630137001</v>
      </c>
      <c r="K11" s="3">
        <v>1.0688513417687999</v>
      </c>
      <c r="L11" s="2" t="s">
        <v>371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87.03</v>
      </c>
      <c r="H12" s="3">
        <v>3.6859124698308001</v>
      </c>
      <c r="I12" s="3">
        <v>3.3743014069565</v>
      </c>
      <c r="J12" s="3">
        <v>11.361643835616</v>
      </c>
      <c r="K12" s="3">
        <v>9.5838139095200994</v>
      </c>
      <c r="L12" s="2" t="s">
        <v>371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</v>
      </c>
      <c r="H13" s="3">
        <v>4.2441204475578997</v>
      </c>
      <c r="I13" s="3">
        <v>3.7690304489059998</v>
      </c>
      <c r="J13" s="3">
        <v>22.865753424657001</v>
      </c>
      <c r="K13" s="3">
        <v>14.816200558177</v>
      </c>
      <c r="L13" s="2" t="s">
        <v>371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90.43</v>
      </c>
      <c r="H14" s="3">
        <v>3.9944454968621002</v>
      </c>
      <c r="I14" s="3">
        <v>3.5743833372750999</v>
      </c>
      <c r="J14" s="3">
        <v>14.860273972603</v>
      </c>
      <c r="K14" s="3">
        <v>11.331921524341</v>
      </c>
      <c r="L14" s="2" t="s">
        <v>371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98.209000000000003</v>
      </c>
      <c r="H15" s="3">
        <v>1.9252734360968</v>
      </c>
      <c r="I15" s="3">
        <v>1.9125730248096</v>
      </c>
      <c r="J15" s="3">
        <v>0.93424657534247002</v>
      </c>
      <c r="K15" s="3">
        <v>0.91683464841572004</v>
      </c>
      <c r="L15" s="2" t="s">
        <v>371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59.96</v>
      </c>
      <c r="H16" s="3">
        <v>4.1088284587601001</v>
      </c>
      <c r="I16" s="3">
        <v>3.7115834355901001</v>
      </c>
      <c r="J16" s="3">
        <v>46.882191780821998</v>
      </c>
      <c r="K16" s="3">
        <v>23.254466312058</v>
      </c>
      <c r="L16" s="2" t="s">
        <v>371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94.13</v>
      </c>
      <c r="H17" s="3">
        <v>3.8666811646051</v>
      </c>
      <c r="I17" s="3">
        <v>3.4364847010087001</v>
      </c>
      <c r="J17" s="3">
        <v>12.857534246575</v>
      </c>
      <c r="K17" s="3">
        <v>10.086164256589999</v>
      </c>
      <c r="L17" s="2" t="s">
        <v>371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98.48</v>
      </c>
      <c r="H18" s="3">
        <v>1.9131264595963999</v>
      </c>
      <c r="I18" s="3">
        <v>1.7730350752624</v>
      </c>
      <c r="J18" s="3">
        <v>1.9342465753425</v>
      </c>
      <c r="K18" s="3">
        <v>1.8817603817947</v>
      </c>
      <c r="L18" s="2" t="s">
        <v>371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103.27</v>
      </c>
      <c r="H19" s="3">
        <v>2.5344463558341999</v>
      </c>
      <c r="I19" s="3">
        <v>2.1153770625522998</v>
      </c>
      <c r="J19" s="3">
        <v>4.1863013698630001</v>
      </c>
      <c r="K19" s="3">
        <v>3.8129856777603002</v>
      </c>
      <c r="L19" s="2" t="s">
        <v>371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103.11</v>
      </c>
      <c r="H20" s="3">
        <v>3.4775518648345001</v>
      </c>
      <c r="I20" s="3">
        <v>2.9958005728432</v>
      </c>
      <c r="J20" s="3">
        <v>9.1890410958903992</v>
      </c>
      <c r="K20" s="3">
        <v>7.5056323660224002</v>
      </c>
      <c r="L20" s="2" t="s">
        <v>371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94.05</v>
      </c>
      <c r="H21" s="3">
        <v>2.8213838478898001</v>
      </c>
      <c r="I21" s="3">
        <v>2.6004761542927</v>
      </c>
      <c r="J21" s="3">
        <v>5.6054794520547997</v>
      </c>
      <c r="K21" s="3">
        <v>5.1876720280314998</v>
      </c>
      <c r="L21" s="2" t="s">
        <v>371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87.76</v>
      </c>
      <c r="H22" s="3">
        <v>3.028821542857</v>
      </c>
      <c r="I22" s="3">
        <v>2.8985899064301002</v>
      </c>
      <c r="J22" s="3">
        <v>6.6054794520547997</v>
      </c>
      <c r="K22" s="3">
        <v>6.1874838643282999</v>
      </c>
      <c r="L22" s="2" t="s">
        <v>371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104.78</v>
      </c>
      <c r="H23" s="3">
        <v>2.2868328248536001</v>
      </c>
      <c r="I23" s="3">
        <v>1.8204471406174001</v>
      </c>
      <c r="J23" s="3">
        <v>3.2712328767123</v>
      </c>
      <c r="K23" s="3">
        <v>3.0181382048052998</v>
      </c>
      <c r="L23" s="2" t="s">
        <v>371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112.39</v>
      </c>
      <c r="H24" s="3">
        <v>3.4558035846734998</v>
      </c>
      <c r="I24" s="3">
        <v>2.8617671456379998</v>
      </c>
      <c r="J24" s="3">
        <v>9.2739726027397005</v>
      </c>
      <c r="K24" s="3">
        <v>7.3223086975031997</v>
      </c>
      <c r="L24" s="2" t="s">
        <v>371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103.13</v>
      </c>
      <c r="H25" s="3">
        <v>3.6995290279908999</v>
      </c>
      <c r="I25" s="3">
        <v>3.2007596338272002</v>
      </c>
      <c r="J25" s="3">
        <v>11.780821917808</v>
      </c>
      <c r="K25" s="3">
        <v>9.1321493991409</v>
      </c>
      <c r="L25" s="2" t="s">
        <v>371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111.68</v>
      </c>
      <c r="H26" s="3">
        <v>3.9592407800827001</v>
      </c>
      <c r="I26" s="3">
        <v>3.3651740999458002</v>
      </c>
      <c r="J26" s="3">
        <v>14.276712328766999</v>
      </c>
      <c r="K26" s="3">
        <v>10.107887608764001</v>
      </c>
      <c r="L26" s="2" t="s">
        <v>371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99.05</v>
      </c>
      <c r="H27" s="3">
        <v>1.8617403325916</v>
      </c>
      <c r="I27" s="3">
        <v>1.7032796984664</v>
      </c>
      <c r="J27" s="3">
        <v>1.6027397260273999</v>
      </c>
      <c r="K27" s="3">
        <v>1.5551033689253</v>
      </c>
      <c r="L27" s="2" t="s">
        <v>371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101.8</v>
      </c>
      <c r="H28" s="3">
        <v>2.2867832412793998</v>
      </c>
      <c r="I28" s="3">
        <v>1.9325627871543001</v>
      </c>
      <c r="J28" s="3">
        <v>3.6054794520548001</v>
      </c>
      <c r="K28" s="3">
        <v>3.3429875287863999</v>
      </c>
      <c r="L28" s="2" t="s">
        <v>371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98.876999999999995</v>
      </c>
      <c r="H29" s="3">
        <v>1.941512236353</v>
      </c>
      <c r="I29" s="3">
        <v>1.8711848180082</v>
      </c>
      <c r="J29" s="3">
        <v>0.77260273972603</v>
      </c>
      <c r="K29" s="3">
        <v>0.75950733160320005</v>
      </c>
      <c r="L29" s="2" t="s">
        <v>371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</v>
      </c>
      <c r="H30" s="3">
        <v>1.843243949461</v>
      </c>
      <c r="I30" s="3">
        <v>1.8411235120058</v>
      </c>
      <c r="J30" s="3">
        <v>1.2684931506849</v>
      </c>
      <c r="K30" s="3">
        <v>1.2509151842924</v>
      </c>
      <c r="L30" s="2" t="s">
        <v>371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102.6</v>
      </c>
      <c r="H31" s="3">
        <v>3.5609860812598</v>
      </c>
      <c r="I31" s="3">
        <v>3.0795567750728998</v>
      </c>
      <c r="J31" s="3">
        <v>9.7780821917808005</v>
      </c>
      <c r="K31" s="3">
        <v>7.9140891538154996</v>
      </c>
      <c r="L31" s="2" t="s">
        <v>371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111.39</v>
      </c>
      <c r="H32" s="3">
        <v>4.0347373176763002</v>
      </c>
      <c r="I32" s="3">
        <v>3.4385808461321998</v>
      </c>
      <c r="J32" s="3">
        <v>15.364383561644001</v>
      </c>
      <c r="K32" s="3">
        <v>10.669493994644</v>
      </c>
      <c r="L32" s="2" t="s">
        <v>371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102.087</v>
      </c>
      <c r="H33" s="3">
        <v>1.9860140094653</v>
      </c>
      <c r="I33" s="3">
        <v>1.4389275450134</v>
      </c>
      <c r="J33" s="3">
        <v>0.84931506849314997</v>
      </c>
      <c r="K33" s="3">
        <v>0.82504126795101995</v>
      </c>
      <c r="L33" s="2" t="s">
        <v>371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87.07</v>
      </c>
      <c r="H34" s="3">
        <v>4.2096422378370999</v>
      </c>
      <c r="I34" s="3">
        <v>3.7577206912016998</v>
      </c>
      <c r="J34" s="3">
        <v>21.367123287670999</v>
      </c>
      <c r="K34" s="3">
        <v>14.400546619636</v>
      </c>
      <c r="L34" s="2" t="s">
        <v>371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100.04600000000001</v>
      </c>
      <c r="H35" s="3">
        <v>1.8934715198704</v>
      </c>
      <c r="I35" s="3">
        <v>1.6473046001856999</v>
      </c>
      <c r="J35" s="3">
        <v>0.6027397260274</v>
      </c>
      <c r="K35" s="3">
        <v>0.58681240049342998</v>
      </c>
      <c r="L35" s="2" t="s">
        <v>371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71.75</v>
      </c>
      <c r="H36" s="3">
        <v>4.2919661166993999</v>
      </c>
      <c r="I36" s="3">
        <v>3.8376250028233998</v>
      </c>
      <c r="J36" s="3">
        <v>41.876712328766999</v>
      </c>
      <c r="K36" s="3">
        <v>20.695855786260999</v>
      </c>
      <c r="L36" s="2" t="s">
        <v>371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93.95</v>
      </c>
      <c r="H37" s="3">
        <v>3.3075661222836001</v>
      </c>
      <c r="I37" s="3">
        <v>2.9815232951456001</v>
      </c>
      <c r="J37" s="3">
        <v>8.358904109589</v>
      </c>
      <c r="K37" s="3">
        <v>7.3098962899305002</v>
      </c>
      <c r="L37" s="2" t="s">
        <v>371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90.7</v>
      </c>
      <c r="H38" s="3">
        <v>3.8806128647742999</v>
      </c>
      <c r="I38" s="3">
        <v>3.4826471450763998</v>
      </c>
      <c r="J38" s="3">
        <v>13.361643835616</v>
      </c>
      <c r="K38" s="3">
        <v>10.543120180701001</v>
      </c>
      <c r="L38" s="2" t="s">
        <v>371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98.73</v>
      </c>
      <c r="H39" s="3">
        <v>3.5320320425137002</v>
      </c>
      <c r="I39" s="3">
        <v>3.1015955151489001</v>
      </c>
      <c r="J39" s="3">
        <v>9.8547945205478999</v>
      </c>
      <c r="K39" s="3">
        <v>8.1357075301768997</v>
      </c>
      <c r="L39" s="2" t="s">
        <v>371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94.19</v>
      </c>
      <c r="H40" s="3">
        <v>4.2756886926475</v>
      </c>
      <c r="I40" s="3">
        <v>3.7650062543813001</v>
      </c>
      <c r="J40" s="3">
        <v>24.369863013699</v>
      </c>
      <c r="K40" s="3">
        <v>15.010394967844</v>
      </c>
      <c r="L40" s="2" t="s">
        <v>371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94.13</v>
      </c>
      <c r="H41" s="3">
        <v>2.6417963982927999</v>
      </c>
      <c r="I41" s="3">
        <v>2.4651028403512001</v>
      </c>
      <c r="J41" s="3">
        <v>4.9369863013698998</v>
      </c>
      <c r="K41" s="3">
        <v>4.6599332836669003</v>
      </c>
      <c r="L41" s="2" t="s">
        <v>371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72.510000000000005</v>
      </c>
      <c r="H42" s="3">
        <v>4.2688160652100997</v>
      </c>
      <c r="I42" s="3">
        <v>3.8845302286562999</v>
      </c>
      <c r="J42" s="3">
        <v>25.369863013699</v>
      </c>
      <c r="K42" s="3">
        <v>16.914547615947001</v>
      </c>
      <c r="L42" s="2" t="s">
        <v>371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60.95</v>
      </c>
      <c r="H43" s="3">
        <v>4.1909803246013997</v>
      </c>
      <c r="I43" s="3">
        <v>3.8936784825013002</v>
      </c>
      <c r="J43" s="3">
        <v>26.369863013699</v>
      </c>
      <c r="K43" s="3">
        <v>18.722163526205001</v>
      </c>
      <c r="L43" s="2" t="s">
        <v>371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103.94</v>
      </c>
      <c r="H44" s="3">
        <v>4.1804555528418996</v>
      </c>
      <c r="I44" s="3">
        <v>3.6262780116374</v>
      </c>
      <c r="J44" s="3">
        <v>18.364383561644001</v>
      </c>
      <c r="K44" s="3">
        <v>12.267873377628</v>
      </c>
      <c r="L44" s="2" t="s">
        <v>371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106.09</v>
      </c>
      <c r="H45" s="3">
        <v>3.4238807288381001</v>
      </c>
      <c r="I45" s="3">
        <v>2.9091004360052</v>
      </c>
      <c r="J45" s="3">
        <v>8.8547945205478999</v>
      </c>
      <c r="K45" s="3">
        <v>7.2437688279043</v>
      </c>
      <c r="L45" s="2" t="s">
        <v>371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89.24</v>
      </c>
      <c r="H46" s="3">
        <v>2.9052791763966002</v>
      </c>
      <c r="I46" s="3">
        <v>2.7838160239917999</v>
      </c>
      <c r="J46" s="3">
        <v>5.9369863013698998</v>
      </c>
      <c r="K46" s="3">
        <v>5.6171389041235997</v>
      </c>
      <c r="L46" s="2" t="s">
        <v>371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86.41</v>
      </c>
      <c r="H47" s="3">
        <v>3.1179891411109999</v>
      </c>
      <c r="I47" s="3">
        <v>2.9777301355297001</v>
      </c>
      <c r="J47" s="3">
        <v>7.1068493150684997</v>
      </c>
      <c r="K47" s="3">
        <v>6.6315902268883997</v>
      </c>
      <c r="L47" s="2" t="s">
        <v>371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108.02</v>
      </c>
      <c r="H48" s="3">
        <v>3.2779011943835998</v>
      </c>
      <c r="I48" s="3">
        <v>2.7447918404727001</v>
      </c>
      <c r="J48" s="3">
        <v>8.0219178082192002</v>
      </c>
      <c r="K48" s="3">
        <v>6.5549655269814</v>
      </c>
      <c r="L48" s="2" t="s">
        <v>371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108.01</v>
      </c>
      <c r="H49" s="3">
        <v>1.8673870951114</v>
      </c>
      <c r="I49" s="3">
        <v>1.0036879181478</v>
      </c>
      <c r="J49" s="3">
        <v>1.5205479452055</v>
      </c>
      <c r="K49" s="3">
        <v>1.4002545467870999</v>
      </c>
      <c r="L49" s="2" t="s">
        <v>371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110.89</v>
      </c>
      <c r="H50" s="3">
        <v>2.0450347092649999</v>
      </c>
      <c r="I50" s="3">
        <v>1.2781196689712999</v>
      </c>
      <c r="J50" s="3">
        <v>2.5205479452055002</v>
      </c>
      <c r="K50" s="3">
        <v>2.2637869274727001</v>
      </c>
      <c r="L50" s="2" t="s">
        <v>371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111.74</v>
      </c>
      <c r="H51" s="3">
        <v>2.4971288645621001</v>
      </c>
      <c r="I51" s="3">
        <v>1.8760122709722</v>
      </c>
      <c r="J51" s="3">
        <v>4.5232876712329002</v>
      </c>
      <c r="K51" s="3">
        <v>3.9251070813847999</v>
      </c>
      <c r="L51" s="2" t="s">
        <v>371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117.28</v>
      </c>
      <c r="H52" s="3">
        <v>2.8709929424741998</v>
      </c>
      <c r="I52" s="3">
        <v>2.1801299473681</v>
      </c>
      <c r="J52" s="3">
        <v>6.0191780821918002</v>
      </c>
      <c r="K52" s="3">
        <v>4.9553431755770001</v>
      </c>
      <c r="L52" s="2" t="s">
        <v>371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91.31</v>
      </c>
      <c r="H53" s="3">
        <v>2.7496336529801999</v>
      </c>
      <c r="I53" s="3">
        <v>2.6179275671325999</v>
      </c>
      <c r="J53" s="3">
        <v>5.2712328767122996</v>
      </c>
      <c r="K53" s="3">
        <v>4.9977919206600001</v>
      </c>
      <c r="L53" s="2" t="s">
        <v>371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107.4</v>
      </c>
      <c r="H54" s="3">
        <v>3.1471061713299</v>
      </c>
      <c r="I54" s="3">
        <v>2.6411065176949</v>
      </c>
      <c r="J54" s="3">
        <v>8.5260273972603002</v>
      </c>
      <c r="K54" s="3">
        <v>6.9148303806006997</v>
      </c>
      <c r="L54" s="2" t="s">
        <v>371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3.5938481579796</v>
      </c>
      <c r="I55" s="3">
        <v>3.1384032605746</v>
      </c>
      <c r="J55" s="3">
        <v>10.441095890411001</v>
      </c>
      <c r="K55" s="3">
        <v>8.4989771607770006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101.74</v>
      </c>
      <c r="H56" s="3">
        <v>2.5961845808074</v>
      </c>
      <c r="I56" s="3">
        <v>2.2148353410669999</v>
      </c>
      <c r="J56" s="3">
        <v>4.4383561643835998</v>
      </c>
      <c r="K56" s="3">
        <v>4.0781053434213002</v>
      </c>
      <c r="L56" s="2" t="s">
        <v>371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106.03</v>
      </c>
      <c r="H57" s="3">
        <v>2.4280285290533001</v>
      </c>
      <c r="I57" s="3">
        <v>1.9019411095794001</v>
      </c>
      <c r="J57" s="3">
        <v>3.7753424657534</v>
      </c>
      <c r="K57" s="3">
        <v>3.4313355090740001</v>
      </c>
      <c r="L57" s="2" t="s">
        <v>371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100.8</v>
      </c>
      <c r="H58" s="3">
        <v>2.8016470498855002</v>
      </c>
      <c r="I58" s="3">
        <v>2.4299602754352998</v>
      </c>
      <c r="J58" s="3">
        <v>5.1863013698630001</v>
      </c>
      <c r="K58" s="3">
        <v>4.6969647229953999</v>
      </c>
      <c r="L58" s="2" t="s">
        <v>371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95.44</v>
      </c>
      <c r="H59" s="3">
        <v>3.2022184571989998</v>
      </c>
      <c r="I59" s="3">
        <v>2.8533360979007001</v>
      </c>
      <c r="J59" s="3">
        <v>7.6082191780821997</v>
      </c>
      <c r="K59" s="3">
        <v>6.6726053048402001</v>
      </c>
      <c r="L59" s="2" t="s">
        <v>371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100.15</v>
      </c>
      <c r="H60" s="3">
        <v>1.9908502523806999</v>
      </c>
      <c r="I60" s="3">
        <v>1.7229174180180999</v>
      </c>
      <c r="J60" s="3">
        <v>2.2684931506849</v>
      </c>
      <c r="K60" s="3">
        <v>2.1777636997601002</v>
      </c>
      <c r="L60" s="2" t="s">
        <v>371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101.4</v>
      </c>
      <c r="H61" s="3">
        <v>2.1038838208073001</v>
      </c>
      <c r="I61" s="3">
        <v>1.7643232100479</v>
      </c>
      <c r="J61" s="3">
        <v>2.6027397260274001</v>
      </c>
      <c r="K61" s="3">
        <v>2.4556005236059999</v>
      </c>
      <c r="L61" s="2" t="s">
        <v>371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79.16</v>
      </c>
      <c r="H62" s="3">
        <v>4.2016980716371002</v>
      </c>
      <c r="I62" s="3">
        <v>3.8027287060206998</v>
      </c>
      <c r="J62" s="3">
        <v>21.863013698629999</v>
      </c>
      <c r="K62" s="3">
        <v>15.1668153892</v>
      </c>
      <c r="L62" s="2" t="s">
        <v>371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2.7097380044820998</v>
      </c>
      <c r="I63" s="3">
        <v>2.3712308362015002</v>
      </c>
      <c r="J63" s="3">
        <v>5.4383561643835998</v>
      </c>
      <c r="K63" s="3">
        <v>4.9751635755352002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73.680000000000007</v>
      </c>
      <c r="H64" s="3">
        <v>3.7472847524736999</v>
      </c>
      <c r="I64" s="3">
        <v>3.6005835046108001</v>
      </c>
      <c r="J64" s="3">
        <v>11.857534246575</v>
      </c>
      <c r="K64" s="3">
        <v>10.689446389843001</v>
      </c>
      <c r="L64" s="2" t="s">
        <v>371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66.37</v>
      </c>
      <c r="H65" s="3">
        <v>4.2795613443095002</v>
      </c>
      <c r="I65" s="3">
        <v>3.9236799648547001</v>
      </c>
      <c r="J65" s="3">
        <v>27.372602739725998</v>
      </c>
      <c r="K65" s="3">
        <v>18.163331275368002</v>
      </c>
      <c r="L65" s="2" t="s">
        <v>371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</v>
      </c>
      <c r="H66" s="3">
        <v>1.9959204499862</v>
      </c>
      <c r="I66" s="3">
        <v>1.6214376565752</v>
      </c>
      <c r="J66" s="3">
        <v>1.8109589041095999</v>
      </c>
      <c r="K66" s="3">
        <v>1.7336306835105999</v>
      </c>
      <c r="L66" s="2" t="s">
        <v>371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100.46</v>
      </c>
      <c r="H67" s="3">
        <v>3.6264560364531002</v>
      </c>
      <c r="I67" s="3">
        <v>3.1597925950504999</v>
      </c>
      <c r="J67" s="3">
        <v>10.273972602740001</v>
      </c>
      <c r="K67" s="3">
        <v>8.2936577068423993</v>
      </c>
      <c r="L67" s="2" t="s">
        <v>371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100.21</v>
      </c>
      <c r="H68" s="3">
        <v>1.9366791385244999</v>
      </c>
      <c r="I68" s="3">
        <v>1.6720726245841</v>
      </c>
      <c r="J68" s="3">
        <v>1.2219178082191999</v>
      </c>
      <c r="K68" s="3">
        <v>1.1835286321187</v>
      </c>
      <c r="L68" s="2" t="s">
        <v>371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102.6</v>
      </c>
      <c r="H69" s="3">
        <v>3.0101900476983001</v>
      </c>
      <c r="I69" s="3">
        <v>2.5795862840209001</v>
      </c>
      <c r="J69" s="3">
        <v>6.2246575342466004</v>
      </c>
      <c r="K69" s="3">
        <v>5.4491903764621004</v>
      </c>
      <c r="L69" s="2" t="s">
        <v>371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74.180000000000007</v>
      </c>
      <c r="H70" s="3">
        <v>4.0556365730717996</v>
      </c>
      <c r="I70" s="3">
        <v>3.7821794916779998</v>
      </c>
      <c r="J70" s="3">
        <v>15.860273972603</v>
      </c>
      <c r="K70" s="3">
        <v>12.887849537226</v>
      </c>
      <c r="L70" s="2" t="s">
        <v>371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105.94</v>
      </c>
      <c r="H71" s="3">
        <v>2.8531334906119001</v>
      </c>
      <c r="I71" s="3">
        <v>2.3638806431477999</v>
      </c>
      <c r="J71" s="3">
        <v>5.5616438356164002</v>
      </c>
      <c r="K71" s="3">
        <v>4.8390190796764001</v>
      </c>
      <c r="L71" s="2" t="s">
        <v>371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98.29</v>
      </c>
      <c r="H72" s="3">
        <v>1.8685549862016999</v>
      </c>
      <c r="I72" s="3">
        <v>1.754134226765</v>
      </c>
      <c r="J72" s="3">
        <v>1.7260273972603</v>
      </c>
      <c r="K72" s="3">
        <v>1.6817592753652999</v>
      </c>
      <c r="L72" s="2" t="s">
        <v>371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93.09</v>
      </c>
      <c r="H73" s="3">
        <v>2.3683637166464</v>
      </c>
      <c r="I73" s="3">
        <v>2.2926324634945998</v>
      </c>
      <c r="J73" s="3">
        <v>3.8136986301369999</v>
      </c>
      <c r="K73" s="3">
        <v>3.6933827098237</v>
      </c>
      <c r="L73" s="2" t="s">
        <v>371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105.43</v>
      </c>
      <c r="H74" s="3">
        <v>2.6115214407964999</v>
      </c>
      <c r="I74" s="3">
        <v>2.1402893229341999</v>
      </c>
      <c r="J74" s="3">
        <v>4.6438356164384</v>
      </c>
      <c r="K74" s="3">
        <v>4.1492406239396002</v>
      </c>
      <c r="L74" s="2" t="s">
        <v>371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101.43</v>
      </c>
      <c r="H75" s="3">
        <v>2.1132663085138002</v>
      </c>
      <c r="I75" s="3">
        <v>1.7739889173509</v>
      </c>
      <c r="J75" s="3">
        <v>2.4739726027397002</v>
      </c>
      <c r="K75" s="3">
        <v>2.3589234250698001</v>
      </c>
      <c r="L75" s="2" t="s">
        <v>371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103.21</v>
      </c>
      <c r="H76" s="3">
        <v>2.9114107093192998</v>
      </c>
      <c r="I76" s="3">
        <v>2.4749160115067999</v>
      </c>
      <c r="J76" s="3">
        <v>5.8136986301369999</v>
      </c>
      <c r="K76" s="3">
        <v>5.1423907800348996</v>
      </c>
      <c r="L76" s="2" t="s">
        <v>371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101.71899999999999</v>
      </c>
      <c r="H77" s="3">
        <v>1.9881431890779</v>
      </c>
      <c r="I77" s="3">
        <v>1.5219173853246999</v>
      </c>
      <c r="J77" s="3">
        <v>0.97260273972602995</v>
      </c>
      <c r="K77" s="3">
        <v>0.94485758428966005</v>
      </c>
      <c r="L77" s="2" t="s">
        <v>371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101.34</v>
      </c>
      <c r="H78" s="3">
        <v>2.470825946533</v>
      </c>
      <c r="I78" s="3">
        <v>2.1198605922995002</v>
      </c>
      <c r="J78" s="3">
        <v>4.1424657534247</v>
      </c>
      <c r="K78" s="3">
        <v>3.8096738009702</v>
      </c>
      <c r="L78" s="2" t="s">
        <v>371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97.57</v>
      </c>
      <c r="H79" s="3">
        <v>2.0039398597310001</v>
      </c>
      <c r="I79" s="3">
        <v>1.8824288203535</v>
      </c>
      <c r="J79" s="3">
        <v>2.3917808219177998</v>
      </c>
      <c r="K79" s="3">
        <v>2.3213464082628001</v>
      </c>
      <c r="L79" s="2" t="s">
        <v>371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101.16</v>
      </c>
      <c r="H80" s="3">
        <v>2.2765331466977998</v>
      </c>
      <c r="I80" s="3">
        <v>1.9326397046813</v>
      </c>
      <c r="J80" s="3">
        <v>3.1424657534247</v>
      </c>
      <c r="K80" s="3">
        <v>2.9605040838705001</v>
      </c>
      <c r="L80" s="2" t="s">
        <v>371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104.58</v>
      </c>
      <c r="H81" s="3">
        <v>2.7528132844828002</v>
      </c>
      <c r="I81" s="3">
        <v>2.2702561101568</v>
      </c>
      <c r="J81" s="3">
        <v>5.1424657534247</v>
      </c>
      <c r="K81" s="3">
        <v>4.5617728100323998</v>
      </c>
      <c r="L81" s="2" t="s">
        <v>371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95</v>
      </c>
      <c r="H82" s="3">
        <v>2.1194016617761999</v>
      </c>
      <c r="I82" s="3">
        <v>2.0332887220589</v>
      </c>
      <c r="J82" s="3">
        <v>3.2246575342466</v>
      </c>
      <c r="K82" s="3">
        <v>3.1365895507466002</v>
      </c>
      <c r="L82" s="2" t="s">
        <v>371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</v>
      </c>
      <c r="H83" s="3">
        <v>2.0741120030456002</v>
      </c>
      <c r="I83" s="3">
        <v>1.6467740697516</v>
      </c>
      <c r="J83" s="3">
        <v>2.2219178082191999</v>
      </c>
      <c r="K83" s="3">
        <v>2.0968094961706001</v>
      </c>
      <c r="L83" s="2" t="s">
        <v>371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102.55</v>
      </c>
      <c r="H84" s="3">
        <v>1.9831161128251</v>
      </c>
      <c r="I84" s="3">
        <v>1.5075257975655001</v>
      </c>
      <c r="J84" s="3">
        <v>1.3917808219178001</v>
      </c>
      <c r="K84" s="3">
        <v>1.3374970923203</v>
      </c>
      <c r="L84" s="2" t="s">
        <v>371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100.285</v>
      </c>
      <c r="H85" s="3">
        <v>1.9226252857576001</v>
      </c>
      <c r="I85" s="3">
        <v>1.6169987281914</v>
      </c>
      <c r="J85" s="3">
        <v>0.55890410958904002</v>
      </c>
      <c r="K85" s="3">
        <v>0.54768608980404998</v>
      </c>
      <c r="L85" s="2" t="s">
        <v>371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98.8</v>
      </c>
      <c r="H86" s="3">
        <v>4.4171609497480997</v>
      </c>
      <c r="I86" s="3">
        <v>3.8640309308088998</v>
      </c>
      <c r="J86" s="3">
        <v>29.454794520547999</v>
      </c>
      <c r="K86" s="3">
        <v>16.139787454482001</v>
      </c>
      <c r="L86" s="2" t="s">
        <v>371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101.029</v>
      </c>
      <c r="H87" s="3">
        <v>2.0275434248496</v>
      </c>
      <c r="I87" s="3">
        <v>1.5966248552572</v>
      </c>
      <c r="J87" s="3">
        <v>0.72602739726026999</v>
      </c>
      <c r="K87" s="3">
        <v>0.70332917256620997</v>
      </c>
      <c r="L87" s="2" t="s">
        <v>371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94.72</v>
      </c>
      <c r="H88" s="3">
        <v>2.1549515331993998</v>
      </c>
      <c r="I88" s="3">
        <v>2.1162399016897999</v>
      </c>
      <c r="J88" s="3">
        <v>2.8904109589040998</v>
      </c>
      <c r="K88" s="3">
        <v>2.8199688559446998</v>
      </c>
      <c r="L88" s="2" t="s">
        <v>371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80.52</v>
      </c>
      <c r="H89" s="3">
        <v>3.6677837353466001</v>
      </c>
      <c r="I89" s="3">
        <v>3.4569878613567999</v>
      </c>
      <c r="J89" s="3">
        <v>10.857534246575</v>
      </c>
      <c r="K89" s="3">
        <v>9.5979304804699002</v>
      </c>
      <c r="L89" s="2" t="s">
        <v>371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97.72</v>
      </c>
      <c r="H90" s="3">
        <v>4.0875483939463004</v>
      </c>
      <c r="I90" s="3">
        <v>3.5868018630173002</v>
      </c>
      <c r="J90" s="3">
        <v>15.446575342466</v>
      </c>
      <c r="K90" s="3">
        <v>11.24830153267</v>
      </c>
      <c r="L90" s="2" t="s">
        <v>371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99.718000000000004</v>
      </c>
      <c r="H91" s="3">
        <v>2.1009155862634001</v>
      </c>
      <c r="I91" s="3">
        <v>1.9392980552348</v>
      </c>
      <c r="J91" s="3">
        <v>0.30684931506849</v>
      </c>
      <c r="K91" s="3">
        <v>0.30057591289990998</v>
      </c>
      <c r="L91" s="2" t="s">
        <v>371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9.9068493150685004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107.97</v>
      </c>
      <c r="H93" s="3">
        <v>2.2746006207430001</v>
      </c>
      <c r="I93" s="3">
        <v>1.7029379906983999</v>
      </c>
      <c r="J93" s="3">
        <v>3.3561643835616</v>
      </c>
      <c r="K93" s="3">
        <v>3.0625623600342</v>
      </c>
      <c r="L93" s="2" t="s">
        <v>371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102.22</v>
      </c>
      <c r="H94" s="3">
        <v>4.4069914813646998</v>
      </c>
      <c r="I94" s="3">
        <v>3.841322211709</v>
      </c>
      <c r="J94" s="3">
        <v>28.454794520547999</v>
      </c>
      <c r="K94" s="3">
        <v>15.722526907773</v>
      </c>
      <c r="L94" s="2" t="s">
        <v>371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100.68</v>
      </c>
      <c r="H95" s="3">
        <v>3.1675109609854002</v>
      </c>
      <c r="I95" s="3">
        <v>2.7569921907880999</v>
      </c>
      <c r="J95" s="3">
        <v>7.2273972602740004</v>
      </c>
      <c r="K95" s="3">
        <v>6.3020799927782001</v>
      </c>
      <c r="L95" s="2" t="s">
        <v>371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100.864</v>
      </c>
      <c r="H96" s="3">
        <v>2.0175488491808</v>
      </c>
      <c r="I96" s="3">
        <v>1.6050483097170001</v>
      </c>
      <c r="J96" s="3">
        <v>0.76164383561644</v>
      </c>
      <c r="K96" s="3">
        <v>0.73902356705695005</v>
      </c>
      <c r="L96" s="2" t="s">
        <v>371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100.617</v>
      </c>
      <c r="H97" s="3">
        <v>2.0885601270415002</v>
      </c>
      <c r="I97" s="3">
        <v>1.6462034649885999</v>
      </c>
      <c r="J97" s="3">
        <v>0.43013698630136998</v>
      </c>
      <c r="K97" s="3">
        <v>0.42141129885223</v>
      </c>
      <c r="L97" s="2" t="s">
        <v>371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99.963999999999999</v>
      </c>
      <c r="H98" s="3">
        <v>2.0221410071046999</v>
      </c>
      <c r="I98" s="3">
        <v>1.7874756384656001</v>
      </c>
      <c r="J98" s="3">
        <v>0.18356164383561999</v>
      </c>
      <c r="K98" s="3">
        <v>0.17993800834470999</v>
      </c>
      <c r="L98" s="2" t="s">
        <v>371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101.48</v>
      </c>
      <c r="H99" s="3">
        <v>1.9923893924011</v>
      </c>
      <c r="I99" s="3">
        <v>1.6049550176264</v>
      </c>
      <c r="J99" s="3">
        <v>1.3424657534247</v>
      </c>
      <c r="K99" s="3">
        <v>1.2942485309588001</v>
      </c>
      <c r="L99" s="2" t="s">
        <v>371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100.54</v>
      </c>
      <c r="H100" s="3">
        <v>3.0761236896750002</v>
      </c>
      <c r="I100" s="3">
        <v>2.6787216476500002</v>
      </c>
      <c r="J100" s="3">
        <v>6.5616438356164002</v>
      </c>
      <c r="K100" s="3">
        <v>5.7282474913726</v>
      </c>
      <c r="L100" s="2" t="s">
        <v>371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100.96</v>
      </c>
      <c r="H101" s="3">
        <v>2.0230133635745</v>
      </c>
      <c r="I101" s="3">
        <v>1.6983332087739</v>
      </c>
      <c r="J101" s="3">
        <v>1.8383561643835999</v>
      </c>
      <c r="K101" s="3">
        <v>1.7653121347711</v>
      </c>
      <c r="L101" s="2" t="s">
        <v>371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103.39</v>
      </c>
      <c r="H102" s="3">
        <v>2.2065337282785</v>
      </c>
      <c r="I102" s="3">
        <v>1.7735914137444</v>
      </c>
      <c r="J102" s="3">
        <v>2.9369863013698998</v>
      </c>
      <c r="K102" s="3">
        <v>2.760817621767</v>
      </c>
      <c r="L102" s="2" t="s">
        <v>371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103.77</v>
      </c>
      <c r="H103" s="3">
        <v>2.8964234608454</v>
      </c>
      <c r="I103" s="3">
        <v>2.4361613638108</v>
      </c>
      <c r="J103" s="3">
        <v>4.8630136986301</v>
      </c>
      <c r="K103" s="3">
        <v>4.3561000315970997</v>
      </c>
      <c r="L103" s="2" t="s">
        <v>371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103.77</v>
      </c>
      <c r="H104" s="3">
        <v>3.0302719282100998</v>
      </c>
      <c r="I104" s="3">
        <v>2.5578549917336</v>
      </c>
      <c r="J104" s="3">
        <v>4.8630136986301</v>
      </c>
      <c r="K104" s="3">
        <v>4.3512436938794998</v>
      </c>
      <c r="L104" s="2" t="s">
        <v>371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105.74</v>
      </c>
      <c r="H105" s="3">
        <v>2.6083810390502999</v>
      </c>
      <c r="I105" s="3">
        <v>2.0763672472938</v>
      </c>
      <c r="J105" s="3">
        <v>3.4630136986301001</v>
      </c>
      <c r="K105" s="3">
        <v>3.1607850861619999</v>
      </c>
      <c r="L105" s="2" t="s">
        <v>371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105.74</v>
      </c>
      <c r="H106" s="3">
        <v>2.7447706482816998</v>
      </c>
      <c r="I106" s="3">
        <v>2.2020110642774999</v>
      </c>
      <c r="J106" s="3">
        <v>3.4630136986301001</v>
      </c>
      <c r="K106" s="3">
        <v>3.1569368753922999</v>
      </c>
      <c r="L106" s="2" t="s">
        <v>371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103.45</v>
      </c>
      <c r="H107" s="3">
        <v>2.2958090122424002</v>
      </c>
      <c r="I107" s="3">
        <v>1.8084205960290001</v>
      </c>
      <c r="J107" s="3">
        <v>2.1342465753425</v>
      </c>
      <c r="K107" s="3">
        <v>2.0040340226025002</v>
      </c>
      <c r="L107" s="2" t="s">
        <v>371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103.45</v>
      </c>
      <c r="H108" s="3">
        <v>2.5226651536403</v>
      </c>
      <c r="I108" s="3">
        <v>2.0211225675816</v>
      </c>
      <c r="J108" s="3">
        <v>2.1342465753425</v>
      </c>
      <c r="K108" s="3">
        <v>1.9997257434377</v>
      </c>
      <c r="L108" s="2" t="s">
        <v>371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103.22</v>
      </c>
      <c r="H109" s="3">
        <v>3.0098948365992002</v>
      </c>
      <c r="I109" s="3">
        <v>2.5517382611660002</v>
      </c>
      <c r="J109" s="3">
        <v>5.0547945205479001</v>
      </c>
      <c r="K109" s="3">
        <v>4.4965614646579999</v>
      </c>
      <c r="L109" s="2" t="s">
        <v>371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103.22</v>
      </c>
      <c r="H110" s="3">
        <v>3.156881843316</v>
      </c>
      <c r="I110" s="3">
        <v>2.6847894568273998</v>
      </c>
      <c r="J110" s="3">
        <v>5.0547945205479001</v>
      </c>
      <c r="K110" s="3">
        <v>4.4911276437821002</v>
      </c>
      <c r="L110" s="2" t="s">
        <v>371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</v>
      </c>
      <c r="H111" s="3">
        <v>4.8226031848815003</v>
      </c>
      <c r="I111" s="3">
        <v>4.4923184477728002</v>
      </c>
      <c r="J111" s="3">
        <v>31.076712328767002</v>
      </c>
      <c r="K111" s="3">
        <v>5.7085308757327002</v>
      </c>
      <c r="L111" s="2" t="s">
        <v>371</v>
      </c>
      <c r="M11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E6ED-65B7-D74E-BEDB-E83B4E4B0C84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117.85</v>
      </c>
      <c r="H2" s="3">
        <v>3.1617609930857999</v>
      </c>
      <c r="I2" s="3">
        <v>2.5008644352448002</v>
      </c>
      <c r="J2" s="3">
        <v>7.7698630136986004</v>
      </c>
      <c r="K2" s="3">
        <v>6.2346305117918996</v>
      </c>
      <c r="L2" s="2" t="s">
        <v>374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100.68</v>
      </c>
      <c r="H3" s="3">
        <v>1.8757821163915001</v>
      </c>
      <c r="I3" s="3">
        <v>1.5848793006535999</v>
      </c>
      <c r="J3" s="3">
        <v>2.0931506849315</v>
      </c>
      <c r="K3" s="3">
        <v>2.0020998355038002</v>
      </c>
      <c r="L3" s="2" t="s">
        <v>374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100</v>
      </c>
      <c r="H4" s="3">
        <v>2.0080685013799999</v>
      </c>
      <c r="I4" s="3">
        <v>1.7511809891248</v>
      </c>
      <c r="J4" s="3">
        <v>2.7643835616437999</v>
      </c>
      <c r="K4" s="3">
        <v>2.6381122900061</v>
      </c>
      <c r="L4" s="2" t="s">
        <v>374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102.58</v>
      </c>
      <c r="H5" s="3">
        <v>2.3731375762754001</v>
      </c>
      <c r="I5" s="3">
        <v>1.9998157792755</v>
      </c>
      <c r="J5" s="3">
        <v>4.2630136986301004</v>
      </c>
      <c r="K5" s="3">
        <v>3.9173648441641</v>
      </c>
      <c r="L5" s="2" t="s">
        <v>374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102.92</v>
      </c>
      <c r="H6" s="3">
        <v>3.9172628933578002</v>
      </c>
      <c r="I6" s="3">
        <v>3.3969801695977999</v>
      </c>
      <c r="J6" s="3">
        <v>14.435616438356</v>
      </c>
      <c r="K6" s="3">
        <v>10.617373737854001</v>
      </c>
      <c r="L6" s="2" t="s">
        <v>374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87.23</v>
      </c>
      <c r="H7" s="3">
        <v>2.8600327225158999</v>
      </c>
      <c r="I7" s="3">
        <v>2.7777321418196999</v>
      </c>
      <c r="J7" s="3">
        <v>6.2630136986301004</v>
      </c>
      <c r="K7" s="3">
        <v>5.9661311321612001</v>
      </c>
      <c r="L7" s="2" t="s">
        <v>374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109.32</v>
      </c>
      <c r="H8" s="3">
        <v>4.0874539241788002</v>
      </c>
      <c r="I8" s="3">
        <v>3.5136916436341998</v>
      </c>
      <c r="J8" s="3">
        <v>19.358904109589002</v>
      </c>
      <c r="K8" s="3">
        <v>12.582462567456</v>
      </c>
      <c r="L8" s="2" t="s">
        <v>374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104.66</v>
      </c>
      <c r="H9" s="3">
        <v>2.4868108462990999</v>
      </c>
      <c r="I9" s="3">
        <v>2.0531720336302999</v>
      </c>
      <c r="J9" s="3">
        <v>4.8438356164384002</v>
      </c>
      <c r="K9" s="3">
        <v>4.3759762033343002</v>
      </c>
      <c r="L9" s="2" t="s">
        <v>374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91.97</v>
      </c>
      <c r="H10" s="3">
        <v>2.9744848658682002</v>
      </c>
      <c r="I10" s="3">
        <v>2.7530060473490998</v>
      </c>
      <c r="J10" s="3">
        <v>6.8465753424656999</v>
      </c>
      <c r="K10" s="3">
        <v>6.2793859094388997</v>
      </c>
      <c r="L10" s="2" t="s">
        <v>374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99.77</v>
      </c>
      <c r="H11" s="3">
        <v>1.8214815425329001</v>
      </c>
      <c r="I11" s="3">
        <v>1.6195079494574001</v>
      </c>
      <c r="J11" s="3">
        <v>1.0931506849315</v>
      </c>
      <c r="K11" s="3">
        <v>1.0619466576072001</v>
      </c>
      <c r="L11" s="2" t="s">
        <v>374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87.71</v>
      </c>
      <c r="H12" s="3">
        <v>3.6059373147114</v>
      </c>
      <c r="I12" s="3">
        <v>3.2957989684191</v>
      </c>
      <c r="J12" s="3">
        <v>11.353424657533999</v>
      </c>
      <c r="K12" s="3">
        <v>9.5899780300947004</v>
      </c>
      <c r="L12" s="2" t="s">
        <v>374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90.05</v>
      </c>
      <c r="H13" s="3">
        <v>4.1657362983638002</v>
      </c>
      <c r="I13" s="3">
        <v>3.6943952328934002</v>
      </c>
      <c r="J13" s="3">
        <v>22.857534246575</v>
      </c>
      <c r="K13" s="3">
        <v>14.866930945722</v>
      </c>
      <c r="L13" s="2" t="s">
        <v>374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91.29</v>
      </c>
      <c r="H14" s="3">
        <v>3.9117903456904002</v>
      </c>
      <c r="I14" s="3">
        <v>3.4942569104340002</v>
      </c>
      <c r="J14" s="3">
        <v>14.852054794520001</v>
      </c>
      <c r="K14" s="3">
        <v>11.349971958117001</v>
      </c>
      <c r="L14" s="2" t="s">
        <v>374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98.281999999999996</v>
      </c>
      <c r="H15" s="3">
        <v>1.8618083527066001</v>
      </c>
      <c r="I15" s="3">
        <v>1.8490792181663001</v>
      </c>
      <c r="J15" s="3">
        <v>0.92602739726026995</v>
      </c>
      <c r="K15" s="3">
        <v>0.90932620984488</v>
      </c>
      <c r="L15" s="2" t="s">
        <v>374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60.7</v>
      </c>
      <c r="H16" s="3">
        <v>4.0567001671240996</v>
      </c>
      <c r="I16" s="3">
        <v>3.6634269432965998</v>
      </c>
      <c r="J16" s="3">
        <v>46.873972602739997</v>
      </c>
      <c r="K16" s="3">
        <v>23.397325985390001</v>
      </c>
      <c r="L16" s="2" t="s">
        <v>374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94.94</v>
      </c>
      <c r="H17" s="3">
        <v>3.7825209939388</v>
      </c>
      <c r="I17" s="3">
        <v>3.3546511640276999</v>
      </c>
      <c r="J17" s="3">
        <v>12.849315068493</v>
      </c>
      <c r="K17" s="3">
        <v>10.098399841953</v>
      </c>
      <c r="L17" s="2" t="s">
        <v>374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98.54</v>
      </c>
      <c r="H18" s="3">
        <v>1.8840791309447</v>
      </c>
      <c r="I18" s="3">
        <v>1.7440634257609999</v>
      </c>
      <c r="J18" s="3">
        <v>1.9260273972602999</v>
      </c>
      <c r="K18" s="3">
        <v>1.8742350019303</v>
      </c>
      <c r="L18" s="2" t="s">
        <v>374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103.61</v>
      </c>
      <c r="H19" s="3">
        <v>2.4474138775831999</v>
      </c>
      <c r="I19" s="3">
        <v>2.0293101538842002</v>
      </c>
      <c r="J19" s="3">
        <v>4.1780821917808</v>
      </c>
      <c r="K19" s="3">
        <v>3.8087990694239999</v>
      </c>
      <c r="L19" s="2" t="s">
        <v>374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103.75</v>
      </c>
      <c r="H20" s="3">
        <v>3.3957337231013001</v>
      </c>
      <c r="I20" s="3">
        <v>2.9158787398785999</v>
      </c>
      <c r="J20" s="3">
        <v>9.1808219178081991</v>
      </c>
      <c r="K20" s="3">
        <v>7.5089676249627004</v>
      </c>
      <c r="L20" s="2" t="s">
        <v>374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94.48</v>
      </c>
      <c r="H21" s="3">
        <v>2.7356239080393001</v>
      </c>
      <c r="I21" s="3">
        <v>2.5153382707273999</v>
      </c>
      <c r="J21" s="3">
        <v>5.5972602739725996</v>
      </c>
      <c r="K21" s="3">
        <v>5.1848056843970003</v>
      </c>
      <c r="L21" s="2" t="s">
        <v>374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88.28</v>
      </c>
      <c r="H22" s="3">
        <v>2.9362160807405999</v>
      </c>
      <c r="I22" s="3">
        <v>2.8064653972914999</v>
      </c>
      <c r="J22" s="3">
        <v>6.5972602739725996</v>
      </c>
      <c r="K22" s="3">
        <v>6.1859392179601</v>
      </c>
      <c r="L22" s="2" t="s">
        <v>374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105.03</v>
      </c>
      <c r="H23" s="3">
        <v>2.2046484691693</v>
      </c>
      <c r="I23" s="3">
        <v>1.7391142675344999</v>
      </c>
      <c r="J23" s="3">
        <v>3.2630136986300999</v>
      </c>
      <c r="K23" s="3">
        <v>3.0128117606368998</v>
      </c>
      <c r="L23" s="2" t="s">
        <v>374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113.1</v>
      </c>
      <c r="H24" s="3">
        <v>3.3695065551604002</v>
      </c>
      <c r="I24" s="3">
        <v>2.7777288485030001</v>
      </c>
      <c r="J24" s="3">
        <v>9.2657534246575004</v>
      </c>
      <c r="K24" s="3">
        <v>7.3268048538996</v>
      </c>
      <c r="L24" s="2" t="s">
        <v>374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103.85</v>
      </c>
      <c r="H25" s="3">
        <v>3.6238207031209999</v>
      </c>
      <c r="I25" s="3">
        <v>3.1272701496945001</v>
      </c>
      <c r="J25" s="3">
        <v>11.772602739726</v>
      </c>
      <c r="K25" s="3">
        <v>9.1403271934833992</v>
      </c>
      <c r="L25" s="2" t="s">
        <v>374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112.66</v>
      </c>
      <c r="H26" s="3">
        <v>3.8732821469110998</v>
      </c>
      <c r="I26" s="3">
        <v>3.2825803645764999</v>
      </c>
      <c r="J26" s="3">
        <v>14.268493150685</v>
      </c>
      <c r="K26" s="3">
        <v>10.126781774414001</v>
      </c>
      <c r="L26" s="2" t="s">
        <v>374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99.11</v>
      </c>
      <c r="H27" s="3">
        <v>1.8259149118542</v>
      </c>
      <c r="I27" s="3">
        <v>1.6675444081944999</v>
      </c>
      <c r="J27" s="3">
        <v>1.5945205479452</v>
      </c>
      <c r="K27" s="3">
        <v>1.5475861258935</v>
      </c>
      <c r="L27" s="2" t="s">
        <v>374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102.12</v>
      </c>
      <c r="H28" s="3">
        <v>2.1926109792765001</v>
      </c>
      <c r="I28" s="3">
        <v>1.8391574290416</v>
      </c>
      <c r="J28" s="3">
        <v>3.5972602739726001</v>
      </c>
      <c r="K28" s="3">
        <v>3.3384160688570002</v>
      </c>
      <c r="L28" s="2" t="s">
        <v>374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98.94</v>
      </c>
      <c r="H29" s="3">
        <v>1.8737280431590999</v>
      </c>
      <c r="I29" s="3">
        <v>1.8034220011157001</v>
      </c>
      <c r="J29" s="3">
        <v>0.76438356164384003</v>
      </c>
      <c r="K29" s="3">
        <v>0.75193524998077999</v>
      </c>
      <c r="L29" s="2" t="s">
        <v>374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97.77</v>
      </c>
      <c r="H30" s="3">
        <v>1.7977052195151</v>
      </c>
      <c r="I30" s="3">
        <v>1.7955834692799999</v>
      </c>
      <c r="J30" s="3">
        <v>1.2602739726026999</v>
      </c>
      <c r="K30" s="3">
        <v>1.2434007445729001</v>
      </c>
      <c r="L30" s="2" t="s">
        <v>374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103.29</v>
      </c>
      <c r="H31" s="3">
        <v>3.4767611915416001</v>
      </c>
      <c r="I31" s="3">
        <v>2.9973931446494002</v>
      </c>
      <c r="J31" s="3">
        <v>9.7698630136986004</v>
      </c>
      <c r="K31" s="3">
        <v>7.9189231929307997</v>
      </c>
      <c r="L31" s="2" t="s">
        <v>374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112.28</v>
      </c>
      <c r="H32" s="3">
        <v>3.9603488101000002</v>
      </c>
      <c r="I32" s="3">
        <v>3.3671792201977002</v>
      </c>
      <c r="J32" s="3">
        <v>15.356164383562</v>
      </c>
      <c r="K32" s="3">
        <v>10.687992903796999</v>
      </c>
      <c r="L32" s="2" t="s">
        <v>374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102.098</v>
      </c>
      <c r="H33" s="3">
        <v>1.9497394557623</v>
      </c>
      <c r="I33" s="3">
        <v>1.4028934996214999</v>
      </c>
      <c r="J33" s="3">
        <v>0.84109589041096</v>
      </c>
      <c r="K33" s="3">
        <v>0.81726773556154997</v>
      </c>
      <c r="L33" s="2" t="s">
        <v>374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88</v>
      </c>
      <c r="H34" s="3">
        <v>4.1366264711534999</v>
      </c>
      <c r="I34" s="3">
        <v>3.6879250891424999</v>
      </c>
      <c r="J34" s="3">
        <v>21.358904109589002</v>
      </c>
      <c r="K34" s="3">
        <v>14.440329296291001</v>
      </c>
      <c r="L34" s="2" t="s">
        <v>374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100.06</v>
      </c>
      <c r="H35" s="3">
        <v>1.8687178669222999</v>
      </c>
      <c r="I35" s="3">
        <v>1.6226403734232</v>
      </c>
      <c r="J35" s="3">
        <v>0.59452054794521003</v>
      </c>
      <c r="K35" s="3">
        <v>0.57888275462403005</v>
      </c>
      <c r="L35" s="2" t="s">
        <v>374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72.400000000000006</v>
      </c>
      <c r="H36" s="3">
        <v>4.2488820733977004</v>
      </c>
      <c r="I36" s="3">
        <v>3.7977847919097001</v>
      </c>
      <c r="J36" s="3">
        <v>41.868493150684998</v>
      </c>
      <c r="K36" s="3">
        <v>20.785942967050001</v>
      </c>
      <c r="L36" s="2" t="s">
        <v>374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94.58</v>
      </c>
      <c r="H37" s="3">
        <v>3.2172349094564998</v>
      </c>
      <c r="I37" s="3">
        <v>2.8924957282129999</v>
      </c>
      <c r="J37" s="3">
        <v>8.3506849315067999</v>
      </c>
      <c r="K37" s="3">
        <v>7.3116195631630001</v>
      </c>
      <c r="L37" s="2" t="s">
        <v>374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91.53</v>
      </c>
      <c r="H38" s="3">
        <v>3.7951388703868001</v>
      </c>
      <c r="I38" s="3">
        <v>3.3994595890214998</v>
      </c>
      <c r="J38" s="3">
        <v>13.353424657533999</v>
      </c>
      <c r="K38" s="3">
        <v>10.556823936104999</v>
      </c>
      <c r="L38" s="2" t="s">
        <v>374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99.47</v>
      </c>
      <c r="H39" s="3">
        <v>3.4408462323911002</v>
      </c>
      <c r="I39" s="3">
        <v>3.0124149882947999</v>
      </c>
      <c r="J39" s="3">
        <v>9.8465753424656999</v>
      </c>
      <c r="K39" s="3">
        <v>8.1413207240378007</v>
      </c>
      <c r="L39" s="2" t="s">
        <v>374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95.15</v>
      </c>
      <c r="H40" s="3">
        <v>4.2087396616369004</v>
      </c>
      <c r="I40" s="3">
        <v>3.7016253685686</v>
      </c>
      <c r="J40" s="3">
        <v>24.361643835616</v>
      </c>
      <c r="K40" s="3">
        <v>15.059010786002</v>
      </c>
      <c r="L40" s="2" t="s">
        <v>374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94.54</v>
      </c>
      <c r="H41" s="3">
        <v>2.5505925403987</v>
      </c>
      <c r="I41" s="3">
        <v>2.3744129773417</v>
      </c>
      <c r="J41" s="3">
        <v>4.9287671232876997</v>
      </c>
      <c r="K41" s="3">
        <v>4.6564687921457999</v>
      </c>
      <c r="L41" s="2" t="s">
        <v>374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73.42</v>
      </c>
      <c r="H42" s="3">
        <v>4.1959892518046003</v>
      </c>
      <c r="I42" s="3">
        <v>3.8149856566789002</v>
      </c>
      <c r="J42" s="3">
        <v>25.361643835616</v>
      </c>
      <c r="K42" s="3">
        <v>16.972730963416002</v>
      </c>
      <c r="L42" s="2" t="s">
        <v>374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61.77</v>
      </c>
      <c r="H43" s="3">
        <v>4.1205992920692998</v>
      </c>
      <c r="I43" s="3">
        <v>3.8259569518380001</v>
      </c>
      <c r="J43" s="3">
        <v>26.361643835616</v>
      </c>
      <c r="K43" s="3">
        <v>18.780677120455</v>
      </c>
      <c r="L43" s="2" t="s">
        <v>374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104.99</v>
      </c>
      <c r="H44" s="3">
        <v>4.0990682434572001</v>
      </c>
      <c r="I44" s="3">
        <v>3.5485668683821001</v>
      </c>
      <c r="J44" s="3">
        <v>18.356164383562</v>
      </c>
      <c r="K44" s="3">
        <v>12.300160872154001</v>
      </c>
      <c r="L44" s="2" t="s">
        <v>374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106.85</v>
      </c>
      <c r="H45" s="3">
        <v>3.3253166480147001</v>
      </c>
      <c r="I45" s="3">
        <v>2.8128867707923999</v>
      </c>
      <c r="J45" s="3">
        <v>8.8465753424656999</v>
      </c>
      <c r="K45" s="3">
        <v>7.2485130364004</v>
      </c>
      <c r="L45" s="2" t="s">
        <v>374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89.75</v>
      </c>
      <c r="H46" s="3">
        <v>2.8065361385948999</v>
      </c>
      <c r="I46" s="3">
        <v>2.6855174809502</v>
      </c>
      <c r="J46" s="3">
        <v>5.9287671232876997</v>
      </c>
      <c r="K46" s="3">
        <v>5.6150836653120999</v>
      </c>
      <c r="L46" s="2" t="s">
        <v>374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86.96</v>
      </c>
      <c r="H47" s="3">
        <v>3.0251205168776001</v>
      </c>
      <c r="I47" s="3">
        <v>2.8853493062587998</v>
      </c>
      <c r="J47" s="3">
        <v>7.0986301369862996</v>
      </c>
      <c r="K47" s="3">
        <v>6.6306809794876997</v>
      </c>
      <c r="L47" s="2" t="s">
        <v>374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108.67</v>
      </c>
      <c r="H48" s="3">
        <v>3.1871247697417</v>
      </c>
      <c r="I48" s="3">
        <v>2.6560752356053001</v>
      </c>
      <c r="J48" s="3">
        <v>8.0136986301370001</v>
      </c>
      <c r="K48" s="3">
        <v>6.5574274847974996</v>
      </c>
      <c r="L48" s="2" t="s">
        <v>374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108.05</v>
      </c>
      <c r="H49" s="3">
        <v>1.813883628658</v>
      </c>
      <c r="I49" s="3">
        <v>0.95062711443134995</v>
      </c>
      <c r="J49" s="3">
        <v>1.5123287671233001</v>
      </c>
      <c r="K49" s="3">
        <v>1.3929713242355</v>
      </c>
      <c r="L49" s="2" t="s">
        <v>374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111.06</v>
      </c>
      <c r="H50" s="3">
        <v>1.9655035126414999</v>
      </c>
      <c r="I50" s="3">
        <v>1.1995995654806</v>
      </c>
      <c r="J50" s="3">
        <v>2.5123287671233001</v>
      </c>
      <c r="K50" s="3">
        <v>2.2577539162845</v>
      </c>
      <c r="L50" s="2" t="s">
        <v>374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112.13</v>
      </c>
      <c r="H51" s="3">
        <v>2.4056978257892001</v>
      </c>
      <c r="I51" s="3">
        <v>1.7860717371121999</v>
      </c>
      <c r="J51" s="3">
        <v>4.5150684931507001</v>
      </c>
      <c r="K51" s="3">
        <v>3.9217595130456999</v>
      </c>
      <c r="L51" s="2" t="s">
        <v>374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117.93</v>
      </c>
      <c r="H52" s="3">
        <v>2.7584496053076002</v>
      </c>
      <c r="I52" s="3">
        <v>2.0701397588043999</v>
      </c>
      <c r="J52" s="3">
        <v>6.0109589041096001</v>
      </c>
      <c r="K52" s="3">
        <v>4.9560173032243</v>
      </c>
      <c r="L52" s="2" t="s">
        <v>374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91.8</v>
      </c>
      <c r="H53" s="3">
        <v>2.6454412379778001</v>
      </c>
      <c r="I53" s="3">
        <v>2.5141496088584998</v>
      </c>
      <c r="J53" s="3">
        <v>5.2630136986301004</v>
      </c>
      <c r="K53" s="3">
        <v>4.9953144543423003</v>
      </c>
      <c r="L53" s="2" t="s">
        <v>374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108.06</v>
      </c>
      <c r="H54" s="3">
        <v>3.0591150779178999</v>
      </c>
      <c r="I54" s="3">
        <v>2.5552098445224001</v>
      </c>
      <c r="J54" s="3">
        <v>8.5178082191781002</v>
      </c>
      <c r="K54" s="3">
        <v>6.9180599253819999</v>
      </c>
      <c r="L54" s="2" t="s">
        <v>374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3.5972659986863</v>
      </c>
      <c r="I55" s="3">
        <v>3.1413208709843001</v>
      </c>
      <c r="J55" s="3">
        <v>10.432876712329</v>
      </c>
      <c r="K55" s="3">
        <v>8.4904842950914006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102.14</v>
      </c>
      <c r="H56" s="3">
        <v>2.4992885630158002</v>
      </c>
      <c r="I56" s="3">
        <v>2.1189652370487999</v>
      </c>
      <c r="J56" s="3">
        <v>4.4301369863013997</v>
      </c>
      <c r="K56" s="3">
        <v>4.0745523247613002</v>
      </c>
      <c r="L56" s="2" t="s">
        <v>374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106.36</v>
      </c>
      <c r="H57" s="3">
        <v>2.3346136673222002</v>
      </c>
      <c r="I57" s="3">
        <v>1.8096493761187</v>
      </c>
      <c r="J57" s="3">
        <v>3.7671232876712</v>
      </c>
      <c r="K57" s="3">
        <v>3.4269607438402998</v>
      </c>
      <c r="L57" s="2" t="s">
        <v>374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101.3</v>
      </c>
      <c r="H58" s="3">
        <v>2.6963575456192999</v>
      </c>
      <c r="I58" s="3">
        <v>2.3259144300150001</v>
      </c>
      <c r="J58" s="3">
        <v>5.1780821917808</v>
      </c>
      <c r="K58" s="3">
        <v>4.6948757216782999</v>
      </c>
      <c r="L58" s="2" t="s">
        <v>374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96.05</v>
      </c>
      <c r="H59" s="3">
        <v>3.1083724480076</v>
      </c>
      <c r="I59" s="3">
        <v>2.7607406601361002</v>
      </c>
      <c r="J59" s="3">
        <v>7.6</v>
      </c>
      <c r="K59" s="3">
        <v>6.6736005066785999</v>
      </c>
      <c r="L59" s="2" t="s">
        <v>374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100.3</v>
      </c>
      <c r="H60" s="3">
        <v>1.921915168168</v>
      </c>
      <c r="I60" s="3">
        <v>1.6542564420023</v>
      </c>
      <c r="J60" s="3">
        <v>2.2602739726026999</v>
      </c>
      <c r="K60" s="3">
        <v>2.1712207820317002</v>
      </c>
      <c r="L60" s="2" t="s">
        <v>374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101.61</v>
      </c>
      <c r="H61" s="3">
        <v>2.0185651530392001</v>
      </c>
      <c r="I61" s="3">
        <v>1.6795416336014</v>
      </c>
      <c r="J61" s="3">
        <v>2.5945205479452</v>
      </c>
      <c r="K61" s="3">
        <v>2.4497340472501001</v>
      </c>
      <c r="L61" s="2" t="s">
        <v>374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80.06</v>
      </c>
      <c r="H62" s="3">
        <v>4.1280439647772997</v>
      </c>
      <c r="I62" s="3">
        <v>3.7320623136572002</v>
      </c>
      <c r="J62" s="3">
        <v>21.854794520548001</v>
      </c>
      <c r="K62" s="3">
        <v>15.208498241997001</v>
      </c>
      <c r="L62" s="2" t="s">
        <v>374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2.7141622570199</v>
      </c>
      <c r="I63" s="3">
        <v>2.3750666050154998</v>
      </c>
      <c r="J63" s="3">
        <v>5.4301369863013997</v>
      </c>
      <c r="K63" s="3">
        <v>4.9669045872663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74.37</v>
      </c>
      <c r="H64" s="3">
        <v>3.6620965732956998</v>
      </c>
      <c r="I64" s="3">
        <v>3.5161915819274001</v>
      </c>
      <c r="J64" s="3">
        <v>11.849315068493</v>
      </c>
      <c r="K64" s="3">
        <v>10.694769505635</v>
      </c>
      <c r="L64" s="2" t="s">
        <v>374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67.2</v>
      </c>
      <c r="H65" s="3">
        <v>4.2120348223292998</v>
      </c>
      <c r="I65" s="3">
        <v>3.8592578713996</v>
      </c>
      <c r="J65" s="3">
        <v>27.364383561644001</v>
      </c>
      <c r="K65" s="3">
        <v>18.226535713756</v>
      </c>
      <c r="L65" s="2" t="s">
        <v>374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101.79</v>
      </c>
      <c r="H66" s="3">
        <v>1.9405269036338999</v>
      </c>
      <c r="I66" s="3">
        <v>1.5663759891286</v>
      </c>
      <c r="J66" s="3">
        <v>1.8027397260274001</v>
      </c>
      <c r="K66" s="3">
        <v>1.7265356911516001</v>
      </c>
      <c r="L66" s="2" t="s">
        <v>374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101.27</v>
      </c>
      <c r="H67" s="3">
        <v>3.5303827882893999</v>
      </c>
      <c r="I67" s="3">
        <v>3.0660834056090001</v>
      </c>
      <c r="J67" s="3">
        <v>10.265753424658</v>
      </c>
      <c r="K67" s="3">
        <v>8.3014585943727006</v>
      </c>
      <c r="L67" s="2" t="s">
        <v>374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100.33</v>
      </c>
      <c r="H68" s="3">
        <v>1.8342489553240999</v>
      </c>
      <c r="I68" s="3">
        <v>1.5700091945017001</v>
      </c>
      <c r="J68" s="3">
        <v>1.2136986301370001</v>
      </c>
      <c r="K68" s="3">
        <v>1.1766604468477999</v>
      </c>
      <c r="L68" s="2" t="s">
        <v>374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103.16</v>
      </c>
      <c r="H69" s="3">
        <v>2.9105718776169001</v>
      </c>
      <c r="I69" s="3">
        <v>2.4815083934683999</v>
      </c>
      <c r="J69" s="3">
        <v>6.2164383561644003</v>
      </c>
      <c r="K69" s="3">
        <v>5.4485549964656999</v>
      </c>
      <c r="L69" s="2" t="s">
        <v>374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74.95</v>
      </c>
      <c r="H70" s="3">
        <v>3.9768470367609998</v>
      </c>
      <c r="I70" s="3">
        <v>3.7051647478112</v>
      </c>
      <c r="J70" s="3">
        <v>15.852054794520001</v>
      </c>
      <c r="K70" s="3">
        <v>12.904977435611</v>
      </c>
      <c r="L70" s="2" t="s">
        <v>374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106.47</v>
      </c>
      <c r="H71" s="3">
        <v>2.7500590234664002</v>
      </c>
      <c r="I71" s="3">
        <v>2.2624380135229001</v>
      </c>
      <c r="J71" s="3">
        <v>5.5534246575342001</v>
      </c>
      <c r="K71" s="3">
        <v>4.8377541703063001</v>
      </c>
      <c r="L71" s="2" t="s">
        <v>374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98.38</v>
      </c>
      <c r="H72" s="3">
        <v>1.8188398702527999</v>
      </c>
      <c r="I72" s="3">
        <v>1.7044935638942</v>
      </c>
      <c r="J72" s="3">
        <v>1.7178082191780999</v>
      </c>
      <c r="K72" s="3">
        <v>1.6745152061488</v>
      </c>
      <c r="L72" s="2" t="s">
        <v>374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93.43</v>
      </c>
      <c r="H73" s="3">
        <v>2.2737127701295998</v>
      </c>
      <c r="I73" s="3">
        <v>2.1980911693228</v>
      </c>
      <c r="J73" s="3">
        <v>3.8054794520547999</v>
      </c>
      <c r="K73" s="3">
        <v>3.6888381461697999</v>
      </c>
      <c r="L73" s="2" t="s">
        <v>374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105.85</v>
      </c>
      <c r="H74" s="3">
        <v>2.5147898627169001</v>
      </c>
      <c r="I74" s="3">
        <v>2.0448531582778</v>
      </c>
      <c r="J74" s="3">
        <v>4.6356164383562</v>
      </c>
      <c r="K74" s="3">
        <v>4.1461504701834002</v>
      </c>
      <c r="L74" s="2" t="s">
        <v>374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101.64</v>
      </c>
      <c r="H75" s="3">
        <v>2.0234507726677</v>
      </c>
      <c r="I75" s="3">
        <v>1.6847567802746</v>
      </c>
      <c r="J75" s="3">
        <v>2.4657534246575001</v>
      </c>
      <c r="K75" s="3">
        <v>2.3530248571386001</v>
      </c>
      <c r="L75" s="2" t="s">
        <v>374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103.66</v>
      </c>
      <c r="H76" s="3">
        <v>2.8264478742774002</v>
      </c>
      <c r="I76" s="3">
        <v>2.3912129142801</v>
      </c>
      <c r="J76" s="3">
        <v>5.8054794520547999</v>
      </c>
      <c r="K76" s="3">
        <v>5.1400687239867997</v>
      </c>
      <c r="L76" s="2" t="s">
        <v>374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101.764</v>
      </c>
      <c r="H77" s="3">
        <v>1.9265765419472001</v>
      </c>
      <c r="I77" s="3">
        <v>1.4607567695546999</v>
      </c>
      <c r="J77" s="3">
        <v>0.96438356164383998</v>
      </c>
      <c r="K77" s="3">
        <v>0.93735666759526004</v>
      </c>
      <c r="L77" s="2" t="s">
        <v>374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101.74</v>
      </c>
      <c r="H78" s="3">
        <v>2.3676517249005</v>
      </c>
      <c r="I78" s="3">
        <v>2.0176560533650001</v>
      </c>
      <c r="J78" s="3">
        <v>4.1342465753425</v>
      </c>
      <c r="K78" s="3">
        <v>3.8060987825297001</v>
      </c>
      <c r="L78" s="2" t="s">
        <v>374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97.84</v>
      </c>
      <c r="H79" s="3">
        <v>1.8883064183223</v>
      </c>
      <c r="I79" s="3">
        <v>1.7670659141417</v>
      </c>
      <c r="J79" s="3">
        <v>2.3835616438356002</v>
      </c>
      <c r="K79" s="3">
        <v>2.3159534572113998</v>
      </c>
      <c r="L79" s="2" t="s">
        <v>374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101.38</v>
      </c>
      <c r="H80" s="3">
        <v>2.2021794496022999</v>
      </c>
      <c r="I80" s="3">
        <v>1.8588518280852999</v>
      </c>
      <c r="J80" s="3">
        <v>3.1342465753425</v>
      </c>
      <c r="K80" s="3">
        <v>2.9547725463784</v>
      </c>
      <c r="L80" s="2" t="s">
        <v>374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105.07</v>
      </c>
      <c r="H81" s="3">
        <v>2.6501250173283002</v>
      </c>
      <c r="I81" s="3">
        <v>2.1689685025420999</v>
      </c>
      <c r="J81" s="3">
        <v>5.1342465753425</v>
      </c>
      <c r="K81" s="3">
        <v>4.5597115082156998</v>
      </c>
      <c r="L81" s="2" t="s">
        <v>374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94.98</v>
      </c>
      <c r="H82" s="3">
        <v>2.1302376771869</v>
      </c>
      <c r="I82" s="3">
        <v>2.0441274986868998</v>
      </c>
      <c r="J82" s="3">
        <v>3.2164383561643999</v>
      </c>
      <c r="K82" s="3">
        <v>3.1282029491277998</v>
      </c>
      <c r="L82" s="2" t="s">
        <v>374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103.2</v>
      </c>
      <c r="H83" s="3">
        <v>1.9770776623424</v>
      </c>
      <c r="I83" s="3">
        <v>1.5504646059528999</v>
      </c>
      <c r="J83" s="3">
        <v>2.2136986301369999</v>
      </c>
      <c r="K83" s="3">
        <v>2.0908530637584999</v>
      </c>
      <c r="L83" s="2" t="s">
        <v>374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102.59</v>
      </c>
      <c r="H84" s="3">
        <v>1.9431366756149</v>
      </c>
      <c r="I84" s="3">
        <v>1.4677783895651</v>
      </c>
      <c r="J84" s="3">
        <v>1.3835616438356</v>
      </c>
      <c r="K84" s="3">
        <v>1.3299677242075001</v>
      </c>
      <c r="L84" s="2" t="s">
        <v>374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100.3</v>
      </c>
      <c r="H85" s="3">
        <v>1.8875036883306999</v>
      </c>
      <c r="I85" s="3">
        <v>1.5820478289074</v>
      </c>
      <c r="J85" s="3">
        <v>0.55068493150685005</v>
      </c>
      <c r="K85" s="3">
        <v>0.53980415954486005</v>
      </c>
      <c r="L85" s="2" t="s">
        <v>374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99.71</v>
      </c>
      <c r="H86" s="3">
        <v>4.3606221024559</v>
      </c>
      <c r="I86" s="3">
        <v>3.8111565432505001</v>
      </c>
      <c r="J86" s="3">
        <v>29.446575342466002</v>
      </c>
      <c r="K86" s="3">
        <v>16.198070799949001</v>
      </c>
      <c r="L86" s="2" t="s">
        <v>374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101.053</v>
      </c>
      <c r="H87" s="3">
        <v>1.9777184528905001</v>
      </c>
      <c r="I87" s="3">
        <v>1.5470666507938999</v>
      </c>
      <c r="J87" s="3">
        <v>0.71780821917808002</v>
      </c>
      <c r="K87" s="3">
        <v>0.69560745820293002</v>
      </c>
      <c r="L87" s="2" t="s">
        <v>374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94.99</v>
      </c>
      <c r="H88" s="3">
        <v>2.0592668673499999</v>
      </c>
      <c r="I88" s="3">
        <v>2.0206063594567998</v>
      </c>
      <c r="J88" s="3">
        <v>2.8821917808219002</v>
      </c>
      <c r="K88" s="3">
        <v>2.8145756017564998</v>
      </c>
      <c r="L88" s="2" t="s">
        <v>374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81.209999999999994</v>
      </c>
      <c r="H89" s="3">
        <v>3.5806776908393001</v>
      </c>
      <c r="I89" s="3">
        <v>3.3709561949042999</v>
      </c>
      <c r="J89" s="3">
        <v>10.849315068493</v>
      </c>
      <c r="K89" s="3">
        <v>9.6028593566630995</v>
      </c>
      <c r="L89" s="2" t="s">
        <v>374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98.58</v>
      </c>
      <c r="H90" s="3">
        <v>4.0099779567041001</v>
      </c>
      <c r="I90" s="3">
        <v>3.5120650741944002</v>
      </c>
      <c r="J90" s="3">
        <v>15.438356164384</v>
      </c>
      <c r="K90" s="3">
        <v>11.267326330956999</v>
      </c>
      <c r="L90" s="2" t="s">
        <v>374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99.734999999999999</v>
      </c>
      <c r="H91" s="3">
        <v>2.0691576532117999</v>
      </c>
      <c r="I91" s="3">
        <v>1.9075955042188</v>
      </c>
      <c r="J91" s="3">
        <v>0.29863013698629998</v>
      </c>
      <c r="K91" s="3">
        <v>0.29261411620416</v>
      </c>
      <c r="L91" s="2" t="s">
        <v>374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9.8986301369863003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108.23</v>
      </c>
      <c r="H93" s="3">
        <v>2.1908299561527</v>
      </c>
      <c r="I93" s="3">
        <v>1.620211810399</v>
      </c>
      <c r="J93" s="3">
        <v>3.3479452054794998</v>
      </c>
      <c r="K93" s="3">
        <v>3.0573811799338002</v>
      </c>
      <c r="L93" s="2" t="s">
        <v>374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103.44</v>
      </c>
      <c r="H94" s="3">
        <v>4.3318983404451004</v>
      </c>
      <c r="I94" s="3">
        <v>3.7710192313730002</v>
      </c>
      <c r="J94" s="3">
        <v>28.446575342466002</v>
      </c>
      <c r="K94" s="3">
        <v>15.796958309721999</v>
      </c>
      <c r="L94" s="2" t="s">
        <v>374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101</v>
      </c>
      <c r="H95" s="3">
        <v>3.1169476984995002</v>
      </c>
      <c r="I95" s="3">
        <v>2.7072830083741999</v>
      </c>
      <c r="J95" s="3">
        <v>7.2191780821918003</v>
      </c>
      <c r="K95" s="3">
        <v>6.2985852696815003</v>
      </c>
      <c r="L95" s="2" t="s">
        <v>374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100.88800000000001</v>
      </c>
      <c r="H96" s="3">
        <v>1.9730362426021</v>
      </c>
      <c r="I96" s="3">
        <v>1.5607899659650999</v>
      </c>
      <c r="J96" s="3">
        <v>0.75342465753425003</v>
      </c>
      <c r="K96" s="3">
        <v>0.73128030177461001</v>
      </c>
      <c r="L96" s="2" t="s">
        <v>374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100.621</v>
      </c>
      <c r="H97" s="3">
        <v>2.0512881331304</v>
      </c>
      <c r="I97" s="3">
        <v>1.6091089046322999</v>
      </c>
      <c r="J97" s="3">
        <v>0.42191780821918001</v>
      </c>
      <c r="K97" s="3">
        <v>0.41350710716813999</v>
      </c>
      <c r="L97" s="2" t="s">
        <v>374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99.950999999999993</v>
      </c>
      <c r="H98" s="3">
        <v>2.1038451130203</v>
      </c>
      <c r="I98" s="3">
        <v>1.8692967853642</v>
      </c>
      <c r="J98" s="3">
        <v>0.17534246575342</v>
      </c>
      <c r="K98" s="3">
        <v>0.17174371509266001</v>
      </c>
      <c r="L98" s="2" t="s">
        <v>374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101.51</v>
      </c>
      <c r="H99" s="3">
        <v>1.9625459883906</v>
      </c>
      <c r="I99" s="3">
        <v>1.5752781641627001</v>
      </c>
      <c r="J99" s="3">
        <v>1.3342465753424999</v>
      </c>
      <c r="K99" s="3">
        <v>1.2865715873540999</v>
      </c>
      <c r="L99" s="2" t="s">
        <v>374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101.07</v>
      </c>
      <c r="H100" s="3">
        <v>2.9854290299601001</v>
      </c>
      <c r="I100" s="3">
        <v>2.5893854841191</v>
      </c>
      <c r="J100" s="3">
        <v>6.5534246575342001</v>
      </c>
      <c r="K100" s="3">
        <v>5.7275266809394996</v>
      </c>
      <c r="L100" s="2" t="s">
        <v>374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101.04</v>
      </c>
      <c r="H101" s="3">
        <v>1.9756516431902</v>
      </c>
      <c r="I101" s="3">
        <v>1.6512311841006</v>
      </c>
      <c r="J101" s="3">
        <v>1.8301369863014001</v>
      </c>
      <c r="K101" s="3">
        <v>1.7580913550491</v>
      </c>
      <c r="L101" s="2" t="s">
        <v>374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103.69</v>
      </c>
      <c r="H102" s="3">
        <v>2.0983412900045999</v>
      </c>
      <c r="I102" s="3">
        <v>1.666333059893</v>
      </c>
      <c r="J102" s="3">
        <v>2.9287671232877002</v>
      </c>
      <c r="K102" s="3">
        <v>2.7559090321917998</v>
      </c>
      <c r="L102" s="2" t="s">
        <v>374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104.13</v>
      </c>
      <c r="H103" s="3">
        <v>2.8167293692680002</v>
      </c>
      <c r="I103" s="3">
        <v>2.3574480945091998</v>
      </c>
      <c r="J103" s="3">
        <v>4.8547945205478999</v>
      </c>
      <c r="K103" s="3">
        <v>4.3522873956322998</v>
      </c>
      <c r="L103" s="2" t="s">
        <v>374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104.13</v>
      </c>
      <c r="H104" s="3">
        <v>2.9507346697900001</v>
      </c>
      <c r="I104" s="3">
        <v>2.4792929378326001</v>
      </c>
      <c r="J104" s="3">
        <v>4.8547945205478999</v>
      </c>
      <c r="K104" s="3">
        <v>4.3474220044497001</v>
      </c>
      <c r="L104" s="2" t="s">
        <v>374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106.05</v>
      </c>
      <c r="H105" s="3">
        <v>2.5123519305430002</v>
      </c>
      <c r="I105" s="3">
        <v>1.9814914669720001</v>
      </c>
      <c r="J105" s="3">
        <v>3.454794520548</v>
      </c>
      <c r="K105" s="3">
        <v>3.1561330254842002</v>
      </c>
      <c r="L105" s="2" t="s">
        <v>374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106.05</v>
      </c>
      <c r="H106" s="3">
        <v>2.6489708456227001</v>
      </c>
      <c r="I106" s="3">
        <v>2.1073537464709999</v>
      </c>
      <c r="J106" s="3">
        <v>3.454794520548</v>
      </c>
      <c r="K106" s="3">
        <v>3.1522784388249998</v>
      </c>
      <c r="L106" s="2" t="s">
        <v>374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103.62</v>
      </c>
      <c r="H107" s="3">
        <v>2.2110589014344</v>
      </c>
      <c r="I107" s="3">
        <v>1.7240143315145</v>
      </c>
      <c r="J107" s="3">
        <v>2.1260273972602999</v>
      </c>
      <c r="K107" s="3">
        <v>1.9977514068538</v>
      </c>
      <c r="L107" s="2" t="s">
        <v>374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103.62</v>
      </c>
      <c r="H108" s="3">
        <v>2.4386458169121998</v>
      </c>
      <c r="I108" s="3">
        <v>1.937426749985</v>
      </c>
      <c r="J108" s="3">
        <v>2.1260273972602999</v>
      </c>
      <c r="K108" s="3">
        <v>1.9934381129356</v>
      </c>
      <c r="L108" s="2" t="s">
        <v>374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103.67</v>
      </c>
      <c r="H109" s="3">
        <v>2.9130528443299002</v>
      </c>
      <c r="I109" s="3">
        <v>2.4562116181471998</v>
      </c>
      <c r="J109" s="3">
        <v>5.0465753424657001</v>
      </c>
      <c r="K109" s="3">
        <v>4.4939501289352997</v>
      </c>
      <c r="L109" s="2" t="s">
        <v>374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103.67</v>
      </c>
      <c r="H110" s="3">
        <v>3.0601837933157001</v>
      </c>
      <c r="I110" s="3">
        <v>2.5894023515228999</v>
      </c>
      <c r="J110" s="3">
        <v>5.0465753424657001</v>
      </c>
      <c r="K110" s="3">
        <v>4.4885038263814998</v>
      </c>
      <c r="L110" s="2" t="s">
        <v>374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101.76</v>
      </c>
      <c r="H111" s="3">
        <v>4.7672538142901999</v>
      </c>
      <c r="I111" s="3">
        <v>4.4393966518510997</v>
      </c>
      <c r="J111" s="3">
        <v>31.068493150685001</v>
      </c>
      <c r="K111" s="3">
        <v>5.7230861835202997</v>
      </c>
      <c r="L111" s="2" t="s">
        <v>374</v>
      </c>
      <c r="M11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A606-7EB8-9743-B069-3EDFB9CA16D6}">
  <dimension ref="A1:M111"/>
  <sheetViews>
    <sheetView workbookViewId="0">
      <selection sqref="A1:XFD1048576"/>
    </sheetView>
  </sheetViews>
  <sheetFormatPr baseColWidth="10" defaultColWidth="5.83203125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117.52</v>
      </c>
      <c r="H2" s="3">
        <v>3.2054807862708001</v>
      </c>
      <c r="I2" s="3">
        <v>2.5433808809956</v>
      </c>
      <c r="J2" s="3">
        <v>7.7671232876712004</v>
      </c>
      <c r="K2" s="3">
        <v>6.2271716753683002</v>
      </c>
      <c r="L2" s="2" t="s">
        <v>375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100.58</v>
      </c>
      <c r="H3" s="3">
        <v>1.9246275892236</v>
      </c>
      <c r="I3" s="3">
        <v>1.6335490729280999</v>
      </c>
      <c r="J3" s="3">
        <v>2.0904109589041</v>
      </c>
      <c r="K3" s="3">
        <v>1.9984158936086001</v>
      </c>
      <c r="L3" s="2" t="s">
        <v>375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99.79</v>
      </c>
      <c r="H4" s="3">
        <v>2.0874684646102999</v>
      </c>
      <c r="I4" s="3">
        <v>1.8301977603327999</v>
      </c>
      <c r="J4" s="3">
        <v>2.7616438356163999</v>
      </c>
      <c r="K4" s="3">
        <v>2.6332778965833001</v>
      </c>
      <c r="L4" s="2" t="s">
        <v>375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102.36</v>
      </c>
      <c r="H5" s="3">
        <v>2.4272088264620999</v>
      </c>
      <c r="I5" s="3">
        <v>2.0533304233273002</v>
      </c>
      <c r="J5" s="3">
        <v>4.2602739726027004</v>
      </c>
      <c r="K5" s="3">
        <v>3.9122827549868</v>
      </c>
      <c r="L5" s="2" t="s">
        <v>375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102.48</v>
      </c>
      <c r="H6" s="3">
        <v>3.9574809338899999</v>
      </c>
      <c r="I6" s="3">
        <v>3.4357598806588001</v>
      </c>
      <c r="J6" s="3">
        <v>14.432876712329</v>
      </c>
      <c r="K6" s="3">
        <v>10.602355665533</v>
      </c>
      <c r="L6" s="2" t="s">
        <v>375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86.93</v>
      </c>
      <c r="H7" s="3">
        <v>2.9187025483634002</v>
      </c>
      <c r="I7" s="3">
        <v>2.8362227001414002</v>
      </c>
      <c r="J7" s="3">
        <v>6.2602739726027004</v>
      </c>
      <c r="K7" s="3">
        <v>5.9597808976925997</v>
      </c>
      <c r="L7" s="2" t="s">
        <v>375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108.74</v>
      </c>
      <c r="H8" s="3">
        <v>4.1294261599663002</v>
      </c>
      <c r="I8" s="3">
        <v>3.5537008203516001</v>
      </c>
      <c r="J8" s="3">
        <v>19.356164383562</v>
      </c>
      <c r="K8" s="3">
        <v>12.556898945835</v>
      </c>
      <c r="L8" s="2" t="s">
        <v>375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104.38</v>
      </c>
      <c r="H9" s="3">
        <v>2.5472337847838999</v>
      </c>
      <c r="I9" s="3">
        <v>2.1128356357441</v>
      </c>
      <c r="J9" s="3">
        <v>4.8410958904110002</v>
      </c>
      <c r="K9" s="3">
        <v>4.3701399747940002</v>
      </c>
      <c r="L9" s="2" t="s">
        <v>375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91.72</v>
      </c>
      <c r="H10" s="3">
        <v>3.0182419442958</v>
      </c>
      <c r="I10" s="3">
        <v>2.7964007615634001</v>
      </c>
      <c r="J10" s="3">
        <v>6.8438356164384002</v>
      </c>
      <c r="K10" s="3">
        <v>6.2734006876124004</v>
      </c>
      <c r="L10" s="2" t="s">
        <v>375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99.72</v>
      </c>
      <c r="H11" s="3">
        <v>1.8690400845785999</v>
      </c>
      <c r="I11" s="3">
        <v>1.6669463752144</v>
      </c>
      <c r="J11" s="3">
        <v>1.0904109589041</v>
      </c>
      <c r="K11" s="3">
        <v>1.0587569583409</v>
      </c>
      <c r="L11" s="2" t="s">
        <v>375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87.26</v>
      </c>
      <c r="H12" s="3">
        <v>3.6596837174846999</v>
      </c>
      <c r="I12" s="3">
        <v>3.3485728465334001</v>
      </c>
      <c r="J12" s="3">
        <v>11.350684931507001</v>
      </c>
      <c r="K12" s="3">
        <v>9.5778656780779006</v>
      </c>
      <c r="L12" s="2" t="s">
        <v>375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89.66</v>
      </c>
      <c r="H13" s="3">
        <v>4.1948343768563996</v>
      </c>
      <c r="I13" s="3">
        <v>3.7221132736479001</v>
      </c>
      <c r="J13" s="3">
        <v>22.854794520548001</v>
      </c>
      <c r="K13" s="3">
        <v>14.842545656154</v>
      </c>
      <c r="L13" s="2" t="s">
        <v>375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90.84</v>
      </c>
      <c r="H14" s="3">
        <v>3.9552460691348998</v>
      </c>
      <c r="I14" s="3">
        <v>3.5363957703948001</v>
      </c>
      <c r="J14" s="3">
        <v>14.849315068493</v>
      </c>
      <c r="K14" s="3">
        <v>11.3336940039</v>
      </c>
      <c r="L14" s="2" t="s">
        <v>375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98.272999999999996</v>
      </c>
      <c r="H15" s="3">
        <v>1.8772872191169001</v>
      </c>
      <c r="I15" s="3">
        <v>1.8645692117085999</v>
      </c>
      <c r="J15" s="3">
        <v>0.92328767123288003</v>
      </c>
      <c r="K15" s="3">
        <v>0.90649979917516998</v>
      </c>
      <c r="L15" s="2" t="s">
        <v>375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60.45</v>
      </c>
      <c r="H16" s="3">
        <v>4.0743175664829003</v>
      </c>
      <c r="I16" s="3">
        <v>3.6797192939130001</v>
      </c>
      <c r="J16" s="3">
        <v>46.871232876712</v>
      </c>
      <c r="K16" s="3">
        <v>23.343696741702001</v>
      </c>
      <c r="L16" s="2" t="s">
        <v>375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94.4</v>
      </c>
      <c r="H17" s="3">
        <v>3.8388399723508</v>
      </c>
      <c r="I17" s="3">
        <v>3.4094235067779999</v>
      </c>
      <c r="J17" s="3">
        <v>12.846575342466</v>
      </c>
      <c r="K17" s="3">
        <v>10.082279166377001</v>
      </c>
      <c r="L17" s="2" t="s">
        <v>375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98.44</v>
      </c>
      <c r="H18" s="3">
        <v>1.9394060156240001</v>
      </c>
      <c r="I18" s="3">
        <v>1.7992598639635999</v>
      </c>
      <c r="J18" s="3">
        <v>1.9232876712328999</v>
      </c>
      <c r="K18" s="3">
        <v>1.8705200573917</v>
      </c>
      <c r="L18" s="2" t="s">
        <v>375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103.37</v>
      </c>
      <c r="H19" s="3">
        <v>2.5071448569484001</v>
      </c>
      <c r="I19" s="3">
        <v>2.0883718477855</v>
      </c>
      <c r="J19" s="3">
        <v>4.1753424657534</v>
      </c>
      <c r="K19" s="3">
        <v>3.8034975948696998</v>
      </c>
      <c r="L19" s="2" t="s">
        <v>375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103.41</v>
      </c>
      <c r="H20" s="3">
        <v>3.4388271008131999</v>
      </c>
      <c r="I20" s="3">
        <v>2.9579706222159001</v>
      </c>
      <c r="J20" s="3">
        <v>9.1780821917808009</v>
      </c>
      <c r="K20" s="3">
        <v>7.5003783449926003</v>
      </c>
      <c r="L20" s="2" t="s">
        <v>375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94.26</v>
      </c>
      <c r="H21" s="3">
        <v>2.7808104379740999</v>
      </c>
      <c r="I21" s="3">
        <v>2.5602034810659</v>
      </c>
      <c r="J21" s="3">
        <v>5.5945205479451996</v>
      </c>
      <c r="K21" s="3">
        <v>5.1794377004358996</v>
      </c>
      <c r="L21" s="2" t="s">
        <v>375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88.03</v>
      </c>
      <c r="H22" s="3">
        <v>2.9826972797259002</v>
      </c>
      <c r="I22" s="3">
        <v>2.8527146888191002</v>
      </c>
      <c r="J22" s="3">
        <v>6.5945205479451996</v>
      </c>
      <c r="K22" s="3">
        <v>6.1800489070899003</v>
      </c>
      <c r="L22" s="2" t="s">
        <v>375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104.87</v>
      </c>
      <c r="H23" s="3">
        <v>2.2535635710948001</v>
      </c>
      <c r="I23" s="3">
        <v>1.7875095559931</v>
      </c>
      <c r="J23" s="3">
        <v>3.2602739726026999</v>
      </c>
      <c r="K23" s="3">
        <v>3.0085195716940998</v>
      </c>
      <c r="L23" s="2" t="s">
        <v>375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112.74</v>
      </c>
      <c r="H24" s="3">
        <v>3.4121846533341</v>
      </c>
      <c r="I24" s="3">
        <v>2.8192709255524</v>
      </c>
      <c r="J24" s="3">
        <v>9.2630136986301004</v>
      </c>
      <c r="K24" s="3">
        <v>7.3180022789557997</v>
      </c>
      <c r="L24" s="2" t="s">
        <v>375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103.46</v>
      </c>
      <c r="H25" s="3">
        <v>3.6645505992962999</v>
      </c>
      <c r="I25" s="3">
        <v>3.1668066405453001</v>
      </c>
      <c r="J25" s="3">
        <v>11.769863013699</v>
      </c>
      <c r="K25" s="3">
        <v>9.1290210247091004</v>
      </c>
      <c r="L25" s="2" t="s">
        <v>375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112.17</v>
      </c>
      <c r="H26" s="3">
        <v>3.9157389018291</v>
      </c>
      <c r="I26" s="3">
        <v>3.3233648561388001</v>
      </c>
      <c r="J26" s="3">
        <v>14.265753424658</v>
      </c>
      <c r="K26" s="3">
        <v>10.110908395359001</v>
      </c>
      <c r="L26" s="2" t="s">
        <v>375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99.08</v>
      </c>
      <c r="H27" s="3">
        <v>1.8463861635681</v>
      </c>
      <c r="I27" s="3">
        <v>1.6879683986762</v>
      </c>
      <c r="J27" s="3">
        <v>1.5917808219178</v>
      </c>
      <c r="K27" s="3">
        <v>1.5445807636544999</v>
      </c>
      <c r="L27" s="2" t="s">
        <v>375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101.95</v>
      </c>
      <c r="H28" s="3">
        <v>2.2415651274095998</v>
      </c>
      <c r="I28" s="3">
        <v>1.8877072116725999</v>
      </c>
      <c r="J28" s="3">
        <v>3.5945205479452</v>
      </c>
      <c r="K28" s="3">
        <v>3.3339349840059</v>
      </c>
      <c r="L28" s="2" t="s">
        <v>375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98.93</v>
      </c>
      <c r="H29" s="3">
        <v>1.8918539209665</v>
      </c>
      <c r="I29" s="3">
        <v>1.8215570137085999</v>
      </c>
      <c r="J29" s="3">
        <v>0.76164383561644</v>
      </c>
      <c r="K29" s="3">
        <v>0.74911341738067005</v>
      </c>
      <c r="L29" s="2" t="s">
        <v>375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97.74</v>
      </c>
      <c r="H30" s="3">
        <v>1.8263786943081</v>
      </c>
      <c r="I30" s="3">
        <v>1.8242538739516001</v>
      </c>
      <c r="J30" s="3">
        <v>1.2575342465753001</v>
      </c>
      <c r="K30" s="3">
        <v>1.2403600273577999</v>
      </c>
      <c r="L30" s="2" t="s">
        <v>375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102.91</v>
      </c>
      <c r="H31" s="3">
        <v>3.5228195185636002</v>
      </c>
      <c r="I31" s="3">
        <v>3.0423249036528</v>
      </c>
      <c r="J31" s="3">
        <v>9.7671232876712004</v>
      </c>
      <c r="K31" s="3">
        <v>7.9092927688215999</v>
      </c>
      <c r="L31" s="2" t="s">
        <v>375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111.84</v>
      </c>
      <c r="H32" s="3">
        <v>3.9967271480511002</v>
      </c>
      <c r="I32" s="3">
        <v>3.4020851822898002</v>
      </c>
      <c r="J32" s="3">
        <v>15.353424657533999</v>
      </c>
      <c r="K32" s="3">
        <v>10.672448658023001</v>
      </c>
      <c r="L32" s="2" t="s">
        <v>375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102.10299999999999</v>
      </c>
      <c r="H33" s="3">
        <v>1.9359339681929999</v>
      </c>
      <c r="I33" s="3">
        <v>1.3891717764956999</v>
      </c>
      <c r="J33" s="3">
        <v>0.83835616438355998</v>
      </c>
      <c r="K33" s="3">
        <v>0.81468894389477997</v>
      </c>
      <c r="L33" s="2" t="s">
        <v>375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87.55</v>
      </c>
      <c r="H34" s="3">
        <v>4.1720329998326999</v>
      </c>
      <c r="I34" s="3">
        <v>3.7217831485816002</v>
      </c>
      <c r="J34" s="3">
        <v>21.356164383562</v>
      </c>
      <c r="K34" s="3">
        <v>14.414588056548</v>
      </c>
      <c r="L34" s="2" t="s">
        <v>375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</v>
      </c>
      <c r="H35" s="3">
        <v>1.8850415699920999</v>
      </c>
      <c r="I35" s="3">
        <v>1.6389400323797001</v>
      </c>
      <c r="J35" s="3">
        <v>0.59178082191781001</v>
      </c>
      <c r="K35" s="3">
        <v>0.57610088103664003</v>
      </c>
      <c r="L35" s="2" t="s">
        <v>375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71.989999999999995</v>
      </c>
      <c r="H36" s="3">
        <v>4.2761248979169997</v>
      </c>
      <c r="I36" s="3">
        <v>3.8229937482562999</v>
      </c>
      <c r="J36" s="3">
        <v>41.865753424657001</v>
      </c>
      <c r="K36" s="3">
        <v>20.721343479613001</v>
      </c>
      <c r="L36" s="2" t="s">
        <v>375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94.28</v>
      </c>
      <c r="H37" s="3">
        <v>3.2607628384566998</v>
      </c>
      <c r="I37" s="3">
        <v>2.9354045611227</v>
      </c>
      <c r="J37" s="3">
        <v>8.3479452054793999</v>
      </c>
      <c r="K37" s="3">
        <v>7.3043014217257998</v>
      </c>
      <c r="L37" s="2" t="s">
        <v>375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91.01</v>
      </c>
      <c r="H38" s="3">
        <v>3.8490196855634</v>
      </c>
      <c r="I38" s="3">
        <v>3.4519124007473998</v>
      </c>
      <c r="J38" s="3">
        <v>13.350684931507001</v>
      </c>
      <c r="K38" s="3">
        <v>10.540561308912</v>
      </c>
      <c r="L38" s="2" t="s">
        <v>375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99.12</v>
      </c>
      <c r="H39" s="3">
        <v>3.4839608577821002</v>
      </c>
      <c r="I39" s="3">
        <v>3.0545829668044</v>
      </c>
      <c r="J39" s="3">
        <v>9.8438356164383993</v>
      </c>
      <c r="K39" s="3">
        <v>8.1322652404323001</v>
      </c>
      <c r="L39" s="2" t="s">
        <v>375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94.68</v>
      </c>
      <c r="H40" s="3">
        <v>4.2414696235414997</v>
      </c>
      <c r="I40" s="3">
        <v>3.7326184831823999</v>
      </c>
      <c r="J40" s="3">
        <v>24.358904109589002</v>
      </c>
      <c r="K40" s="3">
        <v>15.028761241832999</v>
      </c>
      <c r="L40" s="2" t="s">
        <v>375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94.33</v>
      </c>
      <c r="H41" s="3">
        <v>2.5989814171073999</v>
      </c>
      <c r="I41" s="3">
        <v>2.4225388539503001</v>
      </c>
      <c r="J41" s="3">
        <v>4.9260273972602997</v>
      </c>
      <c r="K41" s="3">
        <v>4.6513871673093998</v>
      </c>
      <c r="L41" s="2" t="s">
        <v>375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73</v>
      </c>
      <c r="H42" s="3">
        <v>4.2297773577345001</v>
      </c>
      <c r="I42" s="3">
        <v>3.847272073829</v>
      </c>
      <c r="J42" s="3">
        <v>25.358904109589002</v>
      </c>
      <c r="K42" s="3">
        <v>16.939461455943999</v>
      </c>
      <c r="L42" s="2" t="s">
        <v>375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61.43</v>
      </c>
      <c r="H43" s="3">
        <v>4.1500775339242004</v>
      </c>
      <c r="I43" s="3">
        <v>3.8543439656863998</v>
      </c>
      <c r="J43" s="3">
        <v>26.358904109589002</v>
      </c>
      <c r="K43" s="3">
        <v>18.750254633573</v>
      </c>
      <c r="L43" s="2" t="s">
        <v>375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104.43</v>
      </c>
      <c r="H44" s="3">
        <v>4.1422656068031003</v>
      </c>
      <c r="I44" s="3">
        <v>3.5898117022148002</v>
      </c>
      <c r="J44" s="3">
        <v>18.353424657533999</v>
      </c>
      <c r="K44" s="3">
        <v>12.276206871275001</v>
      </c>
      <c r="L44" s="2" t="s">
        <v>375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106.4</v>
      </c>
      <c r="H45" s="3">
        <v>3.3829986971045001</v>
      </c>
      <c r="I45" s="3">
        <v>2.8691799368905002</v>
      </c>
      <c r="J45" s="3">
        <v>8.8438356164383993</v>
      </c>
      <c r="K45" s="3">
        <v>7.2384348781194001</v>
      </c>
      <c r="L45" s="2" t="s">
        <v>375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89.47</v>
      </c>
      <c r="H46" s="3">
        <v>2.8630475591167999</v>
      </c>
      <c r="I46" s="3">
        <v>2.7417825084895</v>
      </c>
      <c r="J46" s="3">
        <v>5.9260273972602997</v>
      </c>
      <c r="K46" s="3">
        <v>5.6090241286933997</v>
      </c>
      <c r="L46" s="2" t="s">
        <v>375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86.7</v>
      </c>
      <c r="H47" s="3">
        <v>3.0708894597296998</v>
      </c>
      <c r="I47" s="3">
        <v>2.9308896903932</v>
      </c>
      <c r="J47" s="3">
        <v>7.0958904109588996</v>
      </c>
      <c r="K47" s="3">
        <v>6.6245416693774999</v>
      </c>
      <c r="L47" s="2" t="s">
        <v>375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108.3</v>
      </c>
      <c r="H48" s="3">
        <v>3.237795771409</v>
      </c>
      <c r="I48" s="3">
        <v>2.7055741258181998</v>
      </c>
      <c r="J48" s="3">
        <v>8.0109589041096001</v>
      </c>
      <c r="K48" s="3">
        <v>6.5489563608181003</v>
      </c>
      <c r="L48" s="2" t="s">
        <v>375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107.99</v>
      </c>
      <c r="H49" s="3">
        <v>1.8431995200647</v>
      </c>
      <c r="I49" s="3">
        <v>0.97951921594449998</v>
      </c>
      <c r="J49" s="3">
        <v>1.5095890410959001</v>
      </c>
      <c r="K49" s="3">
        <v>1.389850803576</v>
      </c>
      <c r="L49" s="2" t="s">
        <v>375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110.92</v>
      </c>
      <c r="H50" s="3">
        <v>2.0152731644176001</v>
      </c>
      <c r="I50" s="3">
        <v>1.2485956972481</v>
      </c>
      <c r="J50" s="3">
        <v>2.5095890410959001</v>
      </c>
      <c r="K50" s="3">
        <v>2.2538029602125</v>
      </c>
      <c r="L50" s="2" t="s">
        <v>375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111.82</v>
      </c>
      <c r="H51" s="3">
        <v>2.4732045364802002</v>
      </c>
      <c r="I51" s="3">
        <v>1.8524049359050001</v>
      </c>
      <c r="J51" s="3">
        <v>4.5123287671233001</v>
      </c>
      <c r="K51" s="3">
        <v>3.9156362395093001</v>
      </c>
      <c r="L51" s="2" t="s">
        <v>375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117.52</v>
      </c>
      <c r="H52" s="3">
        <v>2.8258042635971998</v>
      </c>
      <c r="I52" s="3">
        <v>2.1358897389420002</v>
      </c>
      <c r="J52" s="3">
        <v>6.0082191780822001</v>
      </c>
      <c r="K52" s="3">
        <v>4.9481662872676999</v>
      </c>
      <c r="L52" s="2" t="s">
        <v>375</v>
      </c>
      <c r="M52" s="5"/>
    </row>
    <row r="53" spans="1:13" x14ac:dyDescent="0.2">
      <c r="A53" s="2" t="s">
        <v>39</v>
      </c>
      <c r="B53" s="2" t="s">
        <v>287</v>
      </c>
      <c r="C53" s="2" t="s">
        <v>233</v>
      </c>
      <c r="D53" s="2" t="s">
        <v>234</v>
      </c>
      <c r="E53" s="2" t="s">
        <v>158</v>
      </c>
      <c r="F53" s="3">
        <v>0.47499999999999998</v>
      </c>
      <c r="G53" s="3">
        <v>91.55</v>
      </c>
      <c r="H53" s="3">
        <v>2.7008052730897001</v>
      </c>
      <c r="I53" s="3">
        <v>2.5693004491960001</v>
      </c>
      <c r="J53" s="3">
        <v>5.2602739726027004</v>
      </c>
      <c r="K53" s="3">
        <v>4.9897114757447998</v>
      </c>
      <c r="L53" s="2" t="s">
        <v>375</v>
      </c>
      <c r="M53" s="5"/>
    </row>
    <row r="54" spans="1:13" x14ac:dyDescent="0.2">
      <c r="A54" s="2" t="s">
        <v>72</v>
      </c>
      <c r="B54" s="2" t="s">
        <v>288</v>
      </c>
      <c r="C54" s="2" t="s">
        <v>233</v>
      </c>
      <c r="D54" s="2" t="s">
        <v>234</v>
      </c>
      <c r="E54" s="2" t="s">
        <v>159</v>
      </c>
      <c r="F54" s="3">
        <v>2.1749999999999998</v>
      </c>
      <c r="G54" s="3">
        <v>107.71</v>
      </c>
      <c r="H54" s="3">
        <v>3.1047512854838999</v>
      </c>
      <c r="I54" s="3">
        <v>2.5997656019409998</v>
      </c>
      <c r="J54" s="3">
        <v>8.5150684931507001</v>
      </c>
      <c r="K54" s="3">
        <v>6.9095942750067998</v>
      </c>
      <c r="L54" s="2" t="s">
        <v>375</v>
      </c>
      <c r="M54" s="5"/>
    </row>
    <row r="55" spans="1:13" x14ac:dyDescent="0.2">
      <c r="A55" s="2" t="s">
        <v>160</v>
      </c>
      <c r="B55" s="2" t="s">
        <v>289</v>
      </c>
      <c r="C55" s="2" t="s">
        <v>233</v>
      </c>
      <c r="D55" s="2" t="s">
        <v>234</v>
      </c>
      <c r="E55" s="2" t="s">
        <v>161</v>
      </c>
      <c r="F55" s="3">
        <v>1.4951000000000001</v>
      </c>
      <c r="G55" s="3">
        <v>100.24</v>
      </c>
      <c r="H55" s="3">
        <v>3.5984067488571001</v>
      </c>
      <c r="I55" s="3">
        <v>3.1422946299398999</v>
      </c>
      <c r="J55" s="3">
        <v>10.430136986300999</v>
      </c>
      <c r="K55" s="3">
        <v>8.4876532164705001</v>
      </c>
      <c r="L55" s="2" t="s">
        <v>235</v>
      </c>
      <c r="M55" s="5"/>
    </row>
    <row r="56" spans="1:13" x14ac:dyDescent="0.2">
      <c r="A56" s="2" t="s">
        <v>93</v>
      </c>
      <c r="B56" s="2" t="s">
        <v>290</v>
      </c>
      <c r="C56" s="2" t="s">
        <v>233</v>
      </c>
      <c r="D56" s="2" t="s">
        <v>234</v>
      </c>
      <c r="E56" s="2" t="s">
        <v>162</v>
      </c>
      <c r="F56" s="3">
        <v>1.5</v>
      </c>
      <c r="G56" s="3">
        <v>101.88</v>
      </c>
      <c r="H56" s="3">
        <v>2.5614580225657999</v>
      </c>
      <c r="I56" s="3">
        <v>2.1804775001353001</v>
      </c>
      <c r="J56" s="3">
        <v>4.4273972602739997</v>
      </c>
      <c r="K56" s="3">
        <v>4.0690197592633996</v>
      </c>
      <c r="L56" s="2" t="s">
        <v>375</v>
      </c>
      <c r="M56" s="5"/>
    </row>
    <row r="57" spans="1:13" x14ac:dyDescent="0.2">
      <c r="A57" s="2" t="s">
        <v>80</v>
      </c>
      <c r="B57" s="2" t="s">
        <v>291</v>
      </c>
      <c r="C57" s="2" t="s">
        <v>233</v>
      </c>
      <c r="D57" s="2" t="s">
        <v>234</v>
      </c>
      <c r="E57" s="2" t="s">
        <v>163</v>
      </c>
      <c r="F57" s="3">
        <v>2.0499999999999998</v>
      </c>
      <c r="G57" s="3">
        <v>106.15</v>
      </c>
      <c r="H57" s="3">
        <v>2.3905817093635999</v>
      </c>
      <c r="I57" s="3">
        <v>1.864927712209</v>
      </c>
      <c r="J57" s="3">
        <v>3.7643835616437999</v>
      </c>
      <c r="K57" s="3">
        <v>3.4220976726354002</v>
      </c>
      <c r="L57" s="2" t="s">
        <v>375</v>
      </c>
      <c r="M57" s="5"/>
    </row>
    <row r="58" spans="1:13" x14ac:dyDescent="0.2">
      <c r="A58" s="2" t="s">
        <v>100</v>
      </c>
      <c r="B58" s="2" t="s">
        <v>292</v>
      </c>
      <c r="C58" s="2" t="s">
        <v>233</v>
      </c>
      <c r="D58" s="2" t="s">
        <v>234</v>
      </c>
      <c r="E58" s="2" t="s">
        <v>164</v>
      </c>
      <c r="F58" s="3">
        <v>0.97789999999999999</v>
      </c>
      <c r="G58" s="3">
        <v>101.06</v>
      </c>
      <c r="H58" s="3">
        <v>2.7465403683729002</v>
      </c>
      <c r="I58" s="3">
        <v>2.3755095171491001</v>
      </c>
      <c r="J58" s="3">
        <v>5.1753424657534</v>
      </c>
      <c r="K58" s="3">
        <v>4.6893930400431998</v>
      </c>
      <c r="L58" s="2" t="s">
        <v>375</v>
      </c>
      <c r="M58" s="5"/>
    </row>
    <row r="59" spans="1:13" x14ac:dyDescent="0.2">
      <c r="A59" s="2" t="s">
        <v>60</v>
      </c>
      <c r="B59" s="2" t="s">
        <v>293</v>
      </c>
      <c r="C59" s="2" t="s">
        <v>233</v>
      </c>
      <c r="D59" s="2" t="s">
        <v>234</v>
      </c>
      <c r="E59" s="2" t="s">
        <v>165</v>
      </c>
      <c r="F59" s="3">
        <v>1.25</v>
      </c>
      <c r="G59" s="3">
        <v>95.77</v>
      </c>
      <c r="H59" s="3">
        <v>3.1518832180899001</v>
      </c>
      <c r="I59" s="3">
        <v>2.8036796338236001</v>
      </c>
      <c r="J59" s="3">
        <v>7.5972602739725996</v>
      </c>
      <c r="K59" s="3">
        <v>6.6667897105840002</v>
      </c>
      <c r="L59" s="2" t="s">
        <v>375</v>
      </c>
      <c r="M59" s="5"/>
    </row>
    <row r="60" spans="1:13" x14ac:dyDescent="0.2">
      <c r="A60" s="2" t="s">
        <v>25</v>
      </c>
      <c r="B60" s="2" t="s">
        <v>294</v>
      </c>
      <c r="C60" s="2" t="s">
        <v>233</v>
      </c>
      <c r="D60" s="2" t="s">
        <v>234</v>
      </c>
      <c r="E60" s="2" t="s">
        <v>166</v>
      </c>
      <c r="F60" s="3">
        <v>1.0249999999999999</v>
      </c>
      <c r="G60" s="3">
        <v>100.2</v>
      </c>
      <c r="H60" s="3">
        <v>1.9675153849825999</v>
      </c>
      <c r="I60" s="3">
        <v>1.6996828298805999</v>
      </c>
      <c r="J60" s="3">
        <v>2.2575342465752999</v>
      </c>
      <c r="K60" s="3">
        <v>2.1675309837250998</v>
      </c>
      <c r="L60" s="2" t="s">
        <v>375</v>
      </c>
      <c r="M60" s="5"/>
    </row>
    <row r="61" spans="1:13" x14ac:dyDescent="0.2">
      <c r="A61" s="2" t="s">
        <v>63</v>
      </c>
      <c r="B61" s="2" t="s">
        <v>295</v>
      </c>
      <c r="C61" s="2" t="s">
        <v>233</v>
      </c>
      <c r="D61" s="2" t="s">
        <v>234</v>
      </c>
      <c r="E61" s="2" t="s">
        <v>167</v>
      </c>
      <c r="F61" s="3">
        <v>1.325</v>
      </c>
      <c r="G61" s="3">
        <v>101.47</v>
      </c>
      <c r="H61" s="3">
        <v>2.0736699872825999</v>
      </c>
      <c r="I61" s="3">
        <v>1.7342897480181001</v>
      </c>
      <c r="J61" s="3">
        <v>2.5917808219178</v>
      </c>
      <c r="K61" s="3">
        <v>2.4456394165002</v>
      </c>
      <c r="L61" s="2" t="s">
        <v>375</v>
      </c>
      <c r="M61" s="5"/>
    </row>
    <row r="62" spans="1:13" x14ac:dyDescent="0.2">
      <c r="A62" s="2" t="s">
        <v>17</v>
      </c>
      <c r="B62" s="2" t="s">
        <v>296</v>
      </c>
      <c r="C62" s="2" t="s">
        <v>233</v>
      </c>
      <c r="D62" s="2" t="s">
        <v>234</v>
      </c>
      <c r="E62" s="2" t="s">
        <v>168</v>
      </c>
      <c r="F62" s="3">
        <v>1.35</v>
      </c>
      <c r="G62" s="3">
        <v>79.62</v>
      </c>
      <c r="H62" s="3">
        <v>4.1642494550702001</v>
      </c>
      <c r="I62" s="3">
        <v>3.7668178056400001</v>
      </c>
      <c r="J62" s="3">
        <v>21.852054794520999</v>
      </c>
      <c r="K62" s="3">
        <v>15.181508958384001</v>
      </c>
      <c r="L62" s="2" t="s">
        <v>375</v>
      </c>
      <c r="M62" s="5"/>
    </row>
    <row r="63" spans="1:13" x14ac:dyDescent="0.2">
      <c r="A63" s="2" t="s">
        <v>365</v>
      </c>
      <c r="B63" s="2" t="s">
        <v>366</v>
      </c>
      <c r="C63" s="2" t="s">
        <v>233</v>
      </c>
      <c r="D63" s="2" t="s">
        <v>234</v>
      </c>
      <c r="E63" s="2" t="s">
        <v>367</v>
      </c>
      <c r="F63" s="3">
        <v>0.83620000000000005</v>
      </c>
      <c r="G63" s="3">
        <v>99.7</v>
      </c>
      <c r="H63" s="3">
        <v>2.7156402283847001</v>
      </c>
      <c r="I63" s="3">
        <v>2.3763479593441001</v>
      </c>
      <c r="J63" s="3">
        <v>5.4273972602739997</v>
      </c>
      <c r="K63" s="3">
        <v>4.9641515616429999</v>
      </c>
      <c r="L63" s="2" t="s">
        <v>368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73.98</v>
      </c>
      <c r="H64" s="3">
        <v>3.7117865008086999</v>
      </c>
      <c r="I64" s="3">
        <v>3.5654335603648999</v>
      </c>
      <c r="J64" s="3">
        <v>11.846575342466</v>
      </c>
      <c r="K64" s="3">
        <v>10.684402107486999</v>
      </c>
      <c r="L64" s="2" t="s">
        <v>375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66.8</v>
      </c>
      <c r="H65" s="3">
        <v>4.2448040157221998</v>
      </c>
      <c r="I65" s="3">
        <v>3.8905436581828998</v>
      </c>
      <c r="J65" s="3">
        <v>27.361643835616</v>
      </c>
      <c r="K65" s="3">
        <v>18.189423298373999</v>
      </c>
      <c r="L65" s="2" t="s">
        <v>375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101.71</v>
      </c>
      <c r="H66" s="3">
        <v>1.9843177893313</v>
      </c>
      <c r="I66" s="3">
        <v>1.6099153560593</v>
      </c>
      <c r="J66" s="3">
        <v>1.8</v>
      </c>
      <c r="K66" s="3">
        <v>1.7230876197039999</v>
      </c>
      <c r="L66" s="2" t="s">
        <v>375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100.75</v>
      </c>
      <c r="H67" s="3">
        <v>3.5918754211192998</v>
      </c>
      <c r="I67" s="3">
        <v>3.1260686608574999</v>
      </c>
      <c r="J67" s="3">
        <v>10.263013698629999</v>
      </c>
      <c r="K67" s="3">
        <v>8.2887439930408995</v>
      </c>
      <c r="L67" s="2" t="s">
        <v>375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100.23</v>
      </c>
      <c r="H68" s="3">
        <v>1.9180659184765001</v>
      </c>
      <c r="I68" s="3">
        <v>1.6535363944579</v>
      </c>
      <c r="J68" s="3">
        <v>1.2109589041096001</v>
      </c>
      <c r="K68" s="3">
        <v>1.1729943863642001</v>
      </c>
      <c r="L68" s="2" t="s">
        <v>375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102.88</v>
      </c>
      <c r="H69" s="3">
        <v>2.9597834708773001</v>
      </c>
      <c r="I69" s="3">
        <v>2.5299563459610002</v>
      </c>
      <c r="J69" s="3">
        <v>6.2136986301370003</v>
      </c>
      <c r="K69" s="3">
        <v>5.4422651402913997</v>
      </c>
      <c r="L69" s="2" t="s">
        <v>375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74.48</v>
      </c>
      <c r="H70" s="3">
        <v>4.0257686565870996</v>
      </c>
      <c r="I70" s="3">
        <v>3.7530070460288001</v>
      </c>
      <c r="J70" s="3">
        <v>15.849315068493</v>
      </c>
      <c r="K70" s="3">
        <v>12.886808781806</v>
      </c>
      <c r="L70" s="2" t="s">
        <v>375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106.19</v>
      </c>
      <c r="H71" s="3">
        <v>2.8030491995936999</v>
      </c>
      <c r="I71" s="3">
        <v>2.3145704062417001</v>
      </c>
      <c r="J71" s="3">
        <v>5.5506849315068001</v>
      </c>
      <c r="K71" s="3">
        <v>4.8316300431899997</v>
      </c>
      <c r="L71" s="2" t="s">
        <v>375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98.28</v>
      </c>
      <c r="H72" s="3">
        <v>1.8810677112026</v>
      </c>
      <c r="I72" s="3">
        <v>1.7666441537541999</v>
      </c>
      <c r="J72" s="3">
        <v>1.7150684931507001</v>
      </c>
      <c r="K72" s="3">
        <v>1.6707943667192</v>
      </c>
      <c r="L72" s="2" t="s">
        <v>375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93.25</v>
      </c>
      <c r="H73" s="3">
        <v>2.3273002377346002</v>
      </c>
      <c r="I73" s="3">
        <v>2.2516278622487</v>
      </c>
      <c r="J73" s="3">
        <v>3.8027397260273998</v>
      </c>
      <c r="K73" s="3">
        <v>3.6841871980413998</v>
      </c>
      <c r="L73" s="2" t="s">
        <v>375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105.65</v>
      </c>
      <c r="H74" s="3">
        <v>2.5591021258127</v>
      </c>
      <c r="I74" s="3">
        <v>2.088551039175</v>
      </c>
      <c r="J74" s="3">
        <v>4.6328767123287999</v>
      </c>
      <c r="K74" s="3">
        <v>4.1412244188264999</v>
      </c>
      <c r="L74" s="2" t="s">
        <v>375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101.48</v>
      </c>
      <c r="H75" s="3">
        <v>2.0896834829693001</v>
      </c>
      <c r="I75" s="3">
        <v>1.7505612136155999</v>
      </c>
      <c r="J75" s="3">
        <v>2.4630136986301001</v>
      </c>
      <c r="K75" s="3">
        <v>2.3487549954968001</v>
      </c>
      <c r="L75" s="2" t="s">
        <v>375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103.47</v>
      </c>
      <c r="H76" s="3">
        <v>2.8616075484985002</v>
      </c>
      <c r="I76" s="3">
        <v>2.4258508175528002</v>
      </c>
      <c r="J76" s="3">
        <v>5.8027397260273998</v>
      </c>
      <c r="K76" s="3">
        <v>5.1350602713343996</v>
      </c>
      <c r="L76" s="2" t="s">
        <v>375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101.8</v>
      </c>
      <c r="H77" s="3">
        <v>1.8841041779929</v>
      </c>
      <c r="I77" s="3">
        <v>1.4185416437025</v>
      </c>
      <c r="J77" s="3">
        <v>0.96164383561643996</v>
      </c>
      <c r="K77" s="3">
        <v>0.93505398789256</v>
      </c>
      <c r="L77" s="2" t="s">
        <v>375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101.5</v>
      </c>
      <c r="H78" s="3">
        <v>2.4288583006978999</v>
      </c>
      <c r="I78" s="3">
        <v>2.0782822175745999</v>
      </c>
      <c r="J78" s="3">
        <v>4.1315068493150999</v>
      </c>
      <c r="K78" s="3">
        <v>3.8007855637308001</v>
      </c>
      <c r="L78" s="2" t="s">
        <v>375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97.63</v>
      </c>
      <c r="H79" s="3">
        <v>1.9822016820879</v>
      </c>
      <c r="I79" s="3">
        <v>1.8607455069672001</v>
      </c>
      <c r="J79" s="3">
        <v>2.3808219178082002</v>
      </c>
      <c r="K79" s="3">
        <v>2.3111027210581998</v>
      </c>
      <c r="L79" s="2" t="s">
        <v>375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101.24</v>
      </c>
      <c r="H80" s="3">
        <v>2.2484537738423001</v>
      </c>
      <c r="I80" s="3">
        <v>1.9047776830901999</v>
      </c>
      <c r="J80" s="3">
        <v>3.1315068493150999</v>
      </c>
      <c r="K80" s="3">
        <v>2.9506583525795</v>
      </c>
      <c r="L80" s="2" t="s">
        <v>375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104.84</v>
      </c>
      <c r="H81" s="3">
        <v>2.6970847940670999</v>
      </c>
      <c r="I81" s="3">
        <v>2.2152740694677</v>
      </c>
      <c r="J81" s="3">
        <v>5.1315068493150999</v>
      </c>
      <c r="K81" s="3">
        <v>4.5543272956088003</v>
      </c>
      <c r="L81" s="2" t="s">
        <v>375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94.81</v>
      </c>
      <c r="H82" s="3">
        <v>2.1888686836838001</v>
      </c>
      <c r="I82" s="3">
        <v>2.1027193814979999</v>
      </c>
      <c r="J82" s="3">
        <v>3.2136986301369999</v>
      </c>
      <c r="K82" s="3">
        <v>3.1236942703541999</v>
      </c>
      <c r="L82" s="2" t="s">
        <v>375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103.09</v>
      </c>
      <c r="H83" s="3">
        <v>2.0258636991910999</v>
      </c>
      <c r="I83" s="3">
        <v>1.5988740216552999</v>
      </c>
      <c r="J83" s="3">
        <v>2.2109589041095998</v>
      </c>
      <c r="K83" s="3">
        <v>2.0871135728103001</v>
      </c>
      <c r="L83" s="2" t="s">
        <v>375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102.56</v>
      </c>
      <c r="H84" s="3">
        <v>1.9613982394389</v>
      </c>
      <c r="I84" s="3">
        <v>1.4859110225478001</v>
      </c>
      <c r="J84" s="3">
        <v>1.3808219178082</v>
      </c>
      <c r="K84" s="3">
        <v>1.3270385670596001</v>
      </c>
      <c r="L84" s="2" t="s">
        <v>375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100.298</v>
      </c>
      <c r="H85" s="3">
        <v>1.8881546034922001</v>
      </c>
      <c r="I85" s="3">
        <v>1.5827312261116999</v>
      </c>
      <c r="J85" s="3">
        <v>0.54794520547945003</v>
      </c>
      <c r="K85" s="3">
        <v>0.53711093151456002</v>
      </c>
      <c r="L85" s="2" t="s">
        <v>375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99.15</v>
      </c>
      <c r="H86" s="3">
        <v>4.3953236452917999</v>
      </c>
      <c r="I86" s="3">
        <v>3.8436154936773002</v>
      </c>
      <c r="J86" s="3">
        <v>29.443835616438001</v>
      </c>
      <c r="K86" s="3">
        <v>16.154833095324001</v>
      </c>
      <c r="L86" s="2" t="s">
        <v>375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101.045</v>
      </c>
      <c r="H87" s="3">
        <v>1.9830848516505999</v>
      </c>
      <c r="I87" s="3">
        <v>1.5524350891737</v>
      </c>
      <c r="J87" s="3">
        <v>0.71506849315068</v>
      </c>
      <c r="K87" s="3">
        <v>0.69288371342146005</v>
      </c>
      <c r="L87" s="2" t="s">
        <v>375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94.85</v>
      </c>
      <c r="H88" s="3">
        <v>2.1134491664536998</v>
      </c>
      <c r="I88" s="3">
        <v>2.0747599467455</v>
      </c>
      <c r="J88" s="3">
        <v>2.8794520547945002</v>
      </c>
      <c r="K88" s="3">
        <v>2.8103899464348001</v>
      </c>
      <c r="L88" s="2" t="s">
        <v>375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80.83</v>
      </c>
      <c r="H89" s="3">
        <v>3.6299118461585</v>
      </c>
      <c r="I89" s="3">
        <v>3.4196004798145001</v>
      </c>
      <c r="J89" s="3">
        <v>10.846575342466</v>
      </c>
      <c r="K89" s="3">
        <v>9.5929484761668</v>
      </c>
      <c r="L89" s="2" t="s">
        <v>375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98.13</v>
      </c>
      <c r="H90" s="3">
        <v>4.0505096838997998</v>
      </c>
      <c r="I90" s="3">
        <v>3.5511247371786001</v>
      </c>
      <c r="J90" s="3">
        <v>15.435616438356</v>
      </c>
      <c r="K90" s="3">
        <v>11.250628248403</v>
      </c>
      <c r="L90" s="2" t="s">
        <v>375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99.745999999999995</v>
      </c>
      <c r="H91" s="3">
        <v>2.0402783707319001</v>
      </c>
      <c r="I91" s="3">
        <v>1.8787523335965</v>
      </c>
      <c r="J91" s="3">
        <v>0.29589041095890001</v>
      </c>
      <c r="K91" s="3">
        <v>0.29001065643561003</v>
      </c>
      <c r="L91" s="2" t="s">
        <v>375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9.8958904109589003</v>
      </c>
      <c r="K92" s="3">
        <v>0</v>
      </c>
      <c r="L92" s="2" t="s">
        <v>369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108.05</v>
      </c>
      <c r="H93" s="3">
        <v>2.2430200721569</v>
      </c>
      <c r="I93" s="3">
        <v>1.6716988295321</v>
      </c>
      <c r="J93" s="3">
        <v>3.3452054794520998</v>
      </c>
      <c r="K93" s="3">
        <v>3.0529222183171001</v>
      </c>
      <c r="L93" s="2" t="s">
        <v>375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102.84</v>
      </c>
      <c r="H94" s="3">
        <v>4.3686403737081001</v>
      </c>
      <c r="I94" s="3">
        <v>3.8054236773904</v>
      </c>
      <c r="J94" s="3">
        <v>28.443835616438001</v>
      </c>
      <c r="K94" s="3">
        <v>15.754047372312</v>
      </c>
      <c r="L94" s="2" t="s">
        <v>375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100.75</v>
      </c>
      <c r="H95" s="3">
        <v>3.1562322178125002</v>
      </c>
      <c r="I95" s="3">
        <v>2.7459158511458002</v>
      </c>
      <c r="J95" s="3">
        <v>7.2164383561644003</v>
      </c>
      <c r="K95" s="3">
        <v>6.2924546157938002</v>
      </c>
      <c r="L95" s="2" t="s">
        <v>375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100.87</v>
      </c>
      <c r="H96" s="3">
        <v>1.9924575819796999</v>
      </c>
      <c r="I96" s="3">
        <v>1.5801772961395999</v>
      </c>
      <c r="J96" s="3">
        <v>0.75068493150685001</v>
      </c>
      <c r="K96" s="3">
        <v>0.72845505660680998</v>
      </c>
      <c r="L96" s="2" t="s">
        <v>375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100.61499999999999</v>
      </c>
      <c r="H97" s="3">
        <v>2.0558047201408001</v>
      </c>
      <c r="I97" s="3">
        <v>1.6136601448048999</v>
      </c>
      <c r="J97" s="3">
        <v>0.41917808219177999</v>
      </c>
      <c r="K97" s="3">
        <v>0.41080365972442001</v>
      </c>
      <c r="L97" s="2" t="s">
        <v>375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99.954999999999998</v>
      </c>
      <c r="H98" s="3">
        <v>2.0852776025800002</v>
      </c>
      <c r="I98" s="3">
        <v>1.8507351468055</v>
      </c>
      <c r="J98" s="3">
        <v>0.17260273972602999</v>
      </c>
      <c r="K98" s="3">
        <v>0.16909060230112999</v>
      </c>
      <c r="L98" s="2" t="s">
        <v>375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101.47</v>
      </c>
      <c r="H99" s="3">
        <v>1.990705442726</v>
      </c>
      <c r="I99" s="3">
        <v>1.6032845949132</v>
      </c>
      <c r="J99" s="3">
        <v>1.3315068493151001</v>
      </c>
      <c r="K99" s="3">
        <v>1.2835251917965</v>
      </c>
      <c r="L99" s="2" t="s">
        <v>375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100.84</v>
      </c>
      <c r="H100" s="3">
        <v>3.0246025092035</v>
      </c>
      <c r="I100" s="3">
        <v>2.627971007352</v>
      </c>
      <c r="J100" s="3">
        <v>6.5506849315068001</v>
      </c>
      <c r="K100" s="3">
        <v>5.7217337077483998</v>
      </c>
      <c r="L100" s="2" t="s">
        <v>375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100.99</v>
      </c>
      <c r="H101" s="3">
        <v>2.0028307119752999</v>
      </c>
      <c r="I101" s="3">
        <v>1.6782706762441</v>
      </c>
      <c r="J101" s="3">
        <v>1.8273972602740001</v>
      </c>
      <c r="K101" s="3">
        <v>1.7549259134673001</v>
      </c>
      <c r="L101" s="2" t="s">
        <v>375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103.47</v>
      </c>
      <c r="H102" s="3">
        <v>2.1741430859742001</v>
      </c>
      <c r="I102" s="3">
        <v>1.7414713698652</v>
      </c>
      <c r="J102" s="3">
        <v>2.9260273972603001</v>
      </c>
      <c r="K102" s="3">
        <v>2.7510317839764</v>
      </c>
      <c r="L102" s="2" t="s">
        <v>375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103.85</v>
      </c>
      <c r="H103" s="3">
        <v>2.8781768798277998</v>
      </c>
      <c r="I103" s="3">
        <v>2.4180082951822</v>
      </c>
      <c r="J103" s="3">
        <v>4.8520547945204999</v>
      </c>
      <c r="K103" s="3">
        <v>4.3464046108029999</v>
      </c>
      <c r="L103" s="2" t="s">
        <v>375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103.85</v>
      </c>
      <c r="H104" s="3">
        <v>3.0123331251529</v>
      </c>
      <c r="I104" s="3">
        <v>2.5400091903422002</v>
      </c>
      <c r="J104" s="3">
        <v>4.8520547945204999</v>
      </c>
      <c r="K104" s="3">
        <v>4.3415434732653999</v>
      </c>
      <c r="L104" s="2" t="s">
        <v>375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105.87</v>
      </c>
      <c r="H105" s="3">
        <v>2.5649235977439999</v>
      </c>
      <c r="I105" s="3">
        <v>2.0333506041151002</v>
      </c>
      <c r="J105" s="3">
        <v>3.4520547945205999</v>
      </c>
      <c r="K105" s="3">
        <v>3.1516226331681998</v>
      </c>
      <c r="L105" s="2" t="s">
        <v>375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105.87</v>
      </c>
      <c r="H106" s="3">
        <v>2.7017227060148001</v>
      </c>
      <c r="I106" s="3">
        <v>2.159399738057</v>
      </c>
      <c r="J106" s="3">
        <v>3.4520547945205999</v>
      </c>
      <c r="K106" s="3">
        <v>3.1477702608684002</v>
      </c>
      <c r="L106" s="2" t="s">
        <v>375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103.57</v>
      </c>
      <c r="H107" s="3">
        <v>2.2337098898711001</v>
      </c>
      <c r="I107" s="3">
        <v>1.7463470176307001</v>
      </c>
      <c r="J107" s="3">
        <v>2.1232876712328999</v>
      </c>
      <c r="K107" s="3">
        <v>1.9946029801848999</v>
      </c>
      <c r="L107" s="2" t="s">
        <v>375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103.57</v>
      </c>
      <c r="H108" s="3">
        <v>2.461651979664</v>
      </c>
      <c r="I108" s="3">
        <v>1.9601203636432001</v>
      </c>
      <c r="J108" s="3">
        <v>2.1232876712328999</v>
      </c>
      <c r="K108" s="3">
        <v>1.9902904122105001</v>
      </c>
      <c r="L108" s="2" t="s">
        <v>375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</v>
      </c>
      <c r="H109" s="3">
        <v>2.9491019209971001</v>
      </c>
      <c r="I109" s="3">
        <v>2.4917279540875001</v>
      </c>
      <c r="J109" s="3">
        <v>5.0438356164384004</v>
      </c>
      <c r="K109" s="3">
        <v>4.4892898622511002</v>
      </c>
      <c r="L109" s="2" t="s">
        <v>375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</v>
      </c>
      <c r="H110" s="3">
        <v>3.0963638955717001</v>
      </c>
      <c r="I110" s="3">
        <v>2.6250509973010998</v>
      </c>
      <c r="J110" s="3">
        <v>5.0438356164384004</v>
      </c>
      <c r="K110" s="3">
        <v>4.4838460423831004</v>
      </c>
      <c r="L110" s="2" t="s">
        <v>375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101.64</v>
      </c>
      <c r="H111" s="3">
        <v>4.7729350992638002</v>
      </c>
      <c r="I111" s="3">
        <v>4.4448290677114999</v>
      </c>
      <c r="J111" s="3">
        <v>31.065753424657998</v>
      </c>
      <c r="K111" s="3">
        <v>5.7209478869407997</v>
      </c>
      <c r="L111" s="2" t="s">
        <v>375</v>
      </c>
      <c r="M111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D95D-591D-B345-A042-313D797B1046}">
  <dimension ref="A1:M111"/>
  <sheetViews>
    <sheetView workbookViewId="0">
      <selection activeCell="G13" sqref="G13"/>
    </sheetView>
  </sheetViews>
  <sheetFormatPr baseColWidth="10" defaultRowHeight="16" x14ac:dyDescent="0.2"/>
  <sheetData>
    <row r="1" spans="1:13" x14ac:dyDescent="0.2">
      <c r="A1" s="6" t="s">
        <v>220</v>
      </c>
      <c r="B1" s="6" t="s">
        <v>221</v>
      </c>
      <c r="C1" s="6" t="s">
        <v>222</v>
      </c>
      <c r="D1" s="6" t="s">
        <v>223</v>
      </c>
      <c r="E1" s="6" t="s">
        <v>224</v>
      </c>
      <c r="F1" s="6" t="s">
        <v>225</v>
      </c>
      <c r="G1" s="6" t="s">
        <v>226</v>
      </c>
      <c r="H1" s="6" t="s">
        <v>227</v>
      </c>
      <c r="I1" s="6" t="s">
        <v>228</v>
      </c>
      <c r="J1" s="6" t="s">
        <v>229</v>
      </c>
      <c r="K1" s="6" t="s">
        <v>230</v>
      </c>
      <c r="L1" s="6" t="s">
        <v>231</v>
      </c>
      <c r="M1" s="6"/>
    </row>
    <row r="2" spans="1:13" x14ac:dyDescent="0.2">
      <c r="A2" s="7" t="s">
        <v>4</v>
      </c>
      <c r="B2" s="7" t="s">
        <v>232</v>
      </c>
      <c r="C2" s="7" t="s">
        <v>233</v>
      </c>
      <c r="D2" s="7" t="s">
        <v>234</v>
      </c>
      <c r="E2" s="7">
        <v>48611</v>
      </c>
      <c r="F2" s="8">
        <v>2.875</v>
      </c>
      <c r="G2" s="8">
        <v>117.4</v>
      </c>
      <c r="H2" s="8">
        <v>3.2210000000000001</v>
      </c>
      <c r="I2" s="8">
        <v>2.5579999999999998</v>
      </c>
      <c r="J2" s="8">
        <v>7.7640000000000002</v>
      </c>
      <c r="K2" s="8">
        <v>6.2229999999999999</v>
      </c>
      <c r="L2" s="7">
        <v>45775</v>
      </c>
      <c r="M2" s="9"/>
    </row>
    <row r="3" spans="1:13" x14ac:dyDescent="0.2">
      <c r="A3" s="7" t="s">
        <v>23</v>
      </c>
      <c r="B3" s="7" t="s">
        <v>236</v>
      </c>
      <c r="C3" s="7" t="s">
        <v>233</v>
      </c>
      <c r="D3" s="7" t="s">
        <v>234</v>
      </c>
      <c r="E3" s="7">
        <v>46539</v>
      </c>
      <c r="F3" s="8">
        <v>1.1000000000000001</v>
      </c>
      <c r="G3" s="8">
        <v>100.6</v>
      </c>
      <c r="H3" s="8">
        <v>1.9139999999999999</v>
      </c>
      <c r="I3" s="8">
        <v>1.623</v>
      </c>
      <c r="J3" s="8">
        <v>2.0880000000000001</v>
      </c>
      <c r="K3" s="8">
        <v>1.996</v>
      </c>
      <c r="L3" s="7">
        <v>45775</v>
      </c>
      <c r="M3" s="9"/>
    </row>
    <row r="4" spans="1:13" x14ac:dyDescent="0.2">
      <c r="A4" s="7" t="s">
        <v>27</v>
      </c>
      <c r="B4" s="7" t="s">
        <v>237</v>
      </c>
      <c r="C4" s="7" t="s">
        <v>233</v>
      </c>
      <c r="D4" s="7" t="s">
        <v>234</v>
      </c>
      <c r="E4" s="7">
        <v>46784</v>
      </c>
      <c r="F4" s="8">
        <v>1</v>
      </c>
      <c r="G4" s="8">
        <v>99.87</v>
      </c>
      <c r="H4" s="8">
        <v>2.0569999999999999</v>
      </c>
      <c r="I4" s="8">
        <v>1.8</v>
      </c>
      <c r="J4" s="8">
        <v>2.7589999999999999</v>
      </c>
      <c r="K4" s="8">
        <v>2.6309999999999998</v>
      </c>
      <c r="L4" s="7">
        <v>45775</v>
      </c>
      <c r="M4" s="9"/>
    </row>
    <row r="5" spans="1:13" x14ac:dyDescent="0.2">
      <c r="A5" s="7" t="s">
        <v>32</v>
      </c>
      <c r="B5" s="7" t="s">
        <v>238</v>
      </c>
      <c r="C5" s="7" t="s">
        <v>233</v>
      </c>
      <c r="D5" s="7" t="s">
        <v>234</v>
      </c>
      <c r="E5" s="7">
        <v>47331</v>
      </c>
      <c r="F5" s="8">
        <v>1.5</v>
      </c>
      <c r="G5" s="8">
        <v>102.35</v>
      </c>
      <c r="H5" s="8">
        <v>2.4289999999999998</v>
      </c>
      <c r="I5" s="8">
        <v>2.0550000000000002</v>
      </c>
      <c r="J5" s="8">
        <v>4.258</v>
      </c>
      <c r="K5" s="8">
        <v>3.91</v>
      </c>
      <c r="L5" s="7">
        <v>45775</v>
      </c>
      <c r="M5" s="9"/>
    </row>
    <row r="6" spans="1:13" x14ac:dyDescent="0.2">
      <c r="A6" s="7" t="s">
        <v>83</v>
      </c>
      <c r="B6" s="7" t="s">
        <v>239</v>
      </c>
      <c r="C6" s="7" t="s">
        <v>233</v>
      </c>
      <c r="D6" s="7" t="s">
        <v>234</v>
      </c>
      <c r="E6" s="7">
        <v>51044</v>
      </c>
      <c r="F6" s="8">
        <v>2.0750000000000002</v>
      </c>
      <c r="G6" s="8">
        <v>102.27</v>
      </c>
      <c r="H6" s="8">
        <v>3.9769999999999999</v>
      </c>
      <c r="I6" s="8">
        <v>3.4540000000000002</v>
      </c>
      <c r="J6" s="8">
        <v>14.43</v>
      </c>
      <c r="K6" s="8">
        <v>10.593999999999999</v>
      </c>
      <c r="L6" s="7">
        <v>45775</v>
      </c>
      <c r="M6" s="9"/>
    </row>
    <row r="7" spans="1:13" x14ac:dyDescent="0.2">
      <c r="A7" s="7" t="s">
        <v>49</v>
      </c>
      <c r="B7" s="7" t="s">
        <v>240</v>
      </c>
      <c r="C7" s="7" t="s">
        <v>233</v>
      </c>
      <c r="D7" s="7" t="s">
        <v>234</v>
      </c>
      <c r="E7" s="7">
        <v>48061</v>
      </c>
      <c r="F7" s="8">
        <v>0.3</v>
      </c>
      <c r="G7" s="8">
        <v>86.88</v>
      </c>
      <c r="H7" s="8">
        <v>2.9289999999999998</v>
      </c>
      <c r="I7" s="8">
        <v>2.847</v>
      </c>
      <c r="J7" s="8">
        <v>6.258</v>
      </c>
      <c r="K7" s="8">
        <v>5.9560000000000004</v>
      </c>
      <c r="L7" s="7">
        <v>45775</v>
      </c>
      <c r="M7" s="9"/>
    </row>
    <row r="8" spans="1:13" x14ac:dyDescent="0.2">
      <c r="A8" s="7" t="s">
        <v>11</v>
      </c>
      <c r="B8" s="7" t="s">
        <v>241</v>
      </c>
      <c r="C8" s="7" t="s">
        <v>233</v>
      </c>
      <c r="D8" s="7" t="s">
        <v>234</v>
      </c>
      <c r="E8" s="7">
        <v>52841</v>
      </c>
      <c r="F8" s="8">
        <v>2.375</v>
      </c>
      <c r="G8" s="8">
        <v>108.57</v>
      </c>
      <c r="H8" s="8">
        <v>4.1420000000000003</v>
      </c>
      <c r="I8" s="8">
        <v>3.5649999999999999</v>
      </c>
      <c r="J8" s="8">
        <v>19.353000000000002</v>
      </c>
      <c r="K8" s="8">
        <v>12.548</v>
      </c>
      <c r="L8" s="7">
        <v>45775</v>
      </c>
      <c r="M8" s="9"/>
    </row>
    <row r="9" spans="1:13" x14ac:dyDescent="0.2">
      <c r="A9" s="7" t="s">
        <v>12</v>
      </c>
      <c r="B9" s="7" t="s">
        <v>242</v>
      </c>
      <c r="C9" s="7" t="s">
        <v>233</v>
      </c>
      <c r="D9" s="7" t="s">
        <v>234</v>
      </c>
      <c r="E9" s="7">
        <v>47543</v>
      </c>
      <c r="F9" s="8">
        <v>1.75</v>
      </c>
      <c r="G9" s="8">
        <v>104.46</v>
      </c>
      <c r="H9" s="8">
        <v>2.5289999999999999</v>
      </c>
      <c r="I9" s="8">
        <v>2.0950000000000002</v>
      </c>
      <c r="J9" s="8">
        <v>4.8380000000000001</v>
      </c>
      <c r="K9" s="8">
        <v>4.3680000000000003</v>
      </c>
      <c r="L9" s="7">
        <v>45775</v>
      </c>
      <c r="M9" s="9"/>
    </row>
    <row r="10" spans="1:13" x14ac:dyDescent="0.2">
      <c r="A10" s="7" t="s">
        <v>15</v>
      </c>
      <c r="B10" s="7" t="s">
        <v>243</v>
      </c>
      <c r="C10" s="7" t="s">
        <v>233</v>
      </c>
      <c r="D10" s="7" t="s">
        <v>234</v>
      </c>
      <c r="E10" s="7">
        <v>48274</v>
      </c>
      <c r="F10" s="8">
        <v>0.82499999999999996</v>
      </c>
      <c r="G10" s="8">
        <v>91.68</v>
      </c>
      <c r="H10" s="8">
        <v>3.0259999999999998</v>
      </c>
      <c r="I10" s="8">
        <v>2.8039999999999998</v>
      </c>
      <c r="J10" s="8">
        <v>6.8410000000000002</v>
      </c>
      <c r="K10" s="8">
        <v>6.27</v>
      </c>
      <c r="L10" s="7">
        <v>45775</v>
      </c>
      <c r="M10" s="9"/>
    </row>
    <row r="11" spans="1:13" x14ac:dyDescent="0.2">
      <c r="A11" s="7" t="s">
        <v>18</v>
      </c>
      <c r="B11" s="7" t="s">
        <v>244</v>
      </c>
      <c r="C11" s="7" t="s">
        <v>233</v>
      </c>
      <c r="D11" s="7" t="s">
        <v>234</v>
      </c>
      <c r="E11" s="7">
        <v>46174</v>
      </c>
      <c r="F11" s="8">
        <v>0.8</v>
      </c>
      <c r="G11" s="8">
        <v>99.75</v>
      </c>
      <c r="H11" s="8">
        <v>1.841</v>
      </c>
      <c r="I11" s="8">
        <v>1.639</v>
      </c>
      <c r="J11" s="8">
        <v>1.0880000000000001</v>
      </c>
      <c r="K11" s="8">
        <v>1.056</v>
      </c>
      <c r="L11" s="7">
        <v>45775</v>
      </c>
      <c r="M11" s="9"/>
    </row>
    <row r="12" spans="1:13" x14ac:dyDescent="0.2">
      <c r="A12" s="7" t="s">
        <v>19</v>
      </c>
      <c r="B12" s="7" t="s">
        <v>245</v>
      </c>
      <c r="C12" s="7" t="s">
        <v>233</v>
      </c>
      <c r="D12" s="7" t="s">
        <v>234</v>
      </c>
      <c r="E12" s="7">
        <v>49919</v>
      </c>
      <c r="F12" s="8">
        <v>1.125</v>
      </c>
      <c r="G12" s="8">
        <v>87.17</v>
      </c>
      <c r="H12" s="8">
        <v>3.6709999999999998</v>
      </c>
      <c r="I12" s="8">
        <v>3.359</v>
      </c>
      <c r="J12" s="8">
        <v>11.348000000000001</v>
      </c>
      <c r="K12" s="8">
        <v>9.5730000000000004</v>
      </c>
      <c r="L12" s="7">
        <v>45775</v>
      </c>
      <c r="M12" s="9"/>
    </row>
    <row r="13" spans="1:13" x14ac:dyDescent="0.2">
      <c r="A13" s="7" t="s">
        <v>24</v>
      </c>
      <c r="B13" s="7" t="s">
        <v>246</v>
      </c>
      <c r="C13" s="7" t="s">
        <v>233</v>
      </c>
      <c r="D13" s="7" t="s">
        <v>234</v>
      </c>
      <c r="E13" s="7">
        <v>54118</v>
      </c>
      <c r="F13" s="8">
        <v>1.7250000000000001</v>
      </c>
      <c r="G13" s="8">
        <v>89.28</v>
      </c>
      <c r="H13" s="8">
        <v>4.2229999999999999</v>
      </c>
      <c r="I13" s="8">
        <v>3.7490000000000001</v>
      </c>
      <c r="J13" s="8">
        <v>22.852</v>
      </c>
      <c r="K13" s="8">
        <v>14.819000000000001</v>
      </c>
      <c r="L13" s="7">
        <v>45775</v>
      </c>
      <c r="M13" s="9"/>
    </row>
    <row r="14" spans="1:13" x14ac:dyDescent="0.2">
      <c r="A14" s="7" t="s">
        <v>34</v>
      </c>
      <c r="B14" s="7" t="s">
        <v>247</v>
      </c>
      <c r="C14" s="7" t="s">
        <v>233</v>
      </c>
      <c r="D14" s="7" t="s">
        <v>234</v>
      </c>
      <c r="E14" s="7">
        <v>51196</v>
      </c>
      <c r="F14" s="8">
        <v>1.55</v>
      </c>
      <c r="G14" s="8">
        <v>90.67</v>
      </c>
      <c r="H14" s="8">
        <v>3.972</v>
      </c>
      <c r="I14" s="8">
        <v>3.552</v>
      </c>
      <c r="J14" s="8">
        <v>14.847</v>
      </c>
      <c r="K14" s="8">
        <v>11.326000000000001</v>
      </c>
      <c r="L14" s="7">
        <v>45775</v>
      </c>
      <c r="M14" s="9"/>
    </row>
    <row r="15" spans="1:13" x14ac:dyDescent="0.2">
      <c r="A15" s="7" t="s">
        <v>50</v>
      </c>
      <c r="B15" s="7" t="s">
        <v>248</v>
      </c>
      <c r="C15" s="7" t="s">
        <v>233</v>
      </c>
      <c r="D15" s="7" t="s">
        <v>234</v>
      </c>
      <c r="E15" s="10">
        <v>46113</v>
      </c>
      <c r="F15" s="8">
        <v>0</v>
      </c>
      <c r="G15" s="8">
        <v>98.284000000000006</v>
      </c>
      <c r="H15" s="8">
        <v>1.871</v>
      </c>
      <c r="I15" s="8">
        <v>1.8580000000000001</v>
      </c>
      <c r="J15" s="8">
        <v>0.92100000000000004</v>
      </c>
      <c r="K15" s="8">
        <v>0.90400000000000003</v>
      </c>
      <c r="L15" s="7">
        <v>45775</v>
      </c>
      <c r="M15" s="9"/>
    </row>
    <row r="16" spans="1:13" x14ac:dyDescent="0.2">
      <c r="A16" s="7" t="s">
        <v>51</v>
      </c>
      <c r="B16" s="7" t="s">
        <v>249</v>
      </c>
      <c r="C16" s="7" t="s">
        <v>233</v>
      </c>
      <c r="D16" s="7" t="s">
        <v>234</v>
      </c>
      <c r="E16" s="7">
        <v>62884</v>
      </c>
      <c r="F16" s="8">
        <v>1.075</v>
      </c>
      <c r="G16" s="8">
        <v>60.04</v>
      </c>
      <c r="H16" s="8">
        <v>4.1029999999999998</v>
      </c>
      <c r="I16" s="8">
        <v>3.7069999999999999</v>
      </c>
      <c r="J16" s="8">
        <v>46.868000000000002</v>
      </c>
      <c r="K16" s="8">
        <v>23.257000000000001</v>
      </c>
      <c r="L16" s="7">
        <v>45775</v>
      </c>
      <c r="M16" s="9"/>
    </row>
    <row r="17" spans="1:13" x14ac:dyDescent="0.2">
      <c r="A17" s="7" t="s">
        <v>62</v>
      </c>
      <c r="B17" s="7" t="s">
        <v>250</v>
      </c>
      <c r="C17" s="7" t="s">
        <v>233</v>
      </c>
      <c r="D17" s="7" t="s">
        <v>234</v>
      </c>
      <c r="E17" s="7">
        <v>50465</v>
      </c>
      <c r="F17" s="8">
        <v>1.625</v>
      </c>
      <c r="G17" s="8">
        <v>94.41</v>
      </c>
      <c r="H17" s="8">
        <v>3.8380000000000001</v>
      </c>
      <c r="I17" s="8">
        <v>3.4089999999999998</v>
      </c>
      <c r="J17" s="8">
        <v>12.843999999999999</v>
      </c>
      <c r="K17" s="8">
        <v>10.08</v>
      </c>
      <c r="L17" s="7">
        <v>45775</v>
      </c>
      <c r="M17" s="9"/>
    </row>
    <row r="18" spans="1:13" x14ac:dyDescent="0.2">
      <c r="A18" s="7" t="s">
        <v>58</v>
      </c>
      <c r="B18" s="7" t="s">
        <v>251</v>
      </c>
      <c r="C18" s="7" t="s">
        <v>233</v>
      </c>
      <c r="D18" s="7" t="s">
        <v>234</v>
      </c>
      <c r="E18" s="7">
        <v>46478</v>
      </c>
      <c r="F18" s="8">
        <v>0.55000000000000004</v>
      </c>
      <c r="G18" s="8">
        <v>98.48</v>
      </c>
      <c r="H18" s="8">
        <v>1.919</v>
      </c>
      <c r="I18" s="8">
        <v>1.7789999999999999</v>
      </c>
      <c r="J18" s="8">
        <v>1.921</v>
      </c>
      <c r="K18" s="8">
        <v>1.8680000000000001</v>
      </c>
      <c r="L18" s="7">
        <v>45775</v>
      </c>
      <c r="M18" s="9"/>
    </row>
    <row r="19" spans="1:13" x14ac:dyDescent="0.2">
      <c r="A19" s="7" t="s">
        <v>86</v>
      </c>
      <c r="B19" s="7" t="s">
        <v>252</v>
      </c>
      <c r="C19" s="7" t="s">
        <v>233</v>
      </c>
      <c r="D19" s="7" t="s">
        <v>234</v>
      </c>
      <c r="E19" s="7">
        <v>47300</v>
      </c>
      <c r="F19" s="8">
        <v>1.675</v>
      </c>
      <c r="G19" s="8">
        <v>103.43</v>
      </c>
      <c r="H19" s="8">
        <v>2.4910000000000001</v>
      </c>
      <c r="I19" s="8">
        <v>2.073</v>
      </c>
      <c r="J19" s="8">
        <v>4.173</v>
      </c>
      <c r="K19" s="8">
        <v>3.802</v>
      </c>
      <c r="L19" s="7">
        <v>45775</v>
      </c>
      <c r="M19" s="9"/>
    </row>
    <row r="20" spans="1:13" x14ac:dyDescent="0.2">
      <c r="A20" s="7" t="s">
        <v>87</v>
      </c>
      <c r="B20" s="7" t="s">
        <v>253</v>
      </c>
      <c r="C20" s="7" t="s">
        <v>233</v>
      </c>
      <c r="D20" s="7" t="s">
        <v>234</v>
      </c>
      <c r="E20" s="7">
        <v>49126</v>
      </c>
      <c r="F20" s="8">
        <v>1.925</v>
      </c>
      <c r="G20" s="8">
        <v>103.34</v>
      </c>
      <c r="H20" s="8">
        <v>3.448</v>
      </c>
      <c r="I20" s="8">
        <v>2.9670000000000001</v>
      </c>
      <c r="J20" s="8">
        <v>9.1750000000000007</v>
      </c>
      <c r="K20" s="8">
        <v>7.4969999999999999</v>
      </c>
      <c r="L20" s="7">
        <v>45775</v>
      </c>
      <c r="M20" s="9"/>
    </row>
    <row r="21" spans="1:13" x14ac:dyDescent="0.2">
      <c r="A21" s="7" t="s">
        <v>41</v>
      </c>
      <c r="B21" s="7" t="s">
        <v>254</v>
      </c>
      <c r="C21" s="7" t="s">
        <v>233</v>
      </c>
      <c r="D21" s="7" t="s">
        <v>234</v>
      </c>
      <c r="E21" s="7">
        <v>47818</v>
      </c>
      <c r="F21" s="8">
        <v>0.82499999999999996</v>
      </c>
      <c r="G21" s="8">
        <v>94.24</v>
      </c>
      <c r="H21" s="8">
        <v>2.7850000000000001</v>
      </c>
      <c r="I21" s="8">
        <v>2.5649999999999999</v>
      </c>
      <c r="J21" s="8">
        <v>5.5919999999999996</v>
      </c>
      <c r="K21" s="8">
        <v>5.1760000000000002</v>
      </c>
      <c r="L21" s="7">
        <v>45775</v>
      </c>
      <c r="M21" s="9"/>
    </row>
    <row r="22" spans="1:13" x14ac:dyDescent="0.2">
      <c r="A22" s="7" t="s">
        <v>53</v>
      </c>
      <c r="B22" s="7" t="s">
        <v>255</v>
      </c>
      <c r="C22" s="7" t="s">
        <v>233</v>
      </c>
      <c r="D22" s="7" t="s">
        <v>234</v>
      </c>
      <c r="E22" s="7">
        <v>48183</v>
      </c>
      <c r="F22" s="8">
        <v>0.47499999999999998</v>
      </c>
      <c r="G22" s="8">
        <v>88</v>
      </c>
      <c r="H22" s="8">
        <v>2.9889999999999999</v>
      </c>
      <c r="I22" s="8">
        <v>2.859</v>
      </c>
      <c r="J22" s="8">
        <v>6.5919999999999996</v>
      </c>
      <c r="K22" s="8">
        <v>6.1769999999999996</v>
      </c>
      <c r="L22" s="7">
        <v>45775</v>
      </c>
      <c r="M22" s="9"/>
    </row>
    <row r="23" spans="1:13" x14ac:dyDescent="0.2">
      <c r="A23" s="7" t="s">
        <v>74</v>
      </c>
      <c r="B23" s="7" t="s">
        <v>256</v>
      </c>
      <c r="C23" s="7" t="s">
        <v>233</v>
      </c>
      <c r="D23" s="7" t="s">
        <v>234</v>
      </c>
      <c r="E23" s="7">
        <v>46966</v>
      </c>
      <c r="F23" s="8">
        <v>1.9</v>
      </c>
      <c r="G23" s="8">
        <v>104.9</v>
      </c>
      <c r="H23" s="8">
        <v>2.2429999999999999</v>
      </c>
      <c r="I23" s="8">
        <v>1.7769999999999999</v>
      </c>
      <c r="J23" s="8">
        <v>3.258</v>
      </c>
      <c r="K23" s="8">
        <v>3.0059999999999998</v>
      </c>
      <c r="L23" s="7">
        <v>45775</v>
      </c>
      <c r="M23" s="9"/>
    </row>
    <row r="24" spans="1:13" x14ac:dyDescent="0.2">
      <c r="A24" s="7" t="s">
        <v>5</v>
      </c>
      <c r="B24" s="7" t="s">
        <v>257</v>
      </c>
      <c r="C24" s="7" t="s">
        <v>233</v>
      </c>
      <c r="D24" s="7" t="s">
        <v>234</v>
      </c>
      <c r="E24" s="7">
        <v>49157</v>
      </c>
      <c r="F24" s="8">
        <v>2.5</v>
      </c>
      <c r="G24" s="8">
        <v>112.65</v>
      </c>
      <c r="H24" s="8">
        <v>3.423</v>
      </c>
      <c r="I24" s="8">
        <v>2.8290000000000002</v>
      </c>
      <c r="J24" s="8">
        <v>9.26</v>
      </c>
      <c r="K24" s="8">
        <v>7.3140000000000001</v>
      </c>
      <c r="L24" s="7">
        <v>45775</v>
      </c>
      <c r="M24" s="9"/>
    </row>
    <row r="25" spans="1:13" x14ac:dyDescent="0.2">
      <c r="A25" s="7" t="s">
        <v>6</v>
      </c>
      <c r="B25" s="7" t="s">
        <v>258</v>
      </c>
      <c r="C25" s="7" t="s">
        <v>233</v>
      </c>
      <c r="D25" s="7" t="s">
        <v>234</v>
      </c>
      <c r="E25" s="7">
        <v>50072</v>
      </c>
      <c r="F25" s="8">
        <v>2</v>
      </c>
      <c r="G25" s="8">
        <v>103.31</v>
      </c>
      <c r="H25" s="8">
        <v>3.68</v>
      </c>
      <c r="I25" s="8">
        <v>3.1819999999999999</v>
      </c>
      <c r="J25" s="8">
        <v>11.766999999999999</v>
      </c>
      <c r="K25" s="8">
        <v>9.1229999999999993</v>
      </c>
      <c r="L25" s="7">
        <v>45775</v>
      </c>
      <c r="M25" s="9"/>
    </row>
    <row r="26" spans="1:13" x14ac:dyDescent="0.2">
      <c r="A26" s="7" t="s">
        <v>7</v>
      </c>
      <c r="B26" s="7" t="s">
        <v>259</v>
      </c>
      <c r="C26" s="7" t="s">
        <v>233</v>
      </c>
      <c r="D26" s="7" t="s">
        <v>234</v>
      </c>
      <c r="E26" s="7">
        <v>50983</v>
      </c>
      <c r="F26" s="8">
        <v>2.5</v>
      </c>
      <c r="G26" s="8">
        <v>111.96</v>
      </c>
      <c r="H26" s="8">
        <v>3.9340000000000002</v>
      </c>
      <c r="I26" s="8">
        <v>3.3410000000000002</v>
      </c>
      <c r="J26" s="8">
        <v>14.263</v>
      </c>
      <c r="K26" s="8">
        <v>10.103</v>
      </c>
      <c r="L26" s="7">
        <v>45775</v>
      </c>
      <c r="M26" s="9"/>
    </row>
    <row r="27" spans="1:13" x14ac:dyDescent="0.2">
      <c r="A27" s="7" t="s">
        <v>20</v>
      </c>
      <c r="B27" s="7" t="s">
        <v>260</v>
      </c>
      <c r="C27" s="7" t="s">
        <v>233</v>
      </c>
      <c r="D27" s="7" t="s">
        <v>234</v>
      </c>
      <c r="E27" s="7">
        <v>46357</v>
      </c>
      <c r="F27" s="8">
        <v>0.625</v>
      </c>
      <c r="G27" s="8">
        <v>99.06</v>
      </c>
      <c r="H27" s="8">
        <v>1.86</v>
      </c>
      <c r="I27" s="8">
        <v>1.702</v>
      </c>
      <c r="J27" s="8">
        <v>1.589</v>
      </c>
      <c r="K27" s="8">
        <v>1.542</v>
      </c>
      <c r="L27" s="7">
        <v>45775</v>
      </c>
      <c r="M27" s="9"/>
    </row>
    <row r="28" spans="1:13" x14ac:dyDescent="0.2">
      <c r="A28" s="7" t="s">
        <v>28</v>
      </c>
      <c r="B28" s="7" t="s">
        <v>261</v>
      </c>
      <c r="C28" s="7" t="s">
        <v>233</v>
      </c>
      <c r="D28" s="7" t="s">
        <v>234</v>
      </c>
      <c r="E28" s="7">
        <v>47088</v>
      </c>
      <c r="F28" s="8">
        <v>1.4</v>
      </c>
      <c r="G28" s="8">
        <v>102</v>
      </c>
      <c r="H28" s="8">
        <v>2.2269999999999999</v>
      </c>
      <c r="I28" s="8">
        <v>1.873</v>
      </c>
      <c r="J28" s="8">
        <v>3.5920000000000001</v>
      </c>
      <c r="K28" s="8">
        <v>3.3319999999999999</v>
      </c>
      <c r="L28" s="7">
        <v>45775</v>
      </c>
      <c r="M28" s="9"/>
    </row>
    <row r="29" spans="1:13" x14ac:dyDescent="0.2">
      <c r="A29" s="7" t="s">
        <v>43</v>
      </c>
      <c r="B29" s="7" t="s">
        <v>262</v>
      </c>
      <c r="C29" s="7" t="s">
        <v>233</v>
      </c>
      <c r="D29" s="7" t="s">
        <v>234</v>
      </c>
      <c r="E29" s="7">
        <v>46054</v>
      </c>
      <c r="F29" s="8">
        <v>0.25</v>
      </c>
      <c r="G29" s="8">
        <v>98.944999999999993</v>
      </c>
      <c r="H29" s="8">
        <v>1.877</v>
      </c>
      <c r="I29" s="8">
        <v>1.8069999999999999</v>
      </c>
      <c r="J29" s="8">
        <v>0.75900000000000001</v>
      </c>
      <c r="K29" s="8">
        <v>0.747</v>
      </c>
      <c r="L29" s="7">
        <v>45775</v>
      </c>
      <c r="M29" s="9"/>
    </row>
    <row r="30" spans="1:13" x14ac:dyDescent="0.2">
      <c r="A30" s="7" t="s">
        <v>54</v>
      </c>
      <c r="B30" s="7" t="s">
        <v>263</v>
      </c>
      <c r="C30" s="7" t="s">
        <v>233</v>
      </c>
      <c r="D30" s="7" t="s">
        <v>234</v>
      </c>
      <c r="E30" s="7">
        <v>46235</v>
      </c>
      <c r="F30" s="8">
        <v>0</v>
      </c>
      <c r="G30" s="8">
        <v>97.77</v>
      </c>
      <c r="H30" s="8">
        <v>1.806</v>
      </c>
      <c r="I30" s="8">
        <v>1.8029999999999999</v>
      </c>
      <c r="J30" s="8">
        <v>1.2549999999999999</v>
      </c>
      <c r="K30" s="8">
        <v>1.238</v>
      </c>
      <c r="L30" s="7">
        <v>45775</v>
      </c>
      <c r="M30" s="9"/>
    </row>
    <row r="31" spans="1:13" x14ac:dyDescent="0.2">
      <c r="A31" s="7" t="s">
        <v>92</v>
      </c>
      <c r="B31" s="7" t="s">
        <v>264</v>
      </c>
      <c r="C31" s="7" t="s">
        <v>233</v>
      </c>
      <c r="D31" s="7" t="s">
        <v>234</v>
      </c>
      <c r="E31" s="7">
        <v>49341</v>
      </c>
      <c r="F31" s="8">
        <v>1.925</v>
      </c>
      <c r="G31" s="8">
        <v>102.81</v>
      </c>
      <c r="H31" s="8">
        <v>3.5350000000000001</v>
      </c>
      <c r="I31" s="8">
        <v>3.0539999999999998</v>
      </c>
      <c r="J31" s="8">
        <v>9.7639999999999993</v>
      </c>
      <c r="K31" s="8">
        <v>7.9050000000000002</v>
      </c>
      <c r="L31" s="7">
        <v>45775</v>
      </c>
      <c r="M31" s="9"/>
    </row>
    <row r="32" spans="1:13" x14ac:dyDescent="0.2">
      <c r="A32" s="7" t="s">
        <v>8</v>
      </c>
      <c r="B32" s="7" t="s">
        <v>265</v>
      </c>
      <c r="C32" s="7" t="s">
        <v>233</v>
      </c>
      <c r="D32" s="7" t="s">
        <v>234</v>
      </c>
      <c r="E32" s="7">
        <v>51380</v>
      </c>
      <c r="F32" s="8">
        <v>2.5</v>
      </c>
      <c r="G32" s="8">
        <v>111.68</v>
      </c>
      <c r="H32" s="8">
        <v>4.01</v>
      </c>
      <c r="I32" s="8">
        <v>3.415</v>
      </c>
      <c r="J32" s="8">
        <v>15.351000000000001</v>
      </c>
      <c r="K32" s="8">
        <v>10.664999999999999</v>
      </c>
      <c r="L32" s="7">
        <v>45775</v>
      </c>
      <c r="M32" s="9"/>
    </row>
    <row r="33" spans="1:13" x14ac:dyDescent="0.2">
      <c r="A33" s="7" t="s">
        <v>9</v>
      </c>
      <c r="B33" s="7" t="s">
        <v>266</v>
      </c>
      <c r="C33" s="7" t="s">
        <v>233</v>
      </c>
      <c r="D33" s="7" t="s">
        <v>234</v>
      </c>
      <c r="E33" s="7">
        <v>46082</v>
      </c>
      <c r="F33" s="8">
        <v>2.25</v>
      </c>
      <c r="G33" s="8">
        <v>102.071</v>
      </c>
      <c r="H33" s="8">
        <v>1.966</v>
      </c>
      <c r="I33" s="8">
        <v>1.419</v>
      </c>
      <c r="J33" s="8">
        <v>0.83599999999999997</v>
      </c>
      <c r="K33" s="8">
        <v>0.81200000000000006</v>
      </c>
      <c r="L33" s="7">
        <v>45775</v>
      </c>
      <c r="M33" s="9"/>
    </row>
    <row r="34" spans="1:13" x14ac:dyDescent="0.2">
      <c r="A34" s="7" t="s">
        <v>13</v>
      </c>
      <c r="B34" s="7" t="s">
        <v>267</v>
      </c>
      <c r="C34" s="7" t="s">
        <v>233</v>
      </c>
      <c r="D34" s="7" t="s">
        <v>234</v>
      </c>
      <c r="E34" s="7">
        <v>53571</v>
      </c>
      <c r="F34" s="8">
        <v>1.625</v>
      </c>
      <c r="G34" s="8">
        <v>87.33</v>
      </c>
      <c r="H34" s="8">
        <v>4.1890000000000001</v>
      </c>
      <c r="I34" s="8">
        <v>3.738</v>
      </c>
      <c r="J34" s="8">
        <v>21.353000000000002</v>
      </c>
      <c r="K34" s="8">
        <v>14.401</v>
      </c>
      <c r="L34" s="7">
        <v>45775</v>
      </c>
      <c r="M34" s="9"/>
    </row>
    <row r="35" spans="1:13" x14ac:dyDescent="0.2">
      <c r="A35" s="7" t="s">
        <v>16</v>
      </c>
      <c r="B35" s="7" t="s">
        <v>268</v>
      </c>
      <c r="C35" s="7" t="s">
        <v>233</v>
      </c>
      <c r="D35" s="7" t="s">
        <v>234</v>
      </c>
      <c r="E35" s="7">
        <v>45992</v>
      </c>
      <c r="F35" s="8">
        <v>1</v>
      </c>
      <c r="G35" s="8">
        <v>100.057</v>
      </c>
      <c r="H35" s="8">
        <v>1.873</v>
      </c>
      <c r="I35" s="8">
        <v>1.627</v>
      </c>
      <c r="J35" s="8">
        <v>0.58899999999999997</v>
      </c>
      <c r="K35" s="8">
        <v>0.57299999999999995</v>
      </c>
      <c r="L35" s="7">
        <v>45775</v>
      </c>
      <c r="M35" s="9"/>
    </row>
    <row r="36" spans="1:13" x14ac:dyDescent="0.2">
      <c r="A36" s="7" t="s">
        <v>21</v>
      </c>
      <c r="B36" s="7" t="s">
        <v>269</v>
      </c>
      <c r="C36" s="7" t="s">
        <v>233</v>
      </c>
      <c r="D36" s="7" t="s">
        <v>234</v>
      </c>
      <c r="E36" s="7">
        <v>61057</v>
      </c>
      <c r="F36" s="8">
        <v>1.4</v>
      </c>
      <c r="G36" s="8">
        <v>71.84</v>
      </c>
      <c r="H36" s="8">
        <v>4.2859999999999996</v>
      </c>
      <c r="I36" s="8">
        <v>3.8319999999999999</v>
      </c>
      <c r="J36" s="8">
        <v>41.863</v>
      </c>
      <c r="K36" s="8">
        <v>20.696000000000002</v>
      </c>
      <c r="L36" s="7">
        <v>45775</v>
      </c>
      <c r="M36" s="9"/>
    </row>
    <row r="37" spans="1:13" x14ac:dyDescent="0.2">
      <c r="A37" s="7" t="s">
        <v>22</v>
      </c>
      <c r="B37" s="7" t="s">
        <v>270</v>
      </c>
      <c r="C37" s="7" t="s">
        <v>233</v>
      </c>
      <c r="D37" s="7" t="s">
        <v>234</v>
      </c>
      <c r="E37" s="7">
        <v>48823</v>
      </c>
      <c r="F37" s="8">
        <v>1.2250000000000001</v>
      </c>
      <c r="G37" s="8">
        <v>94.13</v>
      </c>
      <c r="H37" s="8">
        <v>3.2829999999999999</v>
      </c>
      <c r="I37" s="8">
        <v>2.9569999999999999</v>
      </c>
      <c r="J37" s="8">
        <v>8.3450000000000006</v>
      </c>
      <c r="K37" s="8">
        <v>7.2990000000000004</v>
      </c>
      <c r="L37" s="7">
        <v>45775</v>
      </c>
      <c r="M37" s="9"/>
    </row>
    <row r="38" spans="1:13" x14ac:dyDescent="0.2">
      <c r="A38" s="7" t="s">
        <v>26</v>
      </c>
      <c r="B38" s="7" t="s">
        <v>271</v>
      </c>
      <c r="C38" s="7" t="s">
        <v>233</v>
      </c>
      <c r="D38" s="7" t="s">
        <v>234</v>
      </c>
      <c r="E38" s="7">
        <v>50649</v>
      </c>
      <c r="F38" s="8">
        <v>1.4750000000000001</v>
      </c>
      <c r="G38" s="8">
        <v>90.9</v>
      </c>
      <c r="H38" s="8">
        <v>3.8610000000000002</v>
      </c>
      <c r="I38" s="8">
        <v>3.4630000000000001</v>
      </c>
      <c r="J38" s="8">
        <v>13.348000000000001</v>
      </c>
      <c r="K38" s="8">
        <v>10.535</v>
      </c>
      <c r="L38" s="7">
        <v>45775</v>
      </c>
      <c r="M38" s="9"/>
    </row>
    <row r="39" spans="1:13" x14ac:dyDescent="0.2">
      <c r="A39" s="7" t="s">
        <v>30</v>
      </c>
      <c r="B39" s="7" t="s">
        <v>272</v>
      </c>
      <c r="C39" s="7" t="s">
        <v>233</v>
      </c>
      <c r="D39" s="7" t="s">
        <v>234</v>
      </c>
      <c r="E39" s="7">
        <v>49369</v>
      </c>
      <c r="F39" s="8">
        <v>1.675</v>
      </c>
      <c r="G39" s="8">
        <v>98.96</v>
      </c>
      <c r="H39" s="8">
        <v>3.504</v>
      </c>
      <c r="I39" s="8">
        <v>3.0739999999999998</v>
      </c>
      <c r="J39" s="8">
        <v>9.8409999999999993</v>
      </c>
      <c r="K39" s="8">
        <v>8.1270000000000007</v>
      </c>
      <c r="L39" s="7">
        <v>45775</v>
      </c>
      <c r="M39" s="9"/>
    </row>
    <row r="40" spans="1:13" x14ac:dyDescent="0.2">
      <c r="A40" s="7" t="s">
        <v>31</v>
      </c>
      <c r="B40" s="7" t="s">
        <v>273</v>
      </c>
      <c r="C40" s="7" t="s">
        <v>233</v>
      </c>
      <c r="D40" s="7" t="s">
        <v>234</v>
      </c>
      <c r="E40" s="7">
        <v>54667</v>
      </c>
      <c r="F40" s="8">
        <v>1.925</v>
      </c>
      <c r="G40" s="8">
        <v>94.49</v>
      </c>
      <c r="H40" s="8">
        <v>4.2549999999999999</v>
      </c>
      <c r="I40" s="8">
        <v>3.7450000000000001</v>
      </c>
      <c r="J40" s="8">
        <v>24.356000000000002</v>
      </c>
      <c r="K40" s="8">
        <v>15.015000000000001</v>
      </c>
      <c r="L40" s="7">
        <v>45775</v>
      </c>
      <c r="M40" s="9"/>
    </row>
    <row r="41" spans="1:13" x14ac:dyDescent="0.2">
      <c r="A41" s="7" t="s">
        <v>35</v>
      </c>
      <c r="B41" s="7" t="s">
        <v>274</v>
      </c>
      <c r="C41" s="7" t="s">
        <v>233</v>
      </c>
      <c r="D41" s="7" t="s">
        <v>234</v>
      </c>
      <c r="E41" s="7">
        <v>47574</v>
      </c>
      <c r="F41" s="8">
        <v>0.67500000000000004</v>
      </c>
      <c r="G41" s="8">
        <v>94.33</v>
      </c>
      <c r="H41" s="8">
        <v>2.6</v>
      </c>
      <c r="I41" s="8">
        <v>2.423</v>
      </c>
      <c r="J41" s="8">
        <v>4.923</v>
      </c>
      <c r="K41" s="8">
        <v>4.649</v>
      </c>
      <c r="L41" s="7">
        <v>45775</v>
      </c>
      <c r="M41" s="9"/>
    </row>
    <row r="42" spans="1:13" x14ac:dyDescent="0.2">
      <c r="A42" s="7" t="s">
        <v>37</v>
      </c>
      <c r="B42" s="7" t="s">
        <v>275</v>
      </c>
      <c r="C42" s="7" t="s">
        <v>233</v>
      </c>
      <c r="D42" s="7" t="s">
        <v>234</v>
      </c>
      <c r="E42" s="7">
        <v>55032</v>
      </c>
      <c r="F42" s="8">
        <v>1.2250000000000001</v>
      </c>
      <c r="G42" s="8">
        <v>72.8</v>
      </c>
      <c r="H42" s="8">
        <v>4.2460000000000004</v>
      </c>
      <c r="I42" s="8">
        <v>3.863</v>
      </c>
      <c r="J42" s="8">
        <v>25.356000000000002</v>
      </c>
      <c r="K42" s="8">
        <v>16.922000000000001</v>
      </c>
      <c r="L42" s="7">
        <v>45775</v>
      </c>
      <c r="M42" s="9"/>
    </row>
    <row r="43" spans="1:13" x14ac:dyDescent="0.2">
      <c r="A43" s="7" t="s">
        <v>46</v>
      </c>
      <c r="B43" s="7" t="s">
        <v>276</v>
      </c>
      <c r="C43" s="7" t="s">
        <v>233</v>
      </c>
      <c r="D43" s="7" t="s">
        <v>234</v>
      </c>
      <c r="E43" s="7">
        <v>55397</v>
      </c>
      <c r="F43" s="8">
        <v>0.85</v>
      </c>
      <c r="G43" s="8">
        <v>61.17</v>
      </c>
      <c r="H43" s="8">
        <v>4.173</v>
      </c>
      <c r="I43" s="8">
        <v>3.8759999999999999</v>
      </c>
      <c r="J43" s="8">
        <v>26.356000000000002</v>
      </c>
      <c r="K43" s="8">
        <v>18.725999999999999</v>
      </c>
      <c r="L43" s="7">
        <v>45775</v>
      </c>
      <c r="M43" s="9"/>
    </row>
    <row r="44" spans="1:13" x14ac:dyDescent="0.2">
      <c r="A44" s="7" t="s">
        <v>68</v>
      </c>
      <c r="B44" s="7" t="s">
        <v>277</v>
      </c>
      <c r="C44" s="7" t="s">
        <v>233</v>
      </c>
      <c r="D44" s="7" t="s">
        <v>234</v>
      </c>
      <c r="E44" s="7">
        <v>52475</v>
      </c>
      <c r="F44" s="8">
        <v>2.2250000000000001</v>
      </c>
      <c r="G44" s="8">
        <v>104.23</v>
      </c>
      <c r="H44" s="8">
        <v>4.1580000000000004</v>
      </c>
      <c r="I44" s="8">
        <v>3.605</v>
      </c>
      <c r="J44" s="8">
        <v>18.350999999999999</v>
      </c>
      <c r="K44" s="8">
        <v>12.266</v>
      </c>
      <c r="L44" s="7">
        <v>45775</v>
      </c>
      <c r="M44" s="9"/>
    </row>
    <row r="45" spans="1:13" x14ac:dyDescent="0.2">
      <c r="A45" s="7" t="s">
        <v>77</v>
      </c>
      <c r="B45" s="7" t="s">
        <v>278</v>
      </c>
      <c r="C45" s="7" t="s">
        <v>233</v>
      </c>
      <c r="D45" s="7" t="s">
        <v>234</v>
      </c>
      <c r="E45" s="7">
        <v>49004</v>
      </c>
      <c r="F45" s="8">
        <v>2.1</v>
      </c>
      <c r="G45" s="8">
        <v>106.33</v>
      </c>
      <c r="H45" s="8">
        <v>3.3919999999999999</v>
      </c>
      <c r="I45" s="8">
        <v>2.8780000000000001</v>
      </c>
      <c r="J45" s="8">
        <v>8.8409999999999993</v>
      </c>
      <c r="K45" s="8">
        <v>7.2350000000000003</v>
      </c>
      <c r="L45" s="7">
        <v>45775</v>
      </c>
      <c r="M45" s="9"/>
    </row>
    <row r="46" spans="1:13" x14ac:dyDescent="0.2">
      <c r="A46" s="7" t="s">
        <v>45</v>
      </c>
      <c r="B46" s="7" t="s">
        <v>279</v>
      </c>
      <c r="C46" s="7" t="s">
        <v>233</v>
      </c>
      <c r="D46" s="7" t="s">
        <v>234</v>
      </c>
      <c r="E46" s="7">
        <v>47939</v>
      </c>
      <c r="F46" s="8">
        <v>0.45</v>
      </c>
      <c r="G46" s="8">
        <v>89.49</v>
      </c>
      <c r="H46" s="8">
        <v>2.86</v>
      </c>
      <c r="I46" s="8">
        <v>2.7389999999999999</v>
      </c>
      <c r="J46" s="8">
        <v>5.923</v>
      </c>
      <c r="K46" s="8">
        <v>5.6070000000000002</v>
      </c>
      <c r="L46" s="7">
        <v>45775</v>
      </c>
      <c r="M46" s="9"/>
    </row>
    <row r="47" spans="1:13" x14ac:dyDescent="0.2">
      <c r="A47" s="7" t="s">
        <v>55</v>
      </c>
      <c r="B47" s="7" t="s">
        <v>280</v>
      </c>
      <c r="C47" s="7" t="s">
        <v>233</v>
      </c>
      <c r="D47" s="7" t="s">
        <v>234</v>
      </c>
      <c r="E47" s="7">
        <v>48366</v>
      </c>
      <c r="F47" s="8">
        <v>0.47499999999999998</v>
      </c>
      <c r="G47" s="8">
        <v>86.6</v>
      </c>
      <c r="H47" s="8">
        <v>3.089</v>
      </c>
      <c r="I47" s="8">
        <v>2.9489999999999998</v>
      </c>
      <c r="J47" s="8">
        <v>7.093</v>
      </c>
      <c r="K47" s="8">
        <v>6.6210000000000004</v>
      </c>
      <c r="L47" s="7">
        <v>45775</v>
      </c>
      <c r="M47" s="9"/>
    </row>
    <row r="48" spans="1:13" x14ac:dyDescent="0.2">
      <c r="A48" s="7" t="s">
        <v>65</v>
      </c>
      <c r="B48" s="7" t="s">
        <v>281</v>
      </c>
      <c r="C48" s="7" t="s">
        <v>233</v>
      </c>
      <c r="D48" s="7" t="s">
        <v>234</v>
      </c>
      <c r="E48" s="7">
        <v>48700</v>
      </c>
      <c r="F48" s="8">
        <v>2.2000000000000002</v>
      </c>
      <c r="G48" s="8">
        <v>108.25</v>
      </c>
      <c r="H48" s="8">
        <v>3.2440000000000002</v>
      </c>
      <c r="I48" s="8">
        <v>2.7120000000000002</v>
      </c>
      <c r="J48" s="8">
        <v>8.0079999999999991</v>
      </c>
      <c r="K48" s="8">
        <v>6.5460000000000003</v>
      </c>
      <c r="L48" s="7">
        <v>45775</v>
      </c>
      <c r="M48" s="9"/>
    </row>
    <row r="49" spans="1:13" x14ac:dyDescent="0.2">
      <c r="A49" s="7" t="s">
        <v>0</v>
      </c>
      <c r="B49" s="7" t="s">
        <v>282</v>
      </c>
      <c r="C49" s="7" t="s">
        <v>233</v>
      </c>
      <c r="D49" s="7" t="s">
        <v>234</v>
      </c>
      <c r="E49" s="7">
        <v>46327</v>
      </c>
      <c r="F49" s="8">
        <v>3.625</v>
      </c>
      <c r="G49" s="8">
        <v>108.02</v>
      </c>
      <c r="H49" s="8">
        <v>1.8140000000000001</v>
      </c>
      <c r="I49" s="8">
        <v>0.95099999999999996</v>
      </c>
      <c r="J49" s="8">
        <v>1.5069999999999999</v>
      </c>
      <c r="K49" s="8">
        <v>1.3879999999999999</v>
      </c>
      <c r="L49" s="7">
        <v>45775</v>
      </c>
      <c r="M49" s="9"/>
    </row>
    <row r="50" spans="1:13" x14ac:dyDescent="0.2">
      <c r="A50" s="7" t="s">
        <v>1</v>
      </c>
      <c r="B50" s="7" t="s">
        <v>283</v>
      </c>
      <c r="C50" s="7" t="s">
        <v>233</v>
      </c>
      <c r="D50" s="7" t="s">
        <v>234</v>
      </c>
      <c r="E50" s="7">
        <v>46692</v>
      </c>
      <c r="F50" s="8">
        <v>3.25</v>
      </c>
      <c r="G50" s="8">
        <v>110.91</v>
      </c>
      <c r="H50" s="8">
        <v>2.0150000000000001</v>
      </c>
      <c r="I50" s="8">
        <v>1.248</v>
      </c>
      <c r="J50" s="8">
        <v>2.5070000000000001</v>
      </c>
      <c r="K50" s="8">
        <v>2.2509999999999999</v>
      </c>
      <c r="L50" s="7">
        <v>45775</v>
      </c>
      <c r="M50" s="9"/>
    </row>
    <row r="51" spans="1:13" x14ac:dyDescent="0.2">
      <c r="A51" s="7" t="s">
        <v>2</v>
      </c>
      <c r="B51" s="7" t="s">
        <v>284</v>
      </c>
      <c r="C51" s="7" t="s">
        <v>233</v>
      </c>
      <c r="D51" s="7" t="s">
        <v>234</v>
      </c>
      <c r="E51" s="7">
        <v>47423</v>
      </c>
      <c r="F51" s="8">
        <v>2.625</v>
      </c>
      <c r="G51" s="8">
        <v>111.93</v>
      </c>
      <c r="H51" s="8">
        <v>2.4470000000000001</v>
      </c>
      <c r="I51" s="8">
        <v>1.827</v>
      </c>
      <c r="J51" s="8">
        <v>4.51</v>
      </c>
      <c r="K51" s="8">
        <v>3.9140000000000001</v>
      </c>
      <c r="L51" s="7">
        <v>45775</v>
      </c>
      <c r="M51" s="9"/>
    </row>
    <row r="52" spans="1:13" x14ac:dyDescent="0.2">
      <c r="A52" s="7" t="s">
        <v>3</v>
      </c>
      <c r="B52" s="7" t="s">
        <v>285</v>
      </c>
      <c r="C52" s="7" t="s">
        <v>233</v>
      </c>
      <c r="D52" s="7" t="s">
        <v>234</v>
      </c>
      <c r="E52" s="7">
        <v>47969</v>
      </c>
      <c r="F52" s="8">
        <v>3</v>
      </c>
      <c r="G52" s="8">
        <v>117.51</v>
      </c>
      <c r="H52" s="8">
        <v>2.8260000000000001</v>
      </c>
      <c r="I52" s="8">
        <v>2.1360000000000001</v>
      </c>
      <c r="J52" s="8">
        <v>6.0049999999999999</v>
      </c>
      <c r="K52" s="8">
        <v>4.9450000000000003</v>
      </c>
      <c r="L52" s="7">
        <v>45775</v>
      </c>
      <c r="M52" s="9"/>
    </row>
    <row r="53" spans="1:13" x14ac:dyDescent="0.2">
      <c r="A53" s="7" t="s">
        <v>14</v>
      </c>
      <c r="B53" s="7" t="s">
        <v>286</v>
      </c>
      <c r="C53" s="7" t="s">
        <v>233</v>
      </c>
      <c r="D53" s="7" t="s">
        <v>234</v>
      </c>
      <c r="E53" s="7">
        <v>45809</v>
      </c>
      <c r="F53" s="8">
        <v>0.75</v>
      </c>
      <c r="G53" s="8">
        <v>99.938999999999993</v>
      </c>
      <c r="H53" s="8">
        <v>2.0920000000000001</v>
      </c>
      <c r="I53" s="8">
        <v>1.915</v>
      </c>
      <c r="J53" s="8">
        <v>8.7999999999999995E-2</v>
      </c>
      <c r="K53" s="8">
        <v>8.8999999999999996E-2</v>
      </c>
      <c r="L53" s="7">
        <v>45775</v>
      </c>
      <c r="M53" s="9"/>
    </row>
    <row r="54" spans="1:13" x14ac:dyDescent="0.2">
      <c r="A54" s="7" t="s">
        <v>39</v>
      </c>
      <c r="B54" s="7" t="s">
        <v>287</v>
      </c>
      <c r="C54" s="7" t="s">
        <v>233</v>
      </c>
      <c r="D54" s="7" t="s">
        <v>234</v>
      </c>
      <c r="E54" s="7">
        <v>47696</v>
      </c>
      <c r="F54" s="8">
        <v>0.47499999999999998</v>
      </c>
      <c r="G54" s="8">
        <v>91.54</v>
      </c>
      <c r="H54" s="8">
        <v>2.7040000000000002</v>
      </c>
      <c r="I54" s="8">
        <v>2.5720000000000001</v>
      </c>
      <c r="J54" s="8">
        <v>5.258</v>
      </c>
      <c r="K54" s="8">
        <v>4.9870000000000001</v>
      </c>
      <c r="L54" s="7">
        <v>45775</v>
      </c>
      <c r="M54" s="9"/>
    </row>
    <row r="55" spans="1:13" x14ac:dyDescent="0.2">
      <c r="A55" s="7" t="s">
        <v>72</v>
      </c>
      <c r="B55" s="7" t="s">
        <v>288</v>
      </c>
      <c r="C55" s="7" t="s">
        <v>233</v>
      </c>
      <c r="D55" s="7" t="s">
        <v>234</v>
      </c>
      <c r="E55" s="7">
        <v>48884</v>
      </c>
      <c r="F55" s="8">
        <v>2.1749999999999998</v>
      </c>
      <c r="G55" s="8">
        <v>107.61</v>
      </c>
      <c r="H55" s="8">
        <v>3.1179999999999999</v>
      </c>
      <c r="I55" s="8">
        <v>2.6120000000000001</v>
      </c>
      <c r="J55" s="8">
        <v>8.5120000000000005</v>
      </c>
      <c r="K55" s="8">
        <v>6.9050000000000002</v>
      </c>
      <c r="L55" s="7">
        <v>45775</v>
      </c>
      <c r="M55" s="9"/>
    </row>
    <row r="56" spans="1:13" x14ac:dyDescent="0.2">
      <c r="A56" s="7" t="s">
        <v>160</v>
      </c>
      <c r="B56" s="7" t="s">
        <v>289</v>
      </c>
      <c r="C56" s="7" t="s">
        <v>233</v>
      </c>
      <c r="D56" s="7" t="s">
        <v>234</v>
      </c>
      <c r="E56" s="7">
        <v>49583</v>
      </c>
      <c r="F56" s="8">
        <v>1.4950000000000001</v>
      </c>
      <c r="G56" s="8">
        <v>100.24</v>
      </c>
      <c r="H56" s="8">
        <v>3.6</v>
      </c>
      <c r="I56" s="8">
        <v>3.1429999999999998</v>
      </c>
      <c r="J56" s="8">
        <v>10.427</v>
      </c>
      <c r="K56" s="8">
        <v>8.4849999999999994</v>
      </c>
      <c r="L56" s="7">
        <v>45777</v>
      </c>
      <c r="M56" s="9"/>
    </row>
    <row r="57" spans="1:13" x14ac:dyDescent="0.2">
      <c r="A57" s="7" t="s">
        <v>93</v>
      </c>
      <c r="B57" s="7" t="s">
        <v>290</v>
      </c>
      <c r="C57" s="7" t="s">
        <v>233</v>
      </c>
      <c r="D57" s="7" t="s">
        <v>234</v>
      </c>
      <c r="E57" s="7">
        <v>47392</v>
      </c>
      <c r="F57" s="8">
        <v>1.5</v>
      </c>
      <c r="G57" s="8">
        <v>101.87</v>
      </c>
      <c r="H57" s="8">
        <v>2.5640000000000001</v>
      </c>
      <c r="I57" s="8">
        <v>2.1829999999999998</v>
      </c>
      <c r="J57" s="8">
        <v>4.4249999999999998</v>
      </c>
      <c r="K57" s="8">
        <v>4.0659999999999998</v>
      </c>
      <c r="L57" s="7">
        <v>45775</v>
      </c>
      <c r="M57" s="9"/>
    </row>
    <row r="58" spans="1:13" x14ac:dyDescent="0.2">
      <c r="A58" s="7" t="s">
        <v>80</v>
      </c>
      <c r="B58" s="7" t="s">
        <v>291</v>
      </c>
      <c r="C58" s="7" t="s">
        <v>233</v>
      </c>
      <c r="D58" s="7" t="s">
        <v>234</v>
      </c>
      <c r="E58" s="7">
        <v>47150</v>
      </c>
      <c r="F58" s="8">
        <v>2.0499999999999998</v>
      </c>
      <c r="G58" s="8">
        <v>106.21</v>
      </c>
      <c r="H58" s="8">
        <v>2.3730000000000002</v>
      </c>
      <c r="I58" s="8">
        <v>1.8480000000000001</v>
      </c>
      <c r="J58" s="8">
        <v>3.762</v>
      </c>
      <c r="K58" s="8">
        <v>3.42</v>
      </c>
      <c r="L58" s="7">
        <v>45775</v>
      </c>
      <c r="M58" s="9"/>
    </row>
    <row r="59" spans="1:13" x14ac:dyDescent="0.2">
      <c r="A59" s="7" t="s">
        <v>100</v>
      </c>
      <c r="B59" s="7" t="s">
        <v>292</v>
      </c>
      <c r="C59" s="7" t="s">
        <v>233</v>
      </c>
      <c r="D59" s="7" t="s">
        <v>234</v>
      </c>
      <c r="E59" s="7">
        <v>47665</v>
      </c>
      <c r="F59" s="8">
        <v>0.97799999999999998</v>
      </c>
      <c r="G59" s="8">
        <v>101.02</v>
      </c>
      <c r="H59" s="8">
        <v>2.7549999999999999</v>
      </c>
      <c r="I59" s="8">
        <v>2.3839999999999999</v>
      </c>
      <c r="J59" s="8">
        <v>5.173</v>
      </c>
      <c r="K59" s="8">
        <v>4.6859999999999999</v>
      </c>
      <c r="L59" s="7">
        <v>45775</v>
      </c>
      <c r="M59" s="9"/>
    </row>
    <row r="60" spans="1:13" x14ac:dyDescent="0.2">
      <c r="A60" s="7" t="s">
        <v>60</v>
      </c>
      <c r="B60" s="7" t="s">
        <v>293</v>
      </c>
      <c r="C60" s="7" t="s">
        <v>233</v>
      </c>
      <c r="D60" s="7" t="s">
        <v>234</v>
      </c>
      <c r="E60" s="7">
        <v>48549</v>
      </c>
      <c r="F60" s="8">
        <v>1.25</v>
      </c>
      <c r="G60" s="8">
        <v>95.65</v>
      </c>
      <c r="H60" s="8">
        <v>3.1709999999999998</v>
      </c>
      <c r="I60" s="8">
        <v>2.8220000000000001</v>
      </c>
      <c r="J60" s="8">
        <v>7.5949999999999998</v>
      </c>
      <c r="K60" s="8">
        <v>6.6619999999999999</v>
      </c>
      <c r="L60" s="7">
        <v>45775</v>
      </c>
      <c r="M60" s="9"/>
    </row>
    <row r="61" spans="1:13" x14ac:dyDescent="0.2">
      <c r="A61" s="7" t="s">
        <v>25</v>
      </c>
      <c r="B61" s="7" t="s">
        <v>294</v>
      </c>
      <c r="C61" s="7" t="s">
        <v>233</v>
      </c>
      <c r="D61" s="7" t="s">
        <v>234</v>
      </c>
      <c r="E61" s="7">
        <v>46600</v>
      </c>
      <c r="F61" s="8">
        <v>1.0249999999999999</v>
      </c>
      <c r="G61" s="8">
        <v>100.25</v>
      </c>
      <c r="H61" s="8">
        <v>1.944</v>
      </c>
      <c r="I61" s="8">
        <v>1.677</v>
      </c>
      <c r="J61" s="8">
        <v>2.2549999999999999</v>
      </c>
      <c r="K61" s="8">
        <v>2.165</v>
      </c>
      <c r="L61" s="7">
        <v>45775</v>
      </c>
      <c r="M61" s="9"/>
    </row>
    <row r="62" spans="1:13" x14ac:dyDescent="0.2">
      <c r="A62" s="7" t="s">
        <v>63</v>
      </c>
      <c r="B62" s="7" t="s">
        <v>295</v>
      </c>
      <c r="C62" s="7" t="s">
        <v>233</v>
      </c>
      <c r="D62" s="7" t="s">
        <v>234</v>
      </c>
      <c r="E62" s="7">
        <v>46722</v>
      </c>
      <c r="F62" s="8">
        <v>1.325</v>
      </c>
      <c r="G62" s="8">
        <v>101.52</v>
      </c>
      <c r="H62" s="8">
        <v>2.0529999999999999</v>
      </c>
      <c r="I62" s="8">
        <v>1.714</v>
      </c>
      <c r="J62" s="8">
        <v>2.589</v>
      </c>
      <c r="K62" s="8">
        <v>2.4430000000000001</v>
      </c>
      <c r="L62" s="7">
        <v>45775</v>
      </c>
      <c r="M62" s="9"/>
    </row>
    <row r="63" spans="1:13" x14ac:dyDescent="0.2">
      <c r="A63" s="7" t="s">
        <v>17</v>
      </c>
      <c r="B63" s="7" t="s">
        <v>296</v>
      </c>
      <c r="C63" s="7" t="s">
        <v>233</v>
      </c>
      <c r="D63" s="7" t="s">
        <v>234</v>
      </c>
      <c r="E63" s="7">
        <v>53752</v>
      </c>
      <c r="F63" s="8">
        <v>1.35</v>
      </c>
      <c r="G63" s="8">
        <v>79.42</v>
      </c>
      <c r="H63" s="8">
        <v>4.181</v>
      </c>
      <c r="I63" s="8">
        <v>3.7829999999999999</v>
      </c>
      <c r="J63" s="8">
        <v>21.849</v>
      </c>
      <c r="K63" s="8">
        <v>15.167999999999999</v>
      </c>
      <c r="L63" s="7">
        <v>45775</v>
      </c>
      <c r="M63" s="9"/>
    </row>
    <row r="64" spans="1:13" x14ac:dyDescent="0.2">
      <c r="A64" s="7" t="s">
        <v>47</v>
      </c>
      <c r="B64" s="7" t="s">
        <v>297</v>
      </c>
      <c r="C64" s="7" t="s">
        <v>233</v>
      </c>
      <c r="D64" s="7" t="s">
        <v>234</v>
      </c>
      <c r="E64" s="7">
        <v>50100</v>
      </c>
      <c r="F64" s="8">
        <v>0.47499999999999998</v>
      </c>
      <c r="G64" s="8">
        <v>73.81</v>
      </c>
      <c r="H64" s="8">
        <v>3.734</v>
      </c>
      <c r="I64" s="8">
        <v>3.5870000000000002</v>
      </c>
      <c r="J64" s="8">
        <v>11.843999999999999</v>
      </c>
      <c r="K64" s="8">
        <v>10.678000000000001</v>
      </c>
      <c r="L64" s="7">
        <v>45775</v>
      </c>
      <c r="M64" s="9"/>
    </row>
    <row r="65" spans="1:13" x14ac:dyDescent="0.2">
      <c r="A65" s="7" t="s">
        <v>57</v>
      </c>
      <c r="B65" s="7" t="s">
        <v>298</v>
      </c>
      <c r="C65" s="7" t="s">
        <v>233</v>
      </c>
      <c r="D65" s="7" t="s">
        <v>234</v>
      </c>
      <c r="E65" s="7">
        <v>55763</v>
      </c>
      <c r="F65" s="8">
        <v>1.075</v>
      </c>
      <c r="G65" s="8">
        <v>66.61</v>
      </c>
      <c r="H65" s="8">
        <v>4.2610000000000001</v>
      </c>
      <c r="I65" s="8">
        <v>3.9060000000000001</v>
      </c>
      <c r="J65" s="8">
        <v>27.359000000000002</v>
      </c>
      <c r="K65" s="8">
        <v>18.170000000000002</v>
      </c>
      <c r="L65" s="7">
        <v>45775</v>
      </c>
      <c r="M65" s="9"/>
    </row>
    <row r="66" spans="1:13" x14ac:dyDescent="0.2">
      <c r="A66" s="7" t="s">
        <v>81</v>
      </c>
      <c r="B66" s="7" t="s">
        <v>299</v>
      </c>
      <c r="C66" s="7" t="s">
        <v>233</v>
      </c>
      <c r="D66" s="7" t="s">
        <v>234</v>
      </c>
      <c r="E66" s="7">
        <v>46433</v>
      </c>
      <c r="F66" s="8">
        <v>1.4750000000000001</v>
      </c>
      <c r="G66" s="8">
        <v>101.74</v>
      </c>
      <c r="H66" s="8">
        <v>1.966</v>
      </c>
      <c r="I66" s="8">
        <v>1.591</v>
      </c>
      <c r="J66" s="8">
        <v>1.7969999999999999</v>
      </c>
      <c r="K66" s="8">
        <v>1.7210000000000001</v>
      </c>
      <c r="L66" s="7">
        <v>45775</v>
      </c>
      <c r="M66" s="9"/>
    </row>
    <row r="67" spans="1:13" x14ac:dyDescent="0.2">
      <c r="A67" s="7" t="s">
        <v>97</v>
      </c>
      <c r="B67" s="7" t="s">
        <v>300</v>
      </c>
      <c r="C67" s="7" t="s">
        <v>233</v>
      </c>
      <c r="D67" s="7" t="s">
        <v>234</v>
      </c>
      <c r="E67" s="7">
        <v>49522</v>
      </c>
      <c r="F67" s="8">
        <v>1.825</v>
      </c>
      <c r="G67" s="8">
        <v>100.63</v>
      </c>
      <c r="H67" s="8">
        <v>3.6059999999999999</v>
      </c>
      <c r="I67" s="8">
        <v>3.14</v>
      </c>
      <c r="J67" s="8">
        <v>10.26</v>
      </c>
      <c r="K67" s="8">
        <v>8.2840000000000007</v>
      </c>
      <c r="L67" s="7">
        <v>45775</v>
      </c>
      <c r="M67" s="9"/>
    </row>
    <row r="68" spans="1:13" x14ac:dyDescent="0.2">
      <c r="A68" s="7" t="s">
        <v>33</v>
      </c>
      <c r="B68" s="7" t="s">
        <v>301</v>
      </c>
      <c r="C68" s="7" t="s">
        <v>233</v>
      </c>
      <c r="D68" s="7" t="s">
        <v>234</v>
      </c>
      <c r="E68" s="7">
        <v>46218</v>
      </c>
      <c r="F68" s="8">
        <v>1.05</v>
      </c>
      <c r="G68" s="8">
        <v>100.23</v>
      </c>
      <c r="H68" s="8">
        <v>1.9179999999999999</v>
      </c>
      <c r="I68" s="8">
        <v>1.653</v>
      </c>
      <c r="J68" s="8">
        <v>1.208</v>
      </c>
      <c r="K68" s="8">
        <v>1.17</v>
      </c>
      <c r="L68" s="7">
        <v>45775</v>
      </c>
      <c r="M68" s="9"/>
    </row>
    <row r="69" spans="1:13" x14ac:dyDescent="0.2">
      <c r="A69" s="7" t="s">
        <v>89</v>
      </c>
      <c r="B69" s="7" t="s">
        <v>302</v>
      </c>
      <c r="C69" s="7" t="s">
        <v>233</v>
      </c>
      <c r="D69" s="7" t="s">
        <v>234</v>
      </c>
      <c r="E69" s="7">
        <v>48044</v>
      </c>
      <c r="F69" s="8">
        <v>1.7250000000000001</v>
      </c>
      <c r="G69" s="8">
        <v>102.85</v>
      </c>
      <c r="H69" s="8">
        <v>2.9649999999999999</v>
      </c>
      <c r="I69" s="8">
        <v>2.5350000000000001</v>
      </c>
      <c r="J69" s="8">
        <v>6.2110000000000003</v>
      </c>
      <c r="K69" s="8">
        <v>5.4390000000000001</v>
      </c>
      <c r="L69" s="7">
        <v>45775</v>
      </c>
      <c r="M69" s="9"/>
    </row>
    <row r="70" spans="1:13" x14ac:dyDescent="0.2">
      <c r="A70" s="7" t="s">
        <v>44</v>
      </c>
      <c r="B70" s="7" t="s">
        <v>303</v>
      </c>
      <c r="C70" s="7" t="s">
        <v>233</v>
      </c>
      <c r="D70" s="7" t="s">
        <v>234</v>
      </c>
      <c r="E70" s="7">
        <v>51561</v>
      </c>
      <c r="F70" s="8">
        <v>0.9</v>
      </c>
      <c r="G70" s="8">
        <v>74.37</v>
      </c>
      <c r="H70" s="8">
        <v>4.0380000000000003</v>
      </c>
      <c r="I70" s="8">
        <v>3.7650000000000001</v>
      </c>
      <c r="J70" s="8">
        <v>15.847</v>
      </c>
      <c r="K70" s="8">
        <v>12.88</v>
      </c>
      <c r="L70" s="7">
        <v>45775</v>
      </c>
      <c r="M70" s="9"/>
    </row>
    <row r="71" spans="1:13" x14ac:dyDescent="0.2">
      <c r="A71" s="7" t="s">
        <v>78</v>
      </c>
      <c r="B71" s="7" t="s">
        <v>304</v>
      </c>
      <c r="C71" s="7" t="s">
        <v>233</v>
      </c>
      <c r="D71" s="7" t="s">
        <v>234</v>
      </c>
      <c r="E71" s="7">
        <v>47802</v>
      </c>
      <c r="F71" s="8">
        <v>2</v>
      </c>
      <c r="G71" s="8">
        <v>106.19</v>
      </c>
      <c r="H71" s="8">
        <v>2.802</v>
      </c>
      <c r="I71" s="8">
        <v>2.3140000000000001</v>
      </c>
      <c r="J71" s="8">
        <v>5.548</v>
      </c>
      <c r="K71" s="8">
        <v>4.8289999999999997</v>
      </c>
      <c r="L71" s="7">
        <v>45775</v>
      </c>
      <c r="M71" s="9"/>
    </row>
    <row r="72" spans="1:13" x14ac:dyDescent="0.2">
      <c r="A72" s="7" t="s">
        <v>36</v>
      </c>
      <c r="B72" s="7" t="s">
        <v>305</v>
      </c>
      <c r="C72" s="7" t="s">
        <v>233</v>
      </c>
      <c r="D72" s="7" t="s">
        <v>234</v>
      </c>
      <c r="E72" s="7">
        <v>46402</v>
      </c>
      <c r="F72" s="8">
        <v>0.42499999999999999</v>
      </c>
      <c r="G72" s="8">
        <v>98.32</v>
      </c>
      <c r="H72" s="8">
        <v>1.8580000000000001</v>
      </c>
      <c r="I72" s="8">
        <v>1.744</v>
      </c>
      <c r="J72" s="8">
        <v>1.712</v>
      </c>
      <c r="K72" s="8">
        <v>1.6679999999999999</v>
      </c>
      <c r="L72" s="7">
        <v>45775</v>
      </c>
      <c r="M72" s="9"/>
    </row>
    <row r="73" spans="1:13" x14ac:dyDescent="0.2">
      <c r="A73" s="7" t="s">
        <v>56</v>
      </c>
      <c r="B73" s="7" t="s">
        <v>306</v>
      </c>
      <c r="C73" s="7" t="s">
        <v>233</v>
      </c>
      <c r="D73" s="7" t="s">
        <v>234</v>
      </c>
      <c r="E73" s="7">
        <v>47164</v>
      </c>
      <c r="F73" s="8">
        <v>0.22500000000000001</v>
      </c>
      <c r="G73" s="8">
        <v>93.3</v>
      </c>
      <c r="H73" s="8">
        <v>2.3140000000000001</v>
      </c>
      <c r="I73" s="8">
        <v>2.238</v>
      </c>
      <c r="J73" s="8">
        <v>3.8</v>
      </c>
      <c r="K73" s="8">
        <v>3.6819999999999999</v>
      </c>
      <c r="L73" s="7">
        <v>45775</v>
      </c>
      <c r="M73" s="9"/>
    </row>
    <row r="74" spans="1:13" x14ac:dyDescent="0.2">
      <c r="A74" s="7" t="s">
        <v>66</v>
      </c>
      <c r="B74" s="7" t="s">
        <v>307</v>
      </c>
      <c r="C74" s="7" t="s">
        <v>233</v>
      </c>
      <c r="D74" s="7" t="s">
        <v>234</v>
      </c>
      <c r="E74" s="7">
        <v>47467</v>
      </c>
      <c r="F74" s="8">
        <v>1.925</v>
      </c>
      <c r="G74" s="8">
        <v>105.65</v>
      </c>
      <c r="H74" s="8">
        <v>2.5579999999999998</v>
      </c>
      <c r="I74" s="8">
        <v>2.0880000000000001</v>
      </c>
      <c r="J74" s="8">
        <v>4.63</v>
      </c>
      <c r="K74" s="8">
        <v>4.1390000000000002</v>
      </c>
      <c r="L74" s="7">
        <v>45775</v>
      </c>
      <c r="M74" s="9"/>
    </row>
    <row r="75" spans="1:13" x14ac:dyDescent="0.2">
      <c r="A75" s="7" t="s">
        <v>96</v>
      </c>
      <c r="B75" s="7" t="s">
        <v>308</v>
      </c>
      <c r="C75" s="7" t="s">
        <v>233</v>
      </c>
      <c r="D75" s="7" t="s">
        <v>234</v>
      </c>
      <c r="E75" s="7">
        <v>46675</v>
      </c>
      <c r="F75" s="8">
        <v>1.35</v>
      </c>
      <c r="G75" s="8">
        <v>101.55</v>
      </c>
      <c r="H75" s="8">
        <v>2.06</v>
      </c>
      <c r="I75" s="8">
        <v>1.7210000000000001</v>
      </c>
      <c r="J75" s="8">
        <v>2.46</v>
      </c>
      <c r="K75" s="8">
        <v>2.347</v>
      </c>
      <c r="L75" s="7">
        <v>45775</v>
      </c>
      <c r="M75" s="9"/>
    </row>
    <row r="76" spans="1:13" x14ac:dyDescent="0.2">
      <c r="A76" s="7" t="s">
        <v>82</v>
      </c>
      <c r="B76" s="7" t="s">
        <v>309</v>
      </c>
      <c r="C76" s="7" t="s">
        <v>233</v>
      </c>
      <c r="D76" s="7" t="s">
        <v>234</v>
      </c>
      <c r="E76" s="7">
        <v>47894</v>
      </c>
      <c r="F76" s="8">
        <v>1.75</v>
      </c>
      <c r="G76" s="8">
        <v>103.46</v>
      </c>
      <c r="H76" s="8">
        <v>2.863</v>
      </c>
      <c r="I76" s="8">
        <v>2.427</v>
      </c>
      <c r="J76" s="8">
        <v>5.8</v>
      </c>
      <c r="K76" s="8">
        <v>5.1319999999999997</v>
      </c>
      <c r="L76" s="7">
        <v>45775</v>
      </c>
      <c r="M76" s="9"/>
    </row>
    <row r="77" spans="1:13" x14ac:dyDescent="0.2">
      <c r="A77" s="7" t="s">
        <v>70</v>
      </c>
      <c r="B77" s="7" t="s">
        <v>310</v>
      </c>
      <c r="C77" s="7" t="s">
        <v>233</v>
      </c>
      <c r="D77" s="7" t="s">
        <v>234</v>
      </c>
      <c r="E77" s="7">
        <v>46127</v>
      </c>
      <c r="F77" s="8">
        <v>1.9</v>
      </c>
      <c r="G77" s="8">
        <v>101.745</v>
      </c>
      <c r="H77" s="8">
        <v>1.9359999999999999</v>
      </c>
      <c r="I77" s="8">
        <v>1.47</v>
      </c>
      <c r="J77" s="8">
        <v>0.95899999999999996</v>
      </c>
      <c r="K77" s="8">
        <v>0.93200000000000005</v>
      </c>
      <c r="L77" s="7">
        <v>45775</v>
      </c>
      <c r="M77" s="9"/>
    </row>
    <row r="78" spans="1:13" x14ac:dyDescent="0.2">
      <c r="A78" s="7" t="s">
        <v>61</v>
      </c>
      <c r="B78" s="7" t="s">
        <v>311</v>
      </c>
      <c r="C78" s="7" t="s">
        <v>233</v>
      </c>
      <c r="D78" s="7" t="s">
        <v>234</v>
      </c>
      <c r="E78" s="7">
        <v>47284</v>
      </c>
      <c r="F78" s="8">
        <v>1.4</v>
      </c>
      <c r="G78" s="8">
        <v>101.34</v>
      </c>
      <c r="H78" s="8">
        <v>2.4700000000000002</v>
      </c>
      <c r="I78" s="8">
        <v>2.1190000000000002</v>
      </c>
      <c r="J78" s="8">
        <v>4.1289999999999996</v>
      </c>
      <c r="K78" s="8">
        <v>3.7959999999999998</v>
      </c>
      <c r="L78" s="7">
        <v>45775</v>
      </c>
      <c r="M78" s="9"/>
    </row>
    <row r="79" spans="1:13" x14ac:dyDescent="0.2">
      <c r="A79" s="7" t="s">
        <v>42</v>
      </c>
      <c r="B79" s="7" t="s">
        <v>312</v>
      </c>
      <c r="C79" s="7" t="s">
        <v>233</v>
      </c>
      <c r="D79" s="7" t="s">
        <v>234</v>
      </c>
      <c r="E79" s="7">
        <v>46645</v>
      </c>
      <c r="F79" s="8">
        <v>0.47499999999999998</v>
      </c>
      <c r="G79" s="8">
        <v>97.66</v>
      </c>
      <c r="H79" s="8">
        <v>1.97</v>
      </c>
      <c r="I79" s="8">
        <v>1.849</v>
      </c>
      <c r="J79" s="8">
        <v>2.3780000000000001</v>
      </c>
      <c r="K79" s="8">
        <v>2.3090000000000002</v>
      </c>
      <c r="L79" s="7">
        <v>45775</v>
      </c>
      <c r="M79" s="9"/>
    </row>
    <row r="80" spans="1:13" x14ac:dyDescent="0.2">
      <c r="A80" s="7" t="s">
        <v>101</v>
      </c>
      <c r="B80" s="7" t="s">
        <v>313</v>
      </c>
      <c r="C80" s="7" t="s">
        <v>233</v>
      </c>
      <c r="D80" s="7" t="s">
        <v>234</v>
      </c>
      <c r="E80" s="7">
        <v>46919</v>
      </c>
      <c r="F80" s="8">
        <v>0.65500000000000003</v>
      </c>
      <c r="G80" s="8">
        <v>101.24</v>
      </c>
      <c r="H80" s="8">
        <v>2.2480000000000002</v>
      </c>
      <c r="I80" s="8">
        <v>1.9039999999999999</v>
      </c>
      <c r="J80" s="8">
        <v>3.129</v>
      </c>
      <c r="K80" s="8">
        <v>2.948</v>
      </c>
      <c r="L80" s="7">
        <v>45775</v>
      </c>
      <c r="M80" s="9"/>
    </row>
    <row r="81" spans="1:13" x14ac:dyDescent="0.2">
      <c r="A81" s="7" t="s">
        <v>71</v>
      </c>
      <c r="B81" s="7" t="s">
        <v>314</v>
      </c>
      <c r="C81" s="7" t="s">
        <v>233</v>
      </c>
      <c r="D81" s="7" t="s">
        <v>234</v>
      </c>
      <c r="E81" s="7">
        <v>47649</v>
      </c>
      <c r="F81" s="8">
        <v>1.85</v>
      </c>
      <c r="G81" s="8">
        <v>104.82</v>
      </c>
      <c r="H81" s="8">
        <v>2.7010000000000001</v>
      </c>
      <c r="I81" s="8">
        <v>2.2189999999999999</v>
      </c>
      <c r="J81" s="8">
        <v>5.1289999999999996</v>
      </c>
      <c r="K81" s="8">
        <v>4.5510000000000002</v>
      </c>
      <c r="L81" s="7">
        <v>45775</v>
      </c>
      <c r="M81" s="9"/>
    </row>
    <row r="82" spans="1:13" x14ac:dyDescent="0.2">
      <c r="A82" s="7" t="s">
        <v>52</v>
      </c>
      <c r="B82" s="7" t="s">
        <v>315</v>
      </c>
      <c r="C82" s="7" t="s">
        <v>233</v>
      </c>
      <c r="D82" s="7" t="s">
        <v>234</v>
      </c>
      <c r="E82" s="7">
        <v>46949</v>
      </c>
      <c r="F82" s="8">
        <v>0.25</v>
      </c>
      <c r="G82" s="8">
        <v>94.85</v>
      </c>
      <c r="H82" s="8">
        <v>2.177</v>
      </c>
      <c r="I82" s="8">
        <v>2.0910000000000002</v>
      </c>
      <c r="J82" s="8">
        <v>3.2109999999999999</v>
      </c>
      <c r="K82" s="8">
        <v>3.121</v>
      </c>
      <c r="L82" s="7">
        <v>45775</v>
      </c>
      <c r="M82" s="9"/>
    </row>
    <row r="83" spans="1:13" x14ac:dyDescent="0.2">
      <c r="A83" s="7" t="s">
        <v>90</v>
      </c>
      <c r="B83" s="7" t="s">
        <v>316</v>
      </c>
      <c r="C83" s="7" t="s">
        <v>233</v>
      </c>
      <c r="D83" s="7" t="s">
        <v>234</v>
      </c>
      <c r="E83" s="7">
        <v>46583</v>
      </c>
      <c r="F83" s="8">
        <v>1.7250000000000001</v>
      </c>
      <c r="G83" s="8">
        <v>103.09</v>
      </c>
      <c r="H83" s="8">
        <v>2.024</v>
      </c>
      <c r="I83" s="8">
        <v>1.597</v>
      </c>
      <c r="J83" s="8">
        <v>2.2080000000000002</v>
      </c>
      <c r="K83" s="8">
        <v>2.0840000000000001</v>
      </c>
      <c r="L83" s="7">
        <v>45775</v>
      </c>
      <c r="M83" s="9"/>
    </row>
    <row r="84" spans="1:13" x14ac:dyDescent="0.2">
      <c r="A84" s="7" t="s">
        <v>75</v>
      </c>
      <c r="B84" s="7" t="s">
        <v>317</v>
      </c>
      <c r="C84" s="7" t="s">
        <v>233</v>
      </c>
      <c r="D84" s="7" t="s">
        <v>234</v>
      </c>
      <c r="E84" s="7">
        <v>46280</v>
      </c>
      <c r="F84" s="8">
        <v>1.925</v>
      </c>
      <c r="G84" s="8">
        <v>102.55</v>
      </c>
      <c r="H84" s="8">
        <v>1.9650000000000001</v>
      </c>
      <c r="I84" s="8">
        <v>1.49</v>
      </c>
      <c r="J84" s="8">
        <v>1.3779999999999999</v>
      </c>
      <c r="K84" s="8">
        <v>1.3240000000000001</v>
      </c>
      <c r="L84" s="7">
        <v>45775</v>
      </c>
      <c r="M84" s="9"/>
    </row>
    <row r="85" spans="1:13" x14ac:dyDescent="0.2">
      <c r="A85" s="7" t="s">
        <v>29</v>
      </c>
      <c r="B85" s="7" t="s">
        <v>318</v>
      </c>
      <c r="C85" s="7" t="s">
        <v>233</v>
      </c>
      <c r="D85" s="7" t="s">
        <v>234</v>
      </c>
      <c r="E85" s="7">
        <v>45976</v>
      </c>
      <c r="F85" s="8">
        <v>1.25</v>
      </c>
      <c r="G85" s="8">
        <v>100.304</v>
      </c>
      <c r="H85" s="8">
        <v>1.8740000000000001</v>
      </c>
      <c r="I85" s="8">
        <v>1.569</v>
      </c>
      <c r="J85" s="8">
        <v>0.54500000000000004</v>
      </c>
      <c r="K85" s="8">
        <v>0.53400000000000003</v>
      </c>
      <c r="L85" s="7">
        <v>45775</v>
      </c>
      <c r="M85" s="9"/>
    </row>
    <row r="86" spans="1:13" x14ac:dyDescent="0.2">
      <c r="A86" s="7" t="s">
        <v>94</v>
      </c>
      <c r="B86" s="7" t="s">
        <v>319</v>
      </c>
      <c r="C86" s="7" t="s">
        <v>233</v>
      </c>
      <c r="D86" s="7" t="s">
        <v>234</v>
      </c>
      <c r="E86" s="7">
        <v>56523</v>
      </c>
      <c r="F86" s="8">
        <v>2.15</v>
      </c>
      <c r="G86" s="8">
        <v>98.75</v>
      </c>
      <c r="H86" s="8">
        <v>4.42</v>
      </c>
      <c r="I86" s="8">
        <v>3.867</v>
      </c>
      <c r="J86" s="8">
        <v>29.440999999999999</v>
      </c>
      <c r="K86" s="8">
        <v>16.123000000000001</v>
      </c>
      <c r="L86" s="7">
        <v>45775</v>
      </c>
      <c r="M86" s="9"/>
    </row>
    <row r="87" spans="1:13" x14ac:dyDescent="0.2">
      <c r="A87" s="7" t="s">
        <v>64</v>
      </c>
      <c r="B87" s="7" t="s">
        <v>320</v>
      </c>
      <c r="C87" s="7" t="s">
        <v>233</v>
      </c>
      <c r="D87" s="7" t="s">
        <v>234</v>
      </c>
      <c r="E87" s="7">
        <v>46037</v>
      </c>
      <c r="F87" s="8">
        <v>1.75</v>
      </c>
      <c r="G87" s="8">
        <v>101.057</v>
      </c>
      <c r="H87" s="8">
        <v>1.9610000000000001</v>
      </c>
      <c r="I87" s="8">
        <v>1.53</v>
      </c>
      <c r="J87" s="8">
        <v>0.71199999999999997</v>
      </c>
      <c r="K87" s="8">
        <v>0.69</v>
      </c>
      <c r="L87" s="7">
        <v>45775</v>
      </c>
      <c r="M87" s="9"/>
    </row>
    <row r="88" spans="1:13" x14ac:dyDescent="0.2">
      <c r="A88" s="7" t="s">
        <v>48</v>
      </c>
      <c r="B88" s="7" t="s">
        <v>321</v>
      </c>
      <c r="C88" s="7" t="s">
        <v>233</v>
      </c>
      <c r="D88" s="7" t="s">
        <v>234</v>
      </c>
      <c r="E88" s="7">
        <v>46827</v>
      </c>
      <c r="F88" s="8">
        <v>0.125</v>
      </c>
      <c r="G88" s="8">
        <v>94.89</v>
      </c>
      <c r="H88" s="8">
        <v>2.1</v>
      </c>
      <c r="I88" s="8">
        <v>2.0619999999999998</v>
      </c>
      <c r="J88" s="8">
        <v>2.8769999999999998</v>
      </c>
      <c r="K88" s="8">
        <v>2.8079999999999998</v>
      </c>
      <c r="L88" s="7">
        <v>45775</v>
      </c>
      <c r="M88" s="9"/>
    </row>
    <row r="89" spans="1:13" x14ac:dyDescent="0.2">
      <c r="A89" s="7" t="s">
        <v>38</v>
      </c>
      <c r="B89" s="7" t="s">
        <v>322</v>
      </c>
      <c r="C89" s="7" t="s">
        <v>233</v>
      </c>
      <c r="D89" s="7" t="s">
        <v>234</v>
      </c>
      <c r="E89" s="7">
        <v>49735</v>
      </c>
      <c r="F89" s="8">
        <v>0.72499999999999998</v>
      </c>
      <c r="G89" s="8">
        <v>80.66</v>
      </c>
      <c r="H89" s="8">
        <v>3.6520000000000001</v>
      </c>
      <c r="I89" s="8">
        <v>3.4420000000000002</v>
      </c>
      <c r="J89" s="8">
        <v>10.843999999999999</v>
      </c>
      <c r="K89" s="8">
        <v>9.5869999999999997</v>
      </c>
      <c r="L89" s="7">
        <v>45775</v>
      </c>
      <c r="M89" s="9"/>
    </row>
    <row r="90" spans="1:13" x14ac:dyDescent="0.2">
      <c r="A90" s="7" t="s">
        <v>99</v>
      </c>
      <c r="B90" s="7" t="s">
        <v>323</v>
      </c>
      <c r="C90" s="7" t="s">
        <v>233</v>
      </c>
      <c r="D90" s="7" t="s">
        <v>234</v>
      </c>
      <c r="E90" s="7">
        <v>51410</v>
      </c>
      <c r="F90" s="8">
        <v>1.925</v>
      </c>
      <c r="G90" s="8">
        <v>97.95</v>
      </c>
      <c r="H90" s="8">
        <v>4.0670000000000002</v>
      </c>
      <c r="I90" s="8">
        <v>3.5670000000000002</v>
      </c>
      <c r="J90" s="8">
        <v>15.433</v>
      </c>
      <c r="K90" s="8">
        <v>11.242000000000001</v>
      </c>
      <c r="L90" s="7">
        <v>45775</v>
      </c>
      <c r="M90" s="9"/>
    </row>
    <row r="91" spans="1:13" x14ac:dyDescent="0.2">
      <c r="A91" s="7" t="s">
        <v>59</v>
      </c>
      <c r="B91" s="7" t="s">
        <v>324</v>
      </c>
      <c r="C91" s="7" t="s">
        <v>233</v>
      </c>
      <c r="D91" s="7" t="s">
        <v>234</v>
      </c>
      <c r="E91" s="7">
        <v>45884</v>
      </c>
      <c r="F91" s="8">
        <v>0.6</v>
      </c>
      <c r="G91" s="8">
        <v>99.745999999999995</v>
      </c>
      <c r="H91" s="8">
        <v>2.048</v>
      </c>
      <c r="I91" s="8">
        <v>1.887</v>
      </c>
      <c r="J91" s="8">
        <v>0.29299999999999998</v>
      </c>
      <c r="K91" s="8">
        <v>0.28699999999999998</v>
      </c>
      <c r="L91" s="7">
        <v>45775</v>
      </c>
      <c r="M91" s="9"/>
    </row>
    <row r="92" spans="1:13" x14ac:dyDescent="0.2">
      <c r="A92" s="7" t="s">
        <v>197</v>
      </c>
      <c r="B92" s="7" t="s">
        <v>325</v>
      </c>
      <c r="C92" s="7" t="s">
        <v>233</v>
      </c>
      <c r="D92" s="7" t="s">
        <v>234</v>
      </c>
      <c r="E92" s="7">
        <v>49388</v>
      </c>
      <c r="F92" s="8">
        <v>2.125</v>
      </c>
      <c r="G92" s="8">
        <v>0</v>
      </c>
      <c r="H92" s="8">
        <v>0</v>
      </c>
      <c r="I92" s="8">
        <v>0</v>
      </c>
      <c r="J92" s="8">
        <v>9.8930000000000007</v>
      </c>
      <c r="K92" s="8">
        <v>0</v>
      </c>
      <c r="L92" s="7">
        <v>45805</v>
      </c>
      <c r="M92" s="9"/>
    </row>
    <row r="93" spans="1:13" x14ac:dyDescent="0.2">
      <c r="A93" s="7" t="s">
        <v>10</v>
      </c>
      <c r="B93" s="7" t="s">
        <v>327</v>
      </c>
      <c r="C93" s="7" t="s">
        <v>233</v>
      </c>
      <c r="D93" s="7" t="s">
        <v>234</v>
      </c>
      <c r="E93" s="7">
        <v>46997</v>
      </c>
      <c r="F93" s="8">
        <v>2.375</v>
      </c>
      <c r="G93" s="8">
        <v>108.07</v>
      </c>
      <c r="H93" s="8">
        <v>2.2349999999999999</v>
      </c>
      <c r="I93" s="8">
        <v>1.6639999999999999</v>
      </c>
      <c r="J93" s="8">
        <v>3.3420000000000001</v>
      </c>
      <c r="K93" s="8">
        <v>3.0510000000000002</v>
      </c>
      <c r="L93" s="7">
        <v>45775</v>
      </c>
      <c r="M93" s="9"/>
    </row>
    <row r="94" spans="1:13" x14ac:dyDescent="0.2">
      <c r="A94" s="7" t="s">
        <v>69</v>
      </c>
      <c r="B94" s="7" t="s">
        <v>328</v>
      </c>
      <c r="C94" s="7" t="s">
        <v>233</v>
      </c>
      <c r="D94" s="7" t="s">
        <v>234</v>
      </c>
      <c r="E94" s="7">
        <v>56158</v>
      </c>
      <c r="F94" s="8">
        <v>2.25</v>
      </c>
      <c r="G94" s="8">
        <v>102.56</v>
      </c>
      <c r="H94" s="8">
        <v>4.3860000000000001</v>
      </c>
      <c r="I94" s="8">
        <v>3.8220000000000001</v>
      </c>
      <c r="J94" s="8">
        <v>28.440999999999999</v>
      </c>
      <c r="K94" s="8">
        <v>15.733000000000001</v>
      </c>
      <c r="L94" s="7">
        <v>45775</v>
      </c>
      <c r="M94" s="9"/>
    </row>
    <row r="95" spans="1:13" x14ac:dyDescent="0.2">
      <c r="A95" s="7" t="s">
        <v>201</v>
      </c>
      <c r="B95" s="7" t="s">
        <v>329</v>
      </c>
      <c r="C95" s="7" t="s">
        <v>233</v>
      </c>
      <c r="D95" s="7" t="s">
        <v>234</v>
      </c>
      <c r="E95" s="7">
        <v>48410</v>
      </c>
      <c r="F95" s="8">
        <v>0.72699999999999998</v>
      </c>
      <c r="G95" s="8">
        <v>100.61</v>
      </c>
      <c r="H95" s="8">
        <v>3.1779999999999999</v>
      </c>
      <c r="I95" s="8">
        <v>2.7679999999999998</v>
      </c>
      <c r="J95" s="8">
        <v>7.2140000000000004</v>
      </c>
      <c r="K95" s="8">
        <v>6.2880000000000003</v>
      </c>
      <c r="L95" s="7">
        <v>45775</v>
      </c>
      <c r="M95" s="9"/>
    </row>
    <row r="96" spans="1:13" x14ac:dyDescent="0.2">
      <c r="A96" s="7" t="s">
        <v>85</v>
      </c>
      <c r="B96" s="7" t="s">
        <v>330</v>
      </c>
      <c r="C96" s="7" t="s">
        <v>233</v>
      </c>
      <c r="D96" s="7" t="s">
        <v>234</v>
      </c>
      <c r="E96" s="7">
        <v>46050</v>
      </c>
      <c r="F96" s="8">
        <v>1.6</v>
      </c>
      <c r="G96" s="8">
        <v>100.875</v>
      </c>
      <c r="H96" s="8">
        <v>1.9810000000000001</v>
      </c>
      <c r="I96" s="8">
        <v>1.569</v>
      </c>
      <c r="J96" s="8">
        <v>0.748</v>
      </c>
      <c r="K96" s="8">
        <v>0.72599999999999998</v>
      </c>
      <c r="L96" s="7">
        <v>45775</v>
      </c>
      <c r="M96" s="9"/>
    </row>
    <row r="97" spans="1:13" x14ac:dyDescent="0.2">
      <c r="A97" s="7" t="s">
        <v>76</v>
      </c>
      <c r="B97" s="7" t="s">
        <v>331</v>
      </c>
      <c r="C97" s="7" t="s">
        <v>233</v>
      </c>
      <c r="D97" s="7" t="s">
        <v>234</v>
      </c>
      <c r="E97" s="7">
        <v>45929</v>
      </c>
      <c r="F97" s="8">
        <v>1.8</v>
      </c>
      <c r="G97" s="8">
        <v>100.61799999999999</v>
      </c>
      <c r="H97" s="8">
        <v>2.0390000000000001</v>
      </c>
      <c r="I97" s="8">
        <v>1.597</v>
      </c>
      <c r="J97" s="8">
        <v>0.41599999999999998</v>
      </c>
      <c r="K97" s="8">
        <v>0.40799999999999997</v>
      </c>
      <c r="L97" s="7">
        <v>45775</v>
      </c>
      <c r="M97" s="9"/>
    </row>
    <row r="98" spans="1:13" x14ac:dyDescent="0.2">
      <c r="A98" s="7" t="s">
        <v>40</v>
      </c>
      <c r="B98" s="7" t="s">
        <v>332</v>
      </c>
      <c r="C98" s="7" t="s">
        <v>233</v>
      </c>
      <c r="D98" s="7" t="s">
        <v>234</v>
      </c>
      <c r="E98" s="7">
        <v>45839</v>
      </c>
      <c r="F98" s="8">
        <v>0.92500000000000004</v>
      </c>
      <c r="G98" s="8">
        <v>99.956999999999994</v>
      </c>
      <c r="H98" s="8">
        <v>2.0779999999999998</v>
      </c>
      <c r="I98" s="8">
        <v>1.843</v>
      </c>
      <c r="J98" s="8">
        <v>0.17</v>
      </c>
      <c r="K98" s="8">
        <v>0.16600000000000001</v>
      </c>
      <c r="L98" s="7">
        <v>45775</v>
      </c>
      <c r="M98" s="9"/>
    </row>
    <row r="99" spans="1:13" x14ac:dyDescent="0.2">
      <c r="A99" s="7" t="s">
        <v>91</v>
      </c>
      <c r="B99" s="7" t="s">
        <v>333</v>
      </c>
      <c r="C99" s="7" t="s">
        <v>233</v>
      </c>
      <c r="D99" s="7" t="s">
        <v>234</v>
      </c>
      <c r="E99" s="7">
        <v>46262</v>
      </c>
      <c r="F99" s="8">
        <v>1.55</v>
      </c>
      <c r="G99" s="8">
        <v>101.54</v>
      </c>
      <c r="H99" s="8">
        <v>1.9350000000000001</v>
      </c>
      <c r="I99" s="8">
        <v>1.548</v>
      </c>
      <c r="J99" s="8">
        <v>1.329</v>
      </c>
      <c r="K99" s="8">
        <v>1.282</v>
      </c>
      <c r="L99" s="7">
        <v>45775</v>
      </c>
      <c r="M99" s="9"/>
    </row>
    <row r="100" spans="1:13" x14ac:dyDescent="0.2">
      <c r="A100" s="7" t="s">
        <v>95</v>
      </c>
      <c r="B100" s="7" t="s">
        <v>334</v>
      </c>
      <c r="C100" s="7" t="s">
        <v>233</v>
      </c>
      <c r="D100" s="7" t="s">
        <v>234</v>
      </c>
      <c r="E100" s="7">
        <v>48167</v>
      </c>
      <c r="F100" s="8">
        <v>1.575</v>
      </c>
      <c r="G100" s="8">
        <v>100.8</v>
      </c>
      <c r="H100" s="8">
        <v>3.0310000000000001</v>
      </c>
      <c r="I100" s="8">
        <v>2.6349999999999998</v>
      </c>
      <c r="J100" s="8">
        <v>6.548</v>
      </c>
      <c r="K100" s="8">
        <v>5.7190000000000003</v>
      </c>
      <c r="L100" s="7">
        <v>45775</v>
      </c>
      <c r="M100" s="9"/>
    </row>
    <row r="101" spans="1:13" x14ac:dyDescent="0.2">
      <c r="A101" s="7" t="s">
        <v>98</v>
      </c>
      <c r="B101" s="7" t="s">
        <v>335</v>
      </c>
      <c r="C101" s="7" t="s">
        <v>233</v>
      </c>
      <c r="D101" s="7" t="s">
        <v>234</v>
      </c>
      <c r="E101" s="7">
        <v>46443</v>
      </c>
      <c r="F101" s="8">
        <v>1.2749999999999999</v>
      </c>
      <c r="G101" s="8">
        <v>101.01</v>
      </c>
      <c r="H101" s="8">
        <v>1.9910000000000001</v>
      </c>
      <c r="I101" s="8">
        <v>1.6659999999999999</v>
      </c>
      <c r="J101" s="8">
        <v>1.825</v>
      </c>
      <c r="K101" s="8">
        <v>1.752</v>
      </c>
      <c r="L101" s="7">
        <v>45775</v>
      </c>
      <c r="M101" s="9"/>
    </row>
    <row r="102" spans="1:13" x14ac:dyDescent="0.2">
      <c r="A102" s="7" t="s">
        <v>67</v>
      </c>
      <c r="B102" s="7" t="s">
        <v>336</v>
      </c>
      <c r="C102" s="7" t="s">
        <v>233</v>
      </c>
      <c r="D102" s="7" t="s">
        <v>234</v>
      </c>
      <c r="E102" s="7">
        <v>46844</v>
      </c>
      <c r="F102" s="8">
        <v>1.7</v>
      </c>
      <c r="G102" s="8">
        <v>103.53</v>
      </c>
      <c r="H102" s="8">
        <v>2.1520000000000001</v>
      </c>
      <c r="I102" s="8">
        <v>1.72</v>
      </c>
      <c r="J102" s="8">
        <v>2.923</v>
      </c>
      <c r="K102" s="8">
        <v>2.7490000000000001</v>
      </c>
      <c r="L102" s="7">
        <v>45775</v>
      </c>
      <c r="M102" s="9"/>
    </row>
    <row r="103" spans="1:13" x14ac:dyDescent="0.2">
      <c r="A103" s="7" t="s">
        <v>84</v>
      </c>
      <c r="B103" s="7" t="s">
        <v>337</v>
      </c>
      <c r="C103" s="7" t="s">
        <v>233</v>
      </c>
      <c r="D103" s="7" t="s">
        <v>234</v>
      </c>
      <c r="E103" s="7">
        <v>47547</v>
      </c>
      <c r="F103" s="8">
        <v>0.81299999999999994</v>
      </c>
      <c r="G103" s="8">
        <v>103.9</v>
      </c>
      <c r="H103" s="8">
        <v>2.867</v>
      </c>
      <c r="I103" s="8">
        <v>2.407</v>
      </c>
      <c r="J103" s="8">
        <v>4.8490000000000002</v>
      </c>
      <c r="K103" s="8">
        <v>4.3440000000000003</v>
      </c>
      <c r="L103" s="7">
        <v>45775</v>
      </c>
      <c r="M103" s="9"/>
    </row>
    <row r="104" spans="1:13" x14ac:dyDescent="0.2">
      <c r="A104" s="7" t="s">
        <v>211</v>
      </c>
      <c r="B104" s="7" t="s">
        <v>338</v>
      </c>
      <c r="C104" s="7" t="s">
        <v>233</v>
      </c>
      <c r="D104" s="7" t="s">
        <v>234</v>
      </c>
      <c r="E104" s="7">
        <v>47547</v>
      </c>
      <c r="F104" s="8">
        <v>0.81299999999999994</v>
      </c>
      <c r="G104" s="8">
        <v>103.9</v>
      </c>
      <c r="H104" s="8">
        <v>3.0009999999999999</v>
      </c>
      <c r="I104" s="8">
        <v>2.5289999999999999</v>
      </c>
      <c r="J104" s="8">
        <v>4.8490000000000002</v>
      </c>
      <c r="K104" s="8">
        <v>4.3390000000000004</v>
      </c>
      <c r="L104" s="7">
        <v>45775</v>
      </c>
      <c r="M104" s="9"/>
    </row>
    <row r="105" spans="1:13" x14ac:dyDescent="0.2">
      <c r="A105" s="7" t="s">
        <v>79</v>
      </c>
      <c r="B105" s="7" t="s">
        <v>339</v>
      </c>
      <c r="C105" s="7" t="s">
        <v>233</v>
      </c>
      <c r="D105" s="7" t="s">
        <v>234</v>
      </c>
      <c r="E105" s="7">
        <v>47036</v>
      </c>
      <c r="F105" s="8">
        <v>1.0249999999999999</v>
      </c>
      <c r="G105" s="8">
        <v>105.86</v>
      </c>
      <c r="H105" s="8">
        <v>2.5670000000000002</v>
      </c>
      <c r="I105" s="8">
        <v>2.0350000000000001</v>
      </c>
      <c r="J105" s="8">
        <v>3.4489999999999998</v>
      </c>
      <c r="K105" s="8">
        <v>3.149</v>
      </c>
      <c r="L105" s="7">
        <v>45775</v>
      </c>
      <c r="M105" s="9"/>
    </row>
    <row r="106" spans="1:13" x14ac:dyDescent="0.2">
      <c r="A106" s="7" t="s">
        <v>213</v>
      </c>
      <c r="B106" s="7" t="s">
        <v>340</v>
      </c>
      <c r="C106" s="7" t="s">
        <v>233</v>
      </c>
      <c r="D106" s="7" t="s">
        <v>234</v>
      </c>
      <c r="E106" s="7">
        <v>47036</v>
      </c>
      <c r="F106" s="8">
        <v>1.0249999999999999</v>
      </c>
      <c r="G106" s="8">
        <v>105.86</v>
      </c>
      <c r="H106" s="8">
        <v>2.7040000000000002</v>
      </c>
      <c r="I106" s="8">
        <v>2.161</v>
      </c>
      <c r="J106" s="8">
        <v>3.4489999999999998</v>
      </c>
      <c r="K106" s="8">
        <v>3.145</v>
      </c>
      <c r="L106" s="7">
        <v>45775</v>
      </c>
      <c r="M106" s="9"/>
    </row>
    <row r="107" spans="1:13" x14ac:dyDescent="0.2">
      <c r="A107" s="7" t="s">
        <v>73</v>
      </c>
      <c r="B107" s="7" t="s">
        <v>341</v>
      </c>
      <c r="C107" s="7" t="s">
        <v>233</v>
      </c>
      <c r="D107" s="7" t="s">
        <v>234</v>
      </c>
      <c r="E107" s="7">
        <v>46551</v>
      </c>
      <c r="F107" s="8">
        <v>1.625</v>
      </c>
      <c r="G107" s="8">
        <v>103.54</v>
      </c>
      <c r="H107" s="8">
        <v>2.2469999999999999</v>
      </c>
      <c r="I107" s="8">
        <v>1.7589999999999999</v>
      </c>
      <c r="J107" s="8">
        <v>2.121</v>
      </c>
      <c r="K107" s="8">
        <v>1.992</v>
      </c>
      <c r="L107" s="7">
        <v>45775</v>
      </c>
      <c r="M107" s="9"/>
    </row>
    <row r="108" spans="1:13" x14ac:dyDescent="0.2">
      <c r="A108" s="7" t="s">
        <v>215</v>
      </c>
      <c r="B108" s="7" t="s">
        <v>342</v>
      </c>
      <c r="C108" s="7" t="s">
        <v>233</v>
      </c>
      <c r="D108" s="7" t="s">
        <v>234</v>
      </c>
      <c r="E108" s="7">
        <v>46551</v>
      </c>
      <c r="F108" s="8">
        <v>1.625</v>
      </c>
      <c r="G108" s="8">
        <v>103.54</v>
      </c>
      <c r="H108" s="8">
        <v>2.4750000000000001</v>
      </c>
      <c r="I108" s="8">
        <v>1.9730000000000001</v>
      </c>
      <c r="J108" s="8">
        <v>2.121</v>
      </c>
      <c r="K108" s="8">
        <v>1.9870000000000001</v>
      </c>
      <c r="L108" s="7">
        <v>45775</v>
      </c>
      <c r="M108" s="9"/>
    </row>
    <row r="109" spans="1:13" x14ac:dyDescent="0.2">
      <c r="A109" s="7" t="s">
        <v>88</v>
      </c>
      <c r="B109" s="7" t="s">
        <v>343</v>
      </c>
      <c r="C109" s="7" t="s">
        <v>233</v>
      </c>
      <c r="D109" s="7" t="s">
        <v>234</v>
      </c>
      <c r="E109" s="7">
        <v>47617</v>
      </c>
      <c r="F109" s="8">
        <v>0.83799999999999997</v>
      </c>
      <c r="G109" s="8">
        <v>103.55</v>
      </c>
      <c r="H109" s="8">
        <v>2.9380000000000002</v>
      </c>
      <c r="I109" s="8">
        <v>2.4809999999999999</v>
      </c>
      <c r="J109" s="8">
        <v>5.0410000000000004</v>
      </c>
      <c r="K109" s="8">
        <v>4.4870000000000001</v>
      </c>
      <c r="L109" s="7">
        <v>45775</v>
      </c>
      <c r="M109" s="9"/>
    </row>
    <row r="110" spans="1:13" x14ac:dyDescent="0.2">
      <c r="A110" s="7" t="s">
        <v>217</v>
      </c>
      <c r="B110" s="7" t="s">
        <v>344</v>
      </c>
      <c r="C110" s="7" t="s">
        <v>233</v>
      </c>
      <c r="D110" s="7" t="s">
        <v>234</v>
      </c>
      <c r="E110" s="7">
        <v>47617</v>
      </c>
      <c r="F110" s="8">
        <v>0.83799999999999997</v>
      </c>
      <c r="G110" s="8">
        <v>103.55</v>
      </c>
      <c r="H110" s="8">
        <v>3.0859999999999999</v>
      </c>
      <c r="I110" s="8">
        <v>2.6139999999999999</v>
      </c>
      <c r="J110" s="8">
        <v>5.0410000000000004</v>
      </c>
      <c r="K110" s="8">
        <v>4.4820000000000002</v>
      </c>
      <c r="L110" s="7">
        <v>45775</v>
      </c>
      <c r="M110" s="9"/>
    </row>
    <row r="111" spans="1:13" x14ac:dyDescent="0.2">
      <c r="A111" s="7" t="s">
        <v>218</v>
      </c>
      <c r="B111" s="7" t="s">
        <v>345</v>
      </c>
      <c r="C111" s="7" t="s">
        <v>233</v>
      </c>
      <c r="D111" s="7" t="s">
        <v>234</v>
      </c>
      <c r="E111" s="7">
        <v>57115</v>
      </c>
      <c r="F111" s="8">
        <v>1.2749999999999999</v>
      </c>
      <c r="G111" s="8">
        <v>100.85</v>
      </c>
      <c r="H111" s="8">
        <v>4.8109999999999999</v>
      </c>
      <c r="I111" s="8">
        <v>4.4809999999999999</v>
      </c>
      <c r="J111" s="8">
        <v>31.062999999999999</v>
      </c>
      <c r="K111" s="8">
        <v>5.71</v>
      </c>
      <c r="L111" s="7">
        <v>45775</v>
      </c>
      <c r="M111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5FB9-B9CE-C24F-83DB-C117225C56B8}">
  <dimension ref="A1:M111"/>
  <sheetViews>
    <sheetView zoomScale="150" workbookViewId="0">
      <selection activeCell="G2" sqref="G2"/>
    </sheetView>
  </sheetViews>
  <sheetFormatPr baseColWidth="10" defaultRowHeight="16" x14ac:dyDescent="0.2"/>
  <cols>
    <col min="1" max="1" width="13.1640625" bestFit="1" customWidth="1"/>
    <col min="2" max="2" width="20.5" customWidth="1"/>
    <col min="3" max="3" width="11.1640625" customWidth="1"/>
    <col min="4" max="4" width="4.1640625" customWidth="1"/>
    <col min="5" max="5" width="10.83203125" bestFit="1" customWidth="1"/>
    <col min="6" max="6" width="9.83203125" customWidth="1"/>
    <col min="7" max="7" width="7.6640625" bestFit="1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117.36</v>
      </c>
      <c r="H2" s="3">
        <v>3.2256070252117</v>
      </c>
      <c r="I2" s="3">
        <v>2.5629274952603001</v>
      </c>
      <c r="J2" s="3">
        <v>7.7616438356164004</v>
      </c>
      <c r="K2" s="3">
        <v>6.2196529928895998</v>
      </c>
      <c r="L2" s="2" t="s">
        <v>346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100.57</v>
      </c>
      <c r="H3" s="3">
        <v>1.9288354309536</v>
      </c>
      <c r="I3" s="3">
        <v>1.637735690048</v>
      </c>
      <c r="J3" s="3">
        <v>2.0849315068493</v>
      </c>
      <c r="K3" s="3">
        <v>1.9929544892477999</v>
      </c>
      <c r="L3" s="2" t="s">
        <v>346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99.85</v>
      </c>
      <c r="H4" s="3">
        <v>2.0648247070794001</v>
      </c>
      <c r="I4" s="3">
        <v>1.8076721349611</v>
      </c>
      <c r="J4" s="3">
        <v>2.7561643835615999</v>
      </c>
      <c r="K4" s="3">
        <v>2.6285217137585</v>
      </c>
      <c r="L4" s="2" t="s">
        <v>346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102.28</v>
      </c>
      <c r="H5" s="3">
        <v>2.4463267430987998</v>
      </c>
      <c r="I5" s="3">
        <v>2.0722533635597</v>
      </c>
      <c r="J5" s="3">
        <v>4.2547945205479998</v>
      </c>
      <c r="K5" s="3">
        <v>3.9060840391734999</v>
      </c>
      <c r="L5" s="2" t="s">
        <v>346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102.21</v>
      </c>
      <c r="H6" s="3">
        <v>3.9822283219206001</v>
      </c>
      <c r="I6" s="3">
        <v>3.4596213507623998</v>
      </c>
      <c r="J6" s="3">
        <v>14.427397260274001</v>
      </c>
      <c r="K6" s="3">
        <v>10.589466150449001</v>
      </c>
      <c r="L6" s="2" t="s">
        <v>346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86.91</v>
      </c>
      <c r="H7" s="3">
        <v>2.9245694848679</v>
      </c>
      <c r="I7" s="3">
        <v>2.8420779969488001</v>
      </c>
      <c r="J7" s="3">
        <v>6.2547945205479998</v>
      </c>
      <c r="K7" s="3">
        <v>5.9540886765660002</v>
      </c>
      <c r="L7" s="2" t="s">
        <v>346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108.41</v>
      </c>
      <c r="H8" s="3">
        <v>4.1533681036156</v>
      </c>
      <c r="I8" s="3">
        <v>3.576516507559</v>
      </c>
      <c r="J8" s="3">
        <v>19.350684931507001</v>
      </c>
      <c r="K8" s="3">
        <v>12.538557361481001</v>
      </c>
      <c r="L8" s="2" t="s">
        <v>346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104.4</v>
      </c>
      <c r="H9" s="3">
        <v>2.5418744415301</v>
      </c>
      <c r="I9" s="3">
        <v>2.1075313051569999</v>
      </c>
      <c r="J9" s="3">
        <v>4.8356164383562001</v>
      </c>
      <c r="K9" s="3">
        <v>4.3650767743048</v>
      </c>
      <c r="L9" s="2" t="s">
        <v>346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91.64</v>
      </c>
      <c r="H10" s="3">
        <v>3.0331669922861999</v>
      </c>
      <c r="I10" s="3">
        <v>2.8112077122739998</v>
      </c>
      <c r="J10" s="3">
        <v>6.8383561643836002</v>
      </c>
      <c r="K10" s="3">
        <v>6.2669489768864004</v>
      </c>
      <c r="L10" s="2" t="s">
        <v>346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99.72</v>
      </c>
      <c r="H11" s="3">
        <v>1.8703596601632999</v>
      </c>
      <c r="I11" s="3">
        <v>1.6682628778294</v>
      </c>
      <c r="J11" s="3">
        <v>1.0849315068493</v>
      </c>
      <c r="K11" s="3">
        <v>1.0533642717564</v>
      </c>
      <c r="L11" s="2" t="s">
        <v>346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87.16</v>
      </c>
      <c r="H12" s="3">
        <v>3.6722121294579999</v>
      </c>
      <c r="I12" s="3">
        <v>3.3608839139584998</v>
      </c>
      <c r="J12" s="3">
        <v>11.345205479452</v>
      </c>
      <c r="K12" s="3">
        <v>9.5703730570660994</v>
      </c>
      <c r="L12" s="2" t="s">
        <v>346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89.16</v>
      </c>
      <c r="H13" s="3">
        <v>4.2324377424071997</v>
      </c>
      <c r="I13" s="3">
        <v>3.7579290655062998</v>
      </c>
      <c r="J13" s="3">
        <v>22.849315068492999</v>
      </c>
      <c r="K13" s="3">
        <v>14.809168620413001</v>
      </c>
      <c r="L13" s="2" t="s">
        <v>346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90.61</v>
      </c>
      <c r="H14" s="3">
        <v>3.9777535020392998</v>
      </c>
      <c r="I14" s="3">
        <v>3.5582247088600001</v>
      </c>
      <c r="J14" s="3">
        <v>14.843835616438</v>
      </c>
      <c r="K14" s="3">
        <v>11.321356388849001</v>
      </c>
      <c r="L14" s="2" t="s">
        <v>346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98.283000000000001</v>
      </c>
      <c r="H15" s="3">
        <v>1.8773687497920999</v>
      </c>
      <c r="I15" s="3">
        <v>1.8646475375569</v>
      </c>
      <c r="J15" s="3">
        <v>0.91780821917807998</v>
      </c>
      <c r="K15" s="3">
        <v>0.90111873889337002</v>
      </c>
      <c r="L15" s="2" t="s">
        <v>346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59.9</v>
      </c>
      <c r="H16" s="3">
        <v>4.1134588366051004</v>
      </c>
      <c r="I16" s="3">
        <v>3.7159001781738001</v>
      </c>
      <c r="J16" s="3">
        <v>46.865753424657001</v>
      </c>
      <c r="K16" s="3">
        <v>23.225306749925998</v>
      </c>
      <c r="L16" s="2" t="s">
        <v>346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94.31</v>
      </c>
      <c r="H17" s="3">
        <v>3.8484551189006999</v>
      </c>
      <c r="I17" s="3">
        <v>3.4187798988273999</v>
      </c>
      <c r="J17" s="3">
        <v>12.841095890410999</v>
      </c>
      <c r="K17" s="3">
        <v>10.074700801023001</v>
      </c>
      <c r="L17" s="2" t="s">
        <v>346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98.45</v>
      </c>
      <c r="H18" s="3">
        <v>1.9363374767354999</v>
      </c>
      <c r="I18" s="3">
        <v>1.7962018453662001</v>
      </c>
      <c r="J18" s="3">
        <v>1.9178082191781001</v>
      </c>
      <c r="K18" s="3">
        <v>1.8652015589311</v>
      </c>
      <c r="L18" s="2" t="s">
        <v>346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103.35</v>
      </c>
      <c r="H19" s="3">
        <v>2.5110928559364001</v>
      </c>
      <c r="I19" s="3">
        <v>2.0922684443833002</v>
      </c>
      <c r="J19" s="3">
        <v>4.1698630136985999</v>
      </c>
      <c r="K19" s="3">
        <v>3.7979788120198998</v>
      </c>
      <c r="L19" s="2" t="s">
        <v>346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103.29</v>
      </c>
      <c r="H20" s="3">
        <v>3.453892428059</v>
      </c>
      <c r="I20" s="3">
        <v>2.9726828885032002</v>
      </c>
      <c r="J20" s="3">
        <v>9.1726027397260008</v>
      </c>
      <c r="K20" s="3">
        <v>7.4930056113871002</v>
      </c>
      <c r="L20" s="2" t="s">
        <v>346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94.25</v>
      </c>
      <c r="H21" s="3">
        <v>2.7839045390526</v>
      </c>
      <c r="I21" s="3">
        <v>2.5632829255507001</v>
      </c>
      <c r="J21" s="3">
        <v>5.5890410958904004</v>
      </c>
      <c r="K21" s="3">
        <v>5.1739217644773001</v>
      </c>
      <c r="L21" s="2" t="s">
        <v>346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</v>
      </c>
      <c r="H22" s="3">
        <v>2.9898451151235999</v>
      </c>
      <c r="I22" s="3">
        <v>2.8598335847499001</v>
      </c>
      <c r="J22" s="3">
        <v>6.5890410958904004</v>
      </c>
      <c r="K22" s="3">
        <v>6.1742322084822003</v>
      </c>
      <c r="L22" s="2" t="s">
        <v>346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104.84</v>
      </c>
      <c r="H23" s="3">
        <v>2.2604662224744998</v>
      </c>
      <c r="I23" s="3">
        <v>1.7943271229530999</v>
      </c>
      <c r="J23" s="3">
        <v>3.2547945205479998</v>
      </c>
      <c r="K23" s="3">
        <v>3.0029339444274998</v>
      </c>
      <c r="L23" s="2" t="s">
        <v>346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112.64</v>
      </c>
      <c r="H24" s="3">
        <v>3.4233895320965999</v>
      </c>
      <c r="I24" s="3">
        <v>2.8301624544360999</v>
      </c>
      <c r="J24" s="3">
        <v>9.2575342465753003</v>
      </c>
      <c r="K24" s="3">
        <v>7.3110892074998004</v>
      </c>
      <c r="L24" s="2" t="s">
        <v>346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103.35</v>
      </c>
      <c r="H25" s="3">
        <v>3.6759437417425</v>
      </c>
      <c r="I25" s="3">
        <v>3.1778643116593002</v>
      </c>
      <c r="J25" s="3">
        <v>11.764383561643999</v>
      </c>
      <c r="K25" s="3">
        <v>9.1213126952633008</v>
      </c>
      <c r="L25" s="2" t="s">
        <v>346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111.87</v>
      </c>
      <c r="H26" s="3">
        <v>3.9416347805707002</v>
      </c>
      <c r="I26" s="3">
        <v>3.3482315895480999</v>
      </c>
      <c r="J26" s="3">
        <v>14.260273972603001</v>
      </c>
      <c r="K26" s="3">
        <v>10.097563408411</v>
      </c>
      <c r="L26" s="2" t="s">
        <v>346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99.04</v>
      </c>
      <c r="H27" s="3">
        <v>1.8745256990843999</v>
      </c>
      <c r="I27" s="3">
        <v>1.7160374787043</v>
      </c>
      <c r="J27" s="3">
        <v>1.586301369863</v>
      </c>
      <c r="K27" s="3">
        <v>1.5387696703481999</v>
      </c>
      <c r="L27" s="2" t="s">
        <v>346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101.9</v>
      </c>
      <c r="H28" s="3">
        <v>2.2553027193422999</v>
      </c>
      <c r="I28" s="3">
        <v>1.9013242371774</v>
      </c>
      <c r="J28" s="3">
        <v>3.5890410958904</v>
      </c>
      <c r="K28" s="3">
        <v>3.3280715101149001</v>
      </c>
      <c r="L28" s="2" t="s">
        <v>346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98.932000000000002</v>
      </c>
      <c r="H29" s="3">
        <v>1.8991890082181</v>
      </c>
      <c r="I29" s="3">
        <v>1.8289152357303</v>
      </c>
      <c r="J29" s="3">
        <v>0.75616438356163995</v>
      </c>
      <c r="K29" s="3">
        <v>0.74368096431653996</v>
      </c>
      <c r="L29" s="2" t="s">
        <v>346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97.76</v>
      </c>
      <c r="H30" s="3">
        <v>1.8178419879064001</v>
      </c>
      <c r="I30" s="3">
        <v>1.8157149437133999</v>
      </c>
      <c r="J30" s="3">
        <v>1.2520547945206</v>
      </c>
      <c r="K30" s="3">
        <v>1.2350824001206999</v>
      </c>
      <c r="L30" s="2" t="s">
        <v>346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102.77</v>
      </c>
      <c r="H31" s="3">
        <v>3.5396973615523</v>
      </c>
      <c r="I31" s="3">
        <v>3.0587889104663999</v>
      </c>
      <c r="J31" s="3">
        <v>9.7616438356164004</v>
      </c>
      <c r="K31" s="3">
        <v>7.9014420507154002</v>
      </c>
      <c r="L31" s="2" t="s">
        <v>346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111.65</v>
      </c>
      <c r="H32" s="3">
        <v>4.0123054910742999</v>
      </c>
      <c r="I32" s="3">
        <v>3.4170233891980999</v>
      </c>
      <c r="J32" s="3">
        <v>15.347945205479</v>
      </c>
      <c r="K32" s="3">
        <v>10.661652410802001</v>
      </c>
      <c r="L32" s="2" t="s">
        <v>346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102.078</v>
      </c>
      <c r="H33" s="3">
        <v>1.9494468359696999</v>
      </c>
      <c r="I33" s="3">
        <v>1.4026201237261999</v>
      </c>
      <c r="J33" s="3">
        <v>0.83287671232877003</v>
      </c>
      <c r="K33" s="3">
        <v>0.80920517044326001</v>
      </c>
      <c r="L33" s="2" t="s">
        <v>346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87.29</v>
      </c>
      <c r="H34" s="3">
        <v>4.1927195696136002</v>
      </c>
      <c r="I34" s="3">
        <v>3.7415692944410002</v>
      </c>
      <c r="J34" s="3">
        <v>21.350684931507001</v>
      </c>
      <c r="K34" s="3">
        <v>14.395822626603</v>
      </c>
      <c r="L34" s="2" t="s">
        <v>346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100.07</v>
      </c>
      <c r="H35" s="3">
        <v>1.8501121198693</v>
      </c>
      <c r="I35" s="3">
        <v>1.6040961569415</v>
      </c>
      <c r="J35" s="3">
        <v>0.58630136986300996</v>
      </c>
      <c r="K35" s="3">
        <v>0.57091516999731995</v>
      </c>
      <c r="L35" s="2" t="s">
        <v>346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71.67</v>
      </c>
      <c r="H36" s="3">
        <v>4.2976104456300002</v>
      </c>
      <c r="I36" s="3">
        <v>3.8428768676462002</v>
      </c>
      <c r="J36" s="3">
        <v>41.860273972602997</v>
      </c>
      <c r="K36" s="3">
        <v>20.667275851035001</v>
      </c>
      <c r="L36" s="2" t="s">
        <v>346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94.18</v>
      </c>
      <c r="H37" s="3">
        <v>3.2757243524808999</v>
      </c>
      <c r="I37" s="3">
        <v>2.9501572060541998</v>
      </c>
      <c r="J37" s="3">
        <v>8.3424657534246993</v>
      </c>
      <c r="K37" s="3">
        <v>7.2973930405439003</v>
      </c>
      <c r="L37" s="2" t="s">
        <v>346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90.84</v>
      </c>
      <c r="H38" s="3">
        <v>3.8669766634089</v>
      </c>
      <c r="I38" s="3">
        <v>3.4693977599630998</v>
      </c>
      <c r="J38" s="3">
        <v>13.345205479452</v>
      </c>
      <c r="K38" s="3">
        <v>10.530744367638</v>
      </c>
      <c r="L38" s="2" t="s">
        <v>346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99.01</v>
      </c>
      <c r="H39" s="3">
        <v>3.4976101383192</v>
      </c>
      <c r="I39" s="3">
        <v>3.0679330011082002</v>
      </c>
      <c r="J39" s="3">
        <v>9.8383561643835993</v>
      </c>
      <c r="K39" s="3">
        <v>8.1249427830518997</v>
      </c>
      <c r="L39" s="2" t="s">
        <v>346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94.38</v>
      </c>
      <c r="H40" s="3">
        <v>4.2625186542076001</v>
      </c>
      <c r="I40" s="3">
        <v>3.7525498091978</v>
      </c>
      <c r="J40" s="3">
        <v>24.353424657533999</v>
      </c>
      <c r="K40" s="3">
        <v>15.005743367087</v>
      </c>
      <c r="L40" s="2" t="s">
        <v>346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94.32</v>
      </c>
      <c r="H41" s="3">
        <v>2.6026046889591998</v>
      </c>
      <c r="I41" s="3">
        <v>2.4261507249487999</v>
      </c>
      <c r="J41" s="3">
        <v>4.9205479452054997</v>
      </c>
      <c r="K41" s="3">
        <v>4.6458663290187996</v>
      </c>
      <c r="L41" s="2" t="s">
        <v>346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72.64</v>
      </c>
      <c r="H42" s="3">
        <v>4.2591017598681002</v>
      </c>
      <c r="I42" s="3">
        <v>3.8752968053601</v>
      </c>
      <c r="J42" s="3">
        <v>25.353424657533999</v>
      </c>
      <c r="K42" s="3">
        <v>16.907598849970999</v>
      </c>
      <c r="L42" s="2" t="s">
        <v>346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61.07</v>
      </c>
      <c r="H43" s="3">
        <v>4.1817043247635999</v>
      </c>
      <c r="I43" s="3">
        <v>3.8848043813364002</v>
      </c>
      <c r="J43" s="3">
        <v>26.353424657533999</v>
      </c>
      <c r="K43" s="3">
        <v>18.715146571931001</v>
      </c>
      <c r="L43" s="2" t="s">
        <v>346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104.11</v>
      </c>
      <c r="H44" s="3">
        <v>4.1670499557307998</v>
      </c>
      <c r="I44" s="3">
        <v>3.6134719144909999</v>
      </c>
      <c r="J44" s="3">
        <v>18.347945205479999</v>
      </c>
      <c r="K44" s="3">
        <v>12.258711926269999</v>
      </c>
      <c r="L44" s="2" t="s">
        <v>346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106.33</v>
      </c>
      <c r="H45" s="3">
        <v>3.3916116580567</v>
      </c>
      <c r="I45" s="3">
        <v>2.877576581954</v>
      </c>
      <c r="J45" s="3">
        <v>8.8383561643835993</v>
      </c>
      <c r="K45" s="3">
        <v>7.2320264499617002</v>
      </c>
      <c r="L45" s="2" t="s">
        <v>346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89.44</v>
      </c>
      <c r="H46" s="3">
        <v>2.8708073412309001</v>
      </c>
      <c r="I46" s="3">
        <v>2.7495161078365999</v>
      </c>
      <c r="J46" s="3">
        <v>5.9205479452054997</v>
      </c>
      <c r="K46" s="3">
        <v>5.6032317169152002</v>
      </c>
      <c r="L46" s="2" t="s">
        <v>346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86.67</v>
      </c>
      <c r="H47" s="3">
        <v>3.0776928381969002</v>
      </c>
      <c r="I47" s="3">
        <v>2.9376665648935001</v>
      </c>
      <c r="J47" s="3">
        <v>7.0904109589040996</v>
      </c>
      <c r="K47" s="3">
        <v>6.6187087121124</v>
      </c>
      <c r="L47" s="2" t="s">
        <v>346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108.19</v>
      </c>
      <c r="H48" s="3">
        <v>3.2523506104929001</v>
      </c>
      <c r="I48" s="3">
        <v>2.7197705364240998</v>
      </c>
      <c r="J48" s="3">
        <v>8.0054794520548</v>
      </c>
      <c r="K48" s="3">
        <v>6.6749421553415997</v>
      </c>
      <c r="L48" s="2" t="s">
        <v>346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107.96</v>
      </c>
      <c r="H49" s="3">
        <v>1.8440333766935999</v>
      </c>
      <c r="I49" s="3">
        <v>0.98014724395502995</v>
      </c>
      <c r="J49" s="3">
        <v>1.5041095890411</v>
      </c>
      <c r="K49" s="3">
        <v>1.4308520047666999</v>
      </c>
      <c r="L49" s="2" t="s">
        <v>346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110.87</v>
      </c>
      <c r="H50" s="3">
        <v>2.0256966661339999</v>
      </c>
      <c r="I50" s="3">
        <v>1.2587378968848999</v>
      </c>
      <c r="J50" s="3">
        <v>2.5041095890411</v>
      </c>
      <c r="K50" s="3">
        <v>2.3139872962418999</v>
      </c>
      <c r="L50" s="2" t="s">
        <v>346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111.83</v>
      </c>
      <c r="H51" s="3">
        <v>2.4679496187599002</v>
      </c>
      <c r="I51" s="3">
        <v>1.8471800383118</v>
      </c>
      <c r="J51" s="3">
        <v>4.5068493150685001</v>
      </c>
      <c r="K51" s="3">
        <v>4.0022811474572002</v>
      </c>
      <c r="L51" s="2" t="s">
        <v>346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117.53</v>
      </c>
      <c r="H52" s="3">
        <v>2.8216877806123</v>
      </c>
      <c r="I52" s="3">
        <v>2.1317999113545998</v>
      </c>
      <c r="J52" s="3">
        <v>6.0027397260274</v>
      </c>
      <c r="K52" s="3">
        <v>5.0692523070107001</v>
      </c>
      <c r="L52" s="2" t="s">
        <v>346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99.936000000000007</v>
      </c>
      <c r="H53" s="3">
        <v>2.1452118548204999</v>
      </c>
      <c r="I53" s="3">
        <v>1.9680690187851999</v>
      </c>
      <c r="J53" s="3">
        <v>8.4931506849314997E-2</v>
      </c>
      <c r="K53" s="3">
        <v>8.5833790889711006E-2</v>
      </c>
      <c r="L53" s="2" t="s">
        <v>346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91.57</v>
      </c>
      <c r="H54" s="3">
        <v>2.6982161083434</v>
      </c>
      <c r="I54" s="3">
        <v>2.5667315792875001</v>
      </c>
      <c r="J54" s="3">
        <v>5.2547945205479998</v>
      </c>
      <c r="K54" s="3">
        <v>4.9845131296518996</v>
      </c>
      <c r="L54" s="2" t="s">
        <v>346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107.6</v>
      </c>
      <c r="H55" s="3">
        <v>3.1185193095560999</v>
      </c>
      <c r="I55" s="3">
        <v>2.6132086219600001</v>
      </c>
      <c r="J55" s="3">
        <v>8.5095890410959001</v>
      </c>
      <c r="K55" s="3">
        <v>6.9025288170953001</v>
      </c>
      <c r="L55" s="2" t="s">
        <v>346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100.24</v>
      </c>
      <c r="H56" s="3">
        <v>3.6006904584465</v>
      </c>
      <c r="I56" s="3">
        <v>3.1442439845852999</v>
      </c>
      <c r="J56" s="3">
        <v>10.424657534247</v>
      </c>
      <c r="K56" s="3">
        <v>8.4819908737598997</v>
      </c>
      <c r="L56" s="2" t="s">
        <v>235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101.85</v>
      </c>
      <c r="H57" s="3">
        <v>2.5681488558183001</v>
      </c>
      <c r="I57" s="3">
        <v>2.1870959539531998</v>
      </c>
      <c r="J57" s="3">
        <v>4.4219178082191997</v>
      </c>
      <c r="K57" s="3">
        <v>4.0633699245315</v>
      </c>
      <c r="L57" s="2" t="s">
        <v>346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106.13</v>
      </c>
      <c r="H58" s="3">
        <v>2.3936465154683</v>
      </c>
      <c r="I58" s="3">
        <v>1.8679418721251</v>
      </c>
      <c r="J58" s="3">
        <v>3.7589041095889999</v>
      </c>
      <c r="K58" s="3">
        <v>3.4166266787457</v>
      </c>
      <c r="L58" s="2" t="s">
        <v>346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101.02</v>
      </c>
      <c r="H59" s="3">
        <v>2.7546946788462998</v>
      </c>
      <c r="I59" s="3">
        <v>2.3835721345033001</v>
      </c>
      <c r="J59" s="3">
        <v>5.1698630136985999</v>
      </c>
      <c r="K59" s="3">
        <v>4.6836032934391003</v>
      </c>
      <c r="L59" s="2" t="s">
        <v>346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95.73</v>
      </c>
      <c r="H60" s="3">
        <v>3.1585093370555</v>
      </c>
      <c r="I60" s="3">
        <v>2.8102250765174999</v>
      </c>
      <c r="J60" s="3">
        <v>7.5917808219177996</v>
      </c>
      <c r="K60" s="3">
        <v>6.6608456121339996</v>
      </c>
      <c r="L60" s="2" t="s">
        <v>346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100.2</v>
      </c>
      <c r="H61" s="3">
        <v>1.9672493514605001</v>
      </c>
      <c r="I61" s="3">
        <v>1.6994245940127</v>
      </c>
      <c r="J61" s="3">
        <v>2.2520547945206002</v>
      </c>
      <c r="K61" s="3">
        <v>2.1621630880673002</v>
      </c>
      <c r="L61" s="2" t="s">
        <v>346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101.43</v>
      </c>
      <c r="H62" s="3">
        <v>2.0884464146559001</v>
      </c>
      <c r="I62" s="3">
        <v>1.7489653939195</v>
      </c>
      <c r="J62" s="3">
        <v>2.586301369863</v>
      </c>
      <c r="K62" s="3">
        <v>2.4398944549339001</v>
      </c>
      <c r="L62" s="2" t="s">
        <v>346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79.38</v>
      </c>
      <c r="H63" s="3">
        <v>4.1843047527820003</v>
      </c>
      <c r="I63" s="3">
        <v>3.7860764852100002</v>
      </c>
      <c r="J63" s="3">
        <v>21.846575342466</v>
      </c>
      <c r="K63" s="3">
        <v>15.162750275513</v>
      </c>
      <c r="L63" s="2" t="s">
        <v>346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73.849999999999994</v>
      </c>
      <c r="H64" s="3">
        <v>3.7294413248456002</v>
      </c>
      <c r="I64" s="3">
        <v>3.5829370957575999</v>
      </c>
      <c r="J64" s="3">
        <v>11.841095890410999</v>
      </c>
      <c r="K64" s="3">
        <v>10.676374975389001</v>
      </c>
      <c r="L64" s="2" t="s">
        <v>346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66.47</v>
      </c>
      <c r="H65" s="3">
        <v>4.2722106851820998</v>
      </c>
      <c r="I65" s="3">
        <v>3.9167141617298999</v>
      </c>
      <c r="J65" s="3">
        <v>27.356164383562</v>
      </c>
      <c r="K65" s="3">
        <v>18.155309949787998</v>
      </c>
      <c r="L65" s="2" t="s">
        <v>346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</v>
      </c>
      <c r="H66" s="3">
        <v>1.9870008259526</v>
      </c>
      <c r="I66" s="3">
        <v>1.6125888951609</v>
      </c>
      <c r="J66" s="3">
        <v>1.7945205479452</v>
      </c>
      <c r="K66" s="3">
        <v>1.7176683491414</v>
      </c>
      <c r="L66" s="2" t="s">
        <v>346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100.71</v>
      </c>
      <c r="H67" s="3">
        <v>3.5965657926204999</v>
      </c>
      <c r="I67" s="3">
        <v>3.1306474075872002</v>
      </c>
      <c r="J67" s="3">
        <v>10.257534246575</v>
      </c>
      <c r="K67" s="3">
        <v>8.2826868333582002</v>
      </c>
      <c r="L67" s="2" t="s">
        <v>346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100.23</v>
      </c>
      <c r="H68" s="3">
        <v>1.9171212968075</v>
      </c>
      <c r="I68" s="3">
        <v>1.6526095485548999</v>
      </c>
      <c r="J68" s="3">
        <v>1.2054794520548</v>
      </c>
      <c r="K68" s="3">
        <v>1.1676289930904999</v>
      </c>
      <c r="L68" s="2" t="s">
        <v>346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102.79</v>
      </c>
      <c r="H69" s="3">
        <v>2.9752905206523002</v>
      </c>
      <c r="I69" s="3">
        <v>2.545221784018</v>
      </c>
      <c r="J69" s="3">
        <v>6.2082191780822003</v>
      </c>
      <c r="K69" s="3">
        <v>5.4358013662043998</v>
      </c>
      <c r="L69" s="2" t="s">
        <v>346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74.33</v>
      </c>
      <c r="H70" s="3">
        <v>4.0420231736651004</v>
      </c>
      <c r="I70" s="3">
        <v>3.7689146035302001</v>
      </c>
      <c r="J70" s="3">
        <v>15.843835616438</v>
      </c>
      <c r="K70" s="3">
        <v>12.876377752298</v>
      </c>
      <c r="L70" s="2" t="s">
        <v>346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106.17</v>
      </c>
      <c r="H71" s="3">
        <v>2.8057850235177</v>
      </c>
      <c r="I71" s="3">
        <v>2.3172456860885</v>
      </c>
      <c r="J71" s="3">
        <v>5.5452054794521004</v>
      </c>
      <c r="K71" s="3">
        <v>4.8261216844661003</v>
      </c>
      <c r="L71" s="2" t="s">
        <v>346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98.33</v>
      </c>
      <c r="H72" s="3">
        <v>1.8538754828263999</v>
      </c>
      <c r="I72" s="3">
        <v>1.7394993167907999</v>
      </c>
      <c r="J72" s="3">
        <v>1.7095890410959</v>
      </c>
      <c r="K72" s="3">
        <v>1.6658646049554</v>
      </c>
      <c r="L72" s="2" t="s">
        <v>346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</v>
      </c>
      <c r="H73" s="3">
        <v>2.3445706309285002</v>
      </c>
      <c r="I73" s="3">
        <v>2.2688841290838</v>
      </c>
      <c r="J73" s="3">
        <v>3.7972602739725998</v>
      </c>
      <c r="K73" s="3">
        <v>3.6781981178962</v>
      </c>
      <c r="L73" s="2" t="s">
        <v>346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105.63</v>
      </c>
      <c r="H74" s="3">
        <v>2.562188041028</v>
      </c>
      <c r="I74" s="3">
        <v>2.0915796496615999</v>
      </c>
      <c r="J74" s="3">
        <v>4.6273972602739999</v>
      </c>
      <c r="K74" s="3">
        <v>4.1357249755333001</v>
      </c>
      <c r="L74" s="2" t="s">
        <v>346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101.46</v>
      </c>
      <c r="H75" s="3">
        <v>2.0967250928577998</v>
      </c>
      <c r="I75" s="3">
        <v>1.7575515749266</v>
      </c>
      <c r="J75" s="3">
        <v>2.4575342465753001</v>
      </c>
      <c r="K75" s="3">
        <v>2.3432197375474</v>
      </c>
      <c r="L75" s="2" t="s">
        <v>346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103.39</v>
      </c>
      <c r="H76" s="3">
        <v>2.8759771476012999</v>
      </c>
      <c r="I76" s="3">
        <v>2.4400060264160999</v>
      </c>
      <c r="J76" s="3">
        <v>5.7972602739725998</v>
      </c>
      <c r="K76" s="3">
        <v>5.1287763295379998</v>
      </c>
      <c r="L76" s="2" t="s">
        <v>346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101.73</v>
      </c>
      <c r="H77" s="3">
        <v>1.9462683249671</v>
      </c>
      <c r="I77" s="3">
        <v>1.4804025326998</v>
      </c>
      <c r="J77" s="3">
        <v>0.95616438356164002</v>
      </c>
      <c r="K77" s="3">
        <v>0.92911217287267001</v>
      </c>
      <c r="L77" s="2" t="s">
        <v>346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101.49</v>
      </c>
      <c r="H78" s="3">
        <v>2.4309380153108999</v>
      </c>
      <c r="I78" s="3">
        <v>2.0803369209915998</v>
      </c>
      <c r="J78" s="3">
        <v>4.1260273972602999</v>
      </c>
      <c r="K78" s="3">
        <v>3.7953466043879001</v>
      </c>
      <c r="L78" s="2" t="s">
        <v>346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97.64</v>
      </c>
      <c r="H79" s="3">
        <v>1.9801402201523</v>
      </c>
      <c r="I79" s="3">
        <v>1.8586888687344001</v>
      </c>
      <c r="J79" s="3">
        <v>2.3753424657534001</v>
      </c>
      <c r="K79" s="3">
        <v>2.3057770823517001</v>
      </c>
      <c r="L79" s="2" t="s">
        <v>346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101.23</v>
      </c>
      <c r="H80" s="3">
        <v>2.2510659940878002</v>
      </c>
      <c r="I80" s="3">
        <v>1.9073742558705</v>
      </c>
      <c r="J80" s="3">
        <v>3.1260273972602999</v>
      </c>
      <c r="K80" s="3">
        <v>2.9452186461798999</v>
      </c>
      <c r="L80" s="2" t="s">
        <v>346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104.78</v>
      </c>
      <c r="H81" s="3">
        <v>2.7085034225125</v>
      </c>
      <c r="I81" s="3">
        <v>2.2265240384532001</v>
      </c>
      <c r="J81" s="3">
        <v>5.1260273972602999</v>
      </c>
      <c r="K81" s="3">
        <v>4.5483323983739004</v>
      </c>
      <c r="L81" s="2" t="s">
        <v>346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94.92</v>
      </c>
      <c r="H82" s="3">
        <v>2.1546197444783002</v>
      </c>
      <c r="I82" s="3">
        <v>2.0684989371320999</v>
      </c>
      <c r="J82" s="3">
        <v>3.2082191780821998</v>
      </c>
      <c r="K82" s="3">
        <v>3.1193968419946998</v>
      </c>
      <c r="L82" s="2" t="s">
        <v>346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103.07</v>
      </c>
      <c r="H83" s="3">
        <v>2.0315767839525001</v>
      </c>
      <c r="I83" s="3">
        <v>1.604537814288</v>
      </c>
      <c r="J83" s="3">
        <v>2.2054794520547998</v>
      </c>
      <c r="K83" s="3">
        <v>2.0816199909309998</v>
      </c>
      <c r="L83" s="2" t="s">
        <v>346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102.51</v>
      </c>
      <c r="H84" s="3">
        <v>1.9908138757009</v>
      </c>
      <c r="I84" s="3">
        <v>1.5151086242884999</v>
      </c>
      <c r="J84" s="3">
        <v>1.3753424657533999</v>
      </c>
      <c r="K84" s="3">
        <v>1.3212770001322001</v>
      </c>
      <c r="L84" s="2" t="s">
        <v>346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100.294</v>
      </c>
      <c r="H85" s="3">
        <v>1.8894606243448999</v>
      </c>
      <c r="I85" s="3">
        <v>1.5841023606436</v>
      </c>
      <c r="J85" s="3">
        <v>0.54246575342465997</v>
      </c>
      <c r="K85" s="3">
        <v>0.53172456125709</v>
      </c>
      <c r="L85" s="2" t="s">
        <v>346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98.66</v>
      </c>
      <c r="H86" s="3">
        <v>4.4259227987719001</v>
      </c>
      <c r="I86" s="3">
        <v>3.8722318986705999</v>
      </c>
      <c r="J86" s="3">
        <v>29.438356164384</v>
      </c>
      <c r="K86" s="3">
        <v>16.113800581071001</v>
      </c>
      <c r="L86" s="2" t="s">
        <v>346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101.038</v>
      </c>
      <c r="H87" s="3">
        <v>1.9813298009142</v>
      </c>
      <c r="I87" s="3">
        <v>1.5507523610889</v>
      </c>
      <c r="J87" s="3">
        <v>0.70958904109589005</v>
      </c>
      <c r="K87" s="3">
        <v>0.68752061737432002</v>
      </c>
      <c r="L87" s="2" t="s">
        <v>346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94.85</v>
      </c>
      <c r="H88" s="3">
        <v>2.1170237071810001</v>
      </c>
      <c r="I88" s="3">
        <v>2.0783363609822998</v>
      </c>
      <c r="J88" s="3">
        <v>2.8739726027397001</v>
      </c>
      <c r="K88" s="3">
        <v>2.8049251081576001</v>
      </c>
      <c r="L88" s="2" t="s">
        <v>346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80.709999999999994</v>
      </c>
      <c r="H89" s="3">
        <v>3.6463878444244999</v>
      </c>
      <c r="I89" s="3">
        <v>3.4358877741551002</v>
      </c>
      <c r="J89" s="3">
        <v>10.841095890410999</v>
      </c>
      <c r="K89" s="3">
        <v>9.5852302660742001</v>
      </c>
      <c r="L89" s="2" t="s">
        <v>346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97.84</v>
      </c>
      <c r="H90" s="3">
        <v>4.0767895051467997</v>
      </c>
      <c r="I90" s="3">
        <v>3.5764512347842001</v>
      </c>
      <c r="J90" s="3">
        <v>15.430136986300999</v>
      </c>
      <c r="K90" s="3">
        <v>11.236242650629</v>
      </c>
      <c r="L90" s="2" t="s">
        <v>346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99.757999999999996</v>
      </c>
      <c r="H91" s="3">
        <v>2.015119429252</v>
      </c>
      <c r="I91" s="3">
        <v>1.8536056101453</v>
      </c>
      <c r="J91" s="3">
        <v>0.29041095890411001</v>
      </c>
      <c r="K91" s="3">
        <v>0.28470914151242999</v>
      </c>
      <c r="L91" s="2" t="s">
        <v>346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9.8904109589041003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107.98</v>
      </c>
      <c r="H93" s="3">
        <v>2.2603386816379998</v>
      </c>
      <c r="I93" s="3">
        <v>1.6887550354529</v>
      </c>
      <c r="J93" s="3">
        <v>3.3397260273973002</v>
      </c>
      <c r="K93" s="3">
        <v>3.04697426212</v>
      </c>
      <c r="L93" s="2" t="s">
        <v>346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102.34</v>
      </c>
      <c r="H94" s="3">
        <v>4.3994842773674998</v>
      </c>
      <c r="I94" s="3">
        <v>3.8342989689691001</v>
      </c>
      <c r="J94" s="3">
        <v>28.438356164384</v>
      </c>
      <c r="K94" s="3">
        <v>15.715004153605999</v>
      </c>
      <c r="L94" s="2" t="s">
        <v>346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100.69</v>
      </c>
      <c r="H95" s="3">
        <v>3.1655769787589998</v>
      </c>
      <c r="I95" s="3">
        <v>2.7551119710529002</v>
      </c>
      <c r="J95" s="3">
        <v>7.2109589041096003</v>
      </c>
      <c r="K95" s="3">
        <v>6.2863171962958999</v>
      </c>
      <c r="L95" s="2" t="s">
        <v>346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100.861</v>
      </c>
      <c r="H96" s="3">
        <v>1.9956728189423001</v>
      </c>
      <c r="I96" s="3">
        <v>1.5834382200885</v>
      </c>
      <c r="J96" s="3">
        <v>0.74520547945204996</v>
      </c>
      <c r="K96" s="3">
        <v>0.72305808670311</v>
      </c>
      <c r="L96" s="2" t="s">
        <v>346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100.604</v>
      </c>
      <c r="H97" s="3">
        <v>2.0626128859714998</v>
      </c>
      <c r="I97" s="3">
        <v>1.6205648516891</v>
      </c>
      <c r="J97" s="3">
        <v>0.41369863013698999</v>
      </c>
      <c r="K97" s="3">
        <v>0.40540622340012</v>
      </c>
      <c r="L97" s="2" t="s">
        <v>346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99.953000000000003</v>
      </c>
      <c r="H98" s="3">
        <v>2.1052330059407001</v>
      </c>
      <c r="I98" s="3">
        <v>1.8708032736660001</v>
      </c>
      <c r="J98" s="3">
        <v>0.16712328767123</v>
      </c>
      <c r="K98" s="3">
        <v>0.16369043280872</v>
      </c>
      <c r="L98" s="2" t="s">
        <v>346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101.46</v>
      </c>
      <c r="H99" s="3">
        <v>1.993686164056</v>
      </c>
      <c r="I99" s="3">
        <v>1.6062629727961</v>
      </c>
      <c r="J99" s="3">
        <v>1.3260273972603001</v>
      </c>
      <c r="K99" s="3">
        <v>1.2781148156975</v>
      </c>
      <c r="L99" s="2" t="s">
        <v>346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100.72</v>
      </c>
      <c r="H100" s="3">
        <v>3.0450176988350002</v>
      </c>
      <c r="I100" s="3">
        <v>2.6480787773646002</v>
      </c>
      <c r="J100" s="3">
        <v>6.5452054794521004</v>
      </c>
      <c r="K100" s="3">
        <v>5.7147841199508003</v>
      </c>
      <c r="L100" s="2" t="s">
        <v>346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100.96</v>
      </c>
      <c r="H101" s="3">
        <v>2.0180084789211001</v>
      </c>
      <c r="I101" s="3">
        <v>1.6933776215284</v>
      </c>
      <c r="J101" s="3">
        <v>1.8219178082192</v>
      </c>
      <c r="K101" s="3">
        <v>1.7492875847234</v>
      </c>
      <c r="L101" s="2" t="s">
        <v>346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103.51</v>
      </c>
      <c r="H102" s="3">
        <v>2.1578744601119002</v>
      </c>
      <c r="I102" s="3">
        <v>1.7253411849292</v>
      </c>
      <c r="J102" s="3">
        <v>2.9205479452055001</v>
      </c>
      <c r="K102" s="3">
        <v>2.7461386484825998</v>
      </c>
      <c r="L102" s="2" t="s">
        <v>346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103.93</v>
      </c>
      <c r="H103" s="3">
        <v>2.8602064843543</v>
      </c>
      <c r="I103" s="3">
        <v>2.4002090653721</v>
      </c>
      <c r="J103" s="3">
        <v>4.8465753424656999</v>
      </c>
      <c r="K103" s="3">
        <v>4.3420183413758</v>
      </c>
      <c r="L103" s="2" t="s">
        <v>346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103.93</v>
      </c>
      <c r="H104" s="3">
        <v>2.9945072521884999</v>
      </c>
      <c r="I104" s="3">
        <v>2.5223534862905002</v>
      </c>
      <c r="J104" s="3">
        <v>4.8465753424656999</v>
      </c>
      <c r="K104" s="3">
        <v>4.3371540680693998</v>
      </c>
      <c r="L104" s="2" t="s">
        <v>346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105.86</v>
      </c>
      <c r="H105" s="3">
        <v>2.5655803953184</v>
      </c>
      <c r="I105" s="3">
        <v>2.0339386476911998</v>
      </c>
      <c r="J105" s="3">
        <v>3.4465753424657999</v>
      </c>
      <c r="K105" s="3">
        <v>3.1462572950463001</v>
      </c>
      <c r="L105" s="2" t="s">
        <v>346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105.86</v>
      </c>
      <c r="H106" s="3">
        <v>2.7026127251407002</v>
      </c>
      <c r="I106" s="3">
        <v>2.1602181285555999</v>
      </c>
      <c r="J106" s="3">
        <v>3.4465753424657999</v>
      </c>
      <c r="K106" s="3">
        <v>3.1424039855230999</v>
      </c>
      <c r="L106" s="2" t="s">
        <v>346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103.52</v>
      </c>
      <c r="H107" s="3">
        <v>2.2552176696352002</v>
      </c>
      <c r="I107" s="3">
        <v>1.7674222911449</v>
      </c>
      <c r="J107" s="3">
        <v>2.1178082191780998</v>
      </c>
      <c r="K107" s="3">
        <v>1.9888002170936001</v>
      </c>
      <c r="L107" s="2" t="s">
        <v>346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103.52</v>
      </c>
      <c r="H108" s="3">
        <v>2.4838213003768002</v>
      </c>
      <c r="I108" s="3">
        <v>1.9818555299145</v>
      </c>
      <c r="J108" s="3">
        <v>2.1178082191780998</v>
      </c>
      <c r="K108" s="3">
        <v>1.9844879757662</v>
      </c>
      <c r="L108" s="2" t="s">
        <v>346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</v>
      </c>
      <c r="H109" s="3">
        <v>2.9486258583971998</v>
      </c>
      <c r="I109" s="3">
        <v>2.4912155574178998</v>
      </c>
      <c r="J109" s="3">
        <v>5.0383561643836003</v>
      </c>
      <c r="K109" s="3">
        <v>4.4839937307076996</v>
      </c>
      <c r="L109" s="2" t="s">
        <v>346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</v>
      </c>
      <c r="H110" s="3">
        <v>3.0960621419232002</v>
      </c>
      <c r="I110" s="3">
        <v>2.6247152501386002</v>
      </c>
      <c r="J110" s="3">
        <v>5.0383561643836003</v>
      </c>
      <c r="K110" s="3">
        <v>4.4785478140891</v>
      </c>
      <c r="L110" s="2" t="s">
        <v>346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100.2</v>
      </c>
      <c r="H111" s="3">
        <v>4.8418634212105998</v>
      </c>
      <c r="I111" s="3">
        <v>4.5107295331985</v>
      </c>
      <c r="J111" s="3">
        <v>31.060273972602999</v>
      </c>
      <c r="K111" s="3">
        <v>5.6999700116568004</v>
      </c>
      <c r="L111" s="2" t="s">
        <v>346</v>
      </c>
      <c r="M111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26A6-554F-E941-81E0-5F9616BDEE6F}">
  <dimension ref="A1:M111"/>
  <sheetViews>
    <sheetView workbookViewId="0">
      <selection activeCell="T14" sqref="T14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5.6640625" bestFit="1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5.6640625" bestFit="1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5.6640625" bestFit="1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5.6640625" bestFit="1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5.6640625" bestFit="1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5.6640625" bestFit="1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5.6640625" bestFit="1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5.6640625" bestFit="1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5.6640625" bestFit="1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5.6640625" bestFit="1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5.6640625" bestFit="1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5.6640625" bestFit="1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5.6640625" bestFit="1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5.6640625" bestFit="1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5.6640625" bestFit="1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5.6640625" bestFit="1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5.6640625" bestFit="1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5.6640625" bestFit="1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5.6640625" bestFit="1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5.6640625" bestFit="1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5.6640625" bestFit="1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5.6640625" bestFit="1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5.6640625" bestFit="1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5.6640625" bestFit="1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5.6640625" bestFit="1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5.6640625" bestFit="1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5.6640625" bestFit="1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5.6640625" bestFit="1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5.6640625" bestFit="1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5.6640625" bestFit="1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5.6640625" bestFit="1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5.6640625" bestFit="1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5.6640625" bestFit="1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5.6640625" bestFit="1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5.6640625" bestFit="1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5.6640625" bestFit="1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5.6640625" bestFit="1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5.6640625" bestFit="1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5.6640625" bestFit="1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5.6640625" bestFit="1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5.6640625" bestFit="1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5.6640625" bestFit="1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5.6640625" bestFit="1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5.6640625" bestFit="1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5.6640625" bestFit="1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5.6640625" bestFit="1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5.6640625" bestFit="1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5.6640625" bestFit="1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5.6640625" bestFit="1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5.6640625" bestFit="1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5.6640625" bestFit="1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5.6640625" bestFit="1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5.6640625" bestFit="1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5.6640625" bestFit="1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5.6640625" bestFit="1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5.6640625" bestFit="1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5.6640625" bestFit="1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5.6640625" bestFit="1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5.6640625" bestFit="1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5.6640625" bestFit="1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5.6640625" bestFit="1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5.6640625" bestFit="1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5.6640625" bestFit="1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5.6640625" bestFit="1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117.71</v>
      </c>
      <c r="H2" s="3">
        <v>3.1775519267461001</v>
      </c>
      <c r="I2" s="3">
        <v>2.5161620446156001</v>
      </c>
      <c r="J2" s="3">
        <v>7.7589041095890003</v>
      </c>
      <c r="K2" s="3">
        <v>6.2222736868290998</v>
      </c>
      <c r="L2" s="2" t="s">
        <v>235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100.63</v>
      </c>
      <c r="H3" s="3">
        <v>1.8987838356800999</v>
      </c>
      <c r="I3" s="3">
        <v>1.6077865969606999</v>
      </c>
      <c r="J3" s="3">
        <v>2.0821917808218999</v>
      </c>
      <c r="K3" s="3">
        <v>1.9908760215136001</v>
      </c>
      <c r="L3" s="2" t="s">
        <v>235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99.93</v>
      </c>
      <c r="H4" s="3">
        <v>2.0345141522669001</v>
      </c>
      <c r="I4" s="3">
        <v>1.7775120111570999</v>
      </c>
      <c r="J4" s="3">
        <v>2.7534246575343002</v>
      </c>
      <c r="K4" s="3">
        <v>2.6266552093164002</v>
      </c>
      <c r="L4" s="2" t="s">
        <v>235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102.48</v>
      </c>
      <c r="H5" s="3">
        <v>2.3962916380007</v>
      </c>
      <c r="I5" s="3">
        <v>2.0227314066946001</v>
      </c>
      <c r="J5" s="3">
        <v>4.2520547945205998</v>
      </c>
      <c r="K5" s="3">
        <v>3.9056312948005001</v>
      </c>
      <c r="L5" s="2" t="s">
        <v>235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102.58</v>
      </c>
      <c r="H6" s="3">
        <v>3.948196370592</v>
      </c>
      <c r="I6" s="3">
        <v>3.4268079907428999</v>
      </c>
      <c r="J6" s="3">
        <v>14.424657534247</v>
      </c>
      <c r="K6" s="3">
        <v>10.597307240104</v>
      </c>
      <c r="L6" s="2" t="s">
        <v>235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87.13</v>
      </c>
      <c r="H7" s="3">
        <v>2.8831780022372002</v>
      </c>
      <c r="I7" s="3">
        <v>2.8008184891963999</v>
      </c>
      <c r="J7" s="3">
        <v>6.2520547945205998</v>
      </c>
      <c r="K7" s="3">
        <v>5.9540239049287997</v>
      </c>
      <c r="L7" s="2" t="s">
        <v>235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108.82</v>
      </c>
      <c r="H8" s="3">
        <v>4.1234422900935002</v>
      </c>
      <c r="I8" s="3">
        <v>3.5479878307264001</v>
      </c>
      <c r="J8" s="3">
        <v>19.347945205479999</v>
      </c>
      <c r="K8" s="3">
        <v>12.552274540699999</v>
      </c>
      <c r="L8" s="2" t="s">
        <v>235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104.51</v>
      </c>
      <c r="H9" s="3">
        <v>2.5173734786874</v>
      </c>
      <c r="I9" s="3">
        <v>2.0833316131230002</v>
      </c>
      <c r="J9" s="3">
        <v>4.8328767123288001</v>
      </c>
      <c r="K9" s="3">
        <v>4.3636853476287003</v>
      </c>
      <c r="L9" s="2" t="s">
        <v>235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91.9</v>
      </c>
      <c r="H10" s="3">
        <v>2.9886170486414998</v>
      </c>
      <c r="I10" s="3">
        <v>2.7670355234217001</v>
      </c>
      <c r="J10" s="3">
        <v>6.8356164383562001</v>
      </c>
      <c r="K10" s="3">
        <v>6.2676706965109004</v>
      </c>
      <c r="L10" s="2" t="s">
        <v>235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99.76</v>
      </c>
      <c r="H11" s="3">
        <v>1.8331203797038</v>
      </c>
      <c r="I11" s="3">
        <v>1.6311081262292</v>
      </c>
      <c r="J11" s="3">
        <v>1.0821917808218999</v>
      </c>
      <c r="K11" s="3">
        <v>1.0510625618567</v>
      </c>
      <c r="L11" s="2" t="s">
        <v>235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87.48</v>
      </c>
      <c r="H12" s="3">
        <v>3.6343902619724</v>
      </c>
      <c r="I12" s="3">
        <v>3.3237560355668001</v>
      </c>
      <c r="J12" s="3">
        <v>11.342465753425</v>
      </c>
      <c r="K12" s="3">
        <v>9.5743906597550001</v>
      </c>
      <c r="L12" s="2" t="s">
        <v>235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89.6</v>
      </c>
      <c r="H13" s="3">
        <v>4.1994942383413001</v>
      </c>
      <c r="I13" s="3">
        <v>3.7265608957729</v>
      </c>
      <c r="J13" s="3">
        <v>22.846575342466</v>
      </c>
      <c r="K13" s="3">
        <v>14.831173413103</v>
      </c>
      <c r="L13" s="2" t="s">
        <v>235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90.94</v>
      </c>
      <c r="H14" s="3">
        <v>3.9459609327631999</v>
      </c>
      <c r="I14" s="3">
        <v>3.5274039530502002</v>
      </c>
      <c r="J14" s="3">
        <v>14.841095890410999</v>
      </c>
      <c r="K14" s="3">
        <v>11.328702084865</v>
      </c>
      <c r="L14" s="2" t="s">
        <v>235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98.283000000000001</v>
      </c>
      <c r="H15" s="3">
        <v>1.8829896143125</v>
      </c>
      <c r="I15" s="3">
        <v>1.8702749688289</v>
      </c>
      <c r="J15" s="3">
        <v>0.91506849315067995</v>
      </c>
      <c r="K15" s="3">
        <v>0.89837969043320998</v>
      </c>
      <c r="L15" s="2" t="s">
        <v>235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60.48</v>
      </c>
      <c r="H16" s="3">
        <v>4.0723754077603997</v>
      </c>
      <c r="I16" s="3">
        <v>3.6779427895230001</v>
      </c>
      <c r="J16" s="3">
        <v>46.863013698629999</v>
      </c>
      <c r="K16" s="3">
        <v>23.341418708332998</v>
      </c>
      <c r="L16" s="2" t="s">
        <v>235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94.64</v>
      </c>
      <c r="H17" s="3">
        <v>3.8140919215384002</v>
      </c>
      <c r="I17" s="3">
        <v>3.3853641279359001</v>
      </c>
      <c r="J17" s="3">
        <v>12.838356164384001</v>
      </c>
      <c r="K17" s="3">
        <v>10.080286324682</v>
      </c>
      <c r="L17" s="2" t="s">
        <v>235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98.49</v>
      </c>
      <c r="H18" s="3">
        <v>1.9157312346438</v>
      </c>
      <c r="I18" s="3">
        <v>1.7756480012767999</v>
      </c>
      <c r="J18" s="3">
        <v>1.9150684931507</v>
      </c>
      <c r="K18" s="3">
        <v>1.862894223446</v>
      </c>
      <c r="L18" s="2" t="s">
        <v>235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103.51</v>
      </c>
      <c r="H19" s="3">
        <v>2.4702370031955998</v>
      </c>
      <c r="I19" s="3">
        <v>2.0518655927901999</v>
      </c>
      <c r="J19" s="3">
        <v>4.1671232876711999</v>
      </c>
      <c r="K19" s="3">
        <v>3.7970995909913001</v>
      </c>
      <c r="L19" s="2" t="s">
        <v>235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103.61</v>
      </c>
      <c r="H20" s="3">
        <v>3.4130019234897002</v>
      </c>
      <c r="I20" s="3">
        <v>2.9327392212530001</v>
      </c>
      <c r="J20" s="3">
        <v>9.1698630136986008</v>
      </c>
      <c r="K20" s="3">
        <v>7.4959897814448002</v>
      </c>
      <c r="L20" s="2" t="s">
        <v>235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94.45</v>
      </c>
      <c r="H21" s="3">
        <v>2.7437517113660999</v>
      </c>
      <c r="I21" s="3">
        <v>2.5234205044219</v>
      </c>
      <c r="J21" s="3">
        <v>5.5863013698630004</v>
      </c>
      <c r="K21" s="3">
        <v>5.1736532153806998</v>
      </c>
      <c r="L21" s="2" t="s">
        <v>235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88.25</v>
      </c>
      <c r="H22" s="3">
        <v>2.9449249263153998</v>
      </c>
      <c r="I22" s="3">
        <v>2.8151426100302999</v>
      </c>
      <c r="J22" s="3">
        <v>6.5863013698630004</v>
      </c>
      <c r="K22" s="3">
        <v>6.1746884766437997</v>
      </c>
      <c r="L22" s="2" t="s">
        <v>235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104.91</v>
      </c>
      <c r="H23" s="3">
        <v>2.2371536999952002</v>
      </c>
      <c r="I23" s="3">
        <v>1.7712543117793</v>
      </c>
      <c r="J23" s="3">
        <v>3.2520547945206002</v>
      </c>
      <c r="K23" s="3">
        <v>3.0010207248354002</v>
      </c>
      <c r="L23" s="2" t="s">
        <v>235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113</v>
      </c>
      <c r="H24" s="3">
        <v>3.3798257365217999</v>
      </c>
      <c r="I24" s="3">
        <v>2.7877390464638001</v>
      </c>
      <c r="J24" s="3">
        <v>9.2547945205479003</v>
      </c>
      <c r="K24" s="3">
        <v>7.3147163112703</v>
      </c>
      <c r="L24" s="2" t="s">
        <v>235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103.64</v>
      </c>
      <c r="H25" s="3">
        <v>3.6454413476723002</v>
      </c>
      <c r="I25" s="3">
        <v>3.1482545806168001</v>
      </c>
      <c r="J25" s="3">
        <v>11.761643835616001</v>
      </c>
      <c r="K25" s="3">
        <v>9.1251550841084992</v>
      </c>
      <c r="L25" s="2" t="s">
        <v>235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112.36</v>
      </c>
      <c r="H26" s="3">
        <v>3.8986835210406001</v>
      </c>
      <c r="I26" s="3">
        <v>3.3069623865275002</v>
      </c>
      <c r="J26" s="3">
        <v>14.257534246575</v>
      </c>
      <c r="K26" s="3">
        <v>10.108314699117001</v>
      </c>
      <c r="L26" s="2" t="s">
        <v>235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99.09</v>
      </c>
      <c r="H27" s="3">
        <v>1.8429083592105</v>
      </c>
      <c r="I27" s="3">
        <v>1.6845032814748</v>
      </c>
      <c r="J27" s="3">
        <v>1.5835616438355999</v>
      </c>
      <c r="K27" s="3">
        <v>1.5365637820364</v>
      </c>
      <c r="L27" s="2" t="s">
        <v>235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102.04</v>
      </c>
      <c r="H28" s="3">
        <v>2.2140869099532998</v>
      </c>
      <c r="I28" s="3">
        <v>1.8604408579048</v>
      </c>
      <c r="J28" s="3">
        <v>3.586301369863</v>
      </c>
      <c r="K28" s="3">
        <v>3.3269040777500001</v>
      </c>
      <c r="L28" s="2" t="s">
        <v>235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98.971000000000004</v>
      </c>
      <c r="H29" s="3">
        <v>1.8520633276942</v>
      </c>
      <c r="I29" s="3">
        <v>1.7818087958272</v>
      </c>
      <c r="J29" s="3">
        <v>0.75342465753425003</v>
      </c>
      <c r="K29" s="3">
        <v>0.74132976397772998</v>
      </c>
      <c r="L29" s="2" t="s">
        <v>235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97.77</v>
      </c>
      <c r="H30" s="3">
        <v>1.8135472203878</v>
      </c>
      <c r="I30" s="3">
        <v>1.8114232058460999</v>
      </c>
      <c r="J30" s="3">
        <v>1.2493150684931</v>
      </c>
      <c r="K30" s="3">
        <v>1.2324435743622</v>
      </c>
      <c r="L30" s="2" t="s">
        <v>235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103.12</v>
      </c>
      <c r="H31" s="3">
        <v>3.4969774572103001</v>
      </c>
      <c r="I31" s="3">
        <v>3.0171133054661001</v>
      </c>
      <c r="J31" s="3">
        <v>9.7589041095890003</v>
      </c>
      <c r="K31" s="3">
        <v>7.9052690321487002</v>
      </c>
      <c r="L31" s="2" t="s">
        <v>235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111.9</v>
      </c>
      <c r="H32" s="3">
        <v>3.9913639182831</v>
      </c>
      <c r="I32" s="3">
        <v>3.3969215820691998</v>
      </c>
      <c r="J32" s="3">
        <v>15.345205479452</v>
      </c>
      <c r="K32" s="3">
        <v>10.666448129955</v>
      </c>
      <c r="L32" s="2" t="s">
        <v>235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102.048</v>
      </c>
      <c r="H33" s="3">
        <v>1.977027976684</v>
      </c>
      <c r="I33" s="3">
        <v>1.4300653069675</v>
      </c>
      <c r="J33" s="3">
        <v>0.83013698630137001</v>
      </c>
      <c r="K33" s="3">
        <v>0.80630035535362998</v>
      </c>
      <c r="L33" s="2" t="s">
        <v>235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87.56</v>
      </c>
      <c r="H34" s="3">
        <v>4.1714895644562002</v>
      </c>
      <c r="I34" s="3">
        <v>3.7212756392712998</v>
      </c>
      <c r="J34" s="3">
        <v>21.347945205479999</v>
      </c>
      <c r="K34" s="3">
        <v>14.407052785326</v>
      </c>
      <c r="L34" s="2" t="s">
        <v>235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100.063</v>
      </c>
      <c r="H35" s="3">
        <v>1.8614513317213</v>
      </c>
      <c r="I35" s="3">
        <v>1.6154183852318</v>
      </c>
      <c r="J35" s="3">
        <v>0.58356164383562004</v>
      </c>
      <c r="K35" s="3">
        <v>0.56816162394786995</v>
      </c>
      <c r="L35" s="2" t="s">
        <v>235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71.900000000000006</v>
      </c>
      <c r="H36" s="3">
        <v>4.2822671761631002</v>
      </c>
      <c r="I36" s="3">
        <v>3.8286916110411999</v>
      </c>
      <c r="J36" s="3">
        <v>41.857534246575</v>
      </c>
      <c r="K36" s="3">
        <v>20.699501388367</v>
      </c>
      <c r="L36" s="2" t="s">
        <v>235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94.41</v>
      </c>
      <c r="H37" s="3">
        <v>3.2426862705227002</v>
      </c>
      <c r="I37" s="3">
        <v>2.9175947031968001</v>
      </c>
      <c r="J37" s="3">
        <v>8.3397260273972993</v>
      </c>
      <c r="K37" s="3">
        <v>7.2982770410473998</v>
      </c>
      <c r="L37" s="2" t="s">
        <v>235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91.13</v>
      </c>
      <c r="H38" s="3">
        <v>3.8370305927907999</v>
      </c>
      <c r="I38" s="3">
        <v>3.4402542641144001</v>
      </c>
      <c r="J38" s="3">
        <v>13.342465753425</v>
      </c>
      <c r="K38" s="3">
        <v>10.535677643854999</v>
      </c>
      <c r="L38" s="2" t="s">
        <v>235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99.24</v>
      </c>
      <c r="H39" s="3">
        <v>3.4692465366339</v>
      </c>
      <c r="I39" s="3">
        <v>3.0401929959846998</v>
      </c>
      <c r="J39" s="3">
        <v>9.8356164383561993</v>
      </c>
      <c r="K39" s="3">
        <v>8.1265081469106999</v>
      </c>
      <c r="L39" s="2" t="s">
        <v>235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94.74</v>
      </c>
      <c r="H40" s="3">
        <v>4.2373624044681</v>
      </c>
      <c r="I40" s="3">
        <v>3.7287342445884999</v>
      </c>
      <c r="J40" s="3">
        <v>24.350684931507001</v>
      </c>
      <c r="K40" s="3">
        <v>15.024342160629001</v>
      </c>
      <c r="L40" s="2" t="s">
        <v>235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94.5</v>
      </c>
      <c r="H41" s="3">
        <v>2.5622780429302998</v>
      </c>
      <c r="I41" s="3">
        <v>2.3860463480362002</v>
      </c>
      <c r="J41" s="3">
        <v>4.9178082191780996</v>
      </c>
      <c r="K41" s="3">
        <v>4.645201174966</v>
      </c>
      <c r="L41" s="2" t="s">
        <v>235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72.97</v>
      </c>
      <c r="H42" s="3">
        <v>4.2325958118997002</v>
      </c>
      <c r="I42" s="3">
        <v>3.8499852759867998</v>
      </c>
      <c r="J42" s="3">
        <v>25.350684931507001</v>
      </c>
      <c r="K42" s="3">
        <v>16.92901934959</v>
      </c>
      <c r="L42" s="2" t="s">
        <v>235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61.5</v>
      </c>
      <c r="H43" s="3">
        <v>4.1446149174968996</v>
      </c>
      <c r="I43" s="3">
        <v>3.8491119423153002</v>
      </c>
      <c r="J43" s="3">
        <v>26.350684931507001</v>
      </c>
      <c r="K43" s="3">
        <v>18.747514702867999</v>
      </c>
      <c r="L43" s="2" t="s">
        <v>235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104.5</v>
      </c>
      <c r="H44" s="3">
        <v>4.1367503728160999</v>
      </c>
      <c r="I44" s="3">
        <v>3.5845408732623998</v>
      </c>
      <c r="J44" s="3">
        <v>18.345205479452002</v>
      </c>
      <c r="K44" s="3">
        <v>12.271036651757999</v>
      </c>
      <c r="L44" s="2" t="s">
        <v>235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106.68</v>
      </c>
      <c r="H45" s="3">
        <v>3.3462627244665999</v>
      </c>
      <c r="I45" s="3">
        <v>2.8333084140759</v>
      </c>
      <c r="J45" s="3">
        <v>8.8356164383561993</v>
      </c>
      <c r="K45" s="3">
        <v>7.2352113385320997</v>
      </c>
      <c r="L45" s="2" t="s">
        <v>235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89.63</v>
      </c>
      <c r="H46" s="3">
        <v>2.8338504098746</v>
      </c>
      <c r="I46" s="3">
        <v>2.7127253917597001</v>
      </c>
      <c r="J46" s="3">
        <v>5.9178082191780996</v>
      </c>
      <c r="K46" s="3">
        <v>5.6027849034330997</v>
      </c>
      <c r="L46" s="2" t="s">
        <v>235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86.86</v>
      </c>
      <c r="H47" s="3">
        <v>3.0455529122385001</v>
      </c>
      <c r="I47" s="3">
        <v>2.9056936786867</v>
      </c>
      <c r="J47" s="3">
        <v>7.0876712328767004</v>
      </c>
      <c r="K47" s="3">
        <v>6.6184916062771002</v>
      </c>
      <c r="L47" s="2" t="s">
        <v>235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108.5</v>
      </c>
      <c r="H48" s="3">
        <v>3.2091456440743</v>
      </c>
      <c r="I48" s="3">
        <v>2.67755186075</v>
      </c>
      <c r="J48" s="3">
        <v>8.0027397260274</v>
      </c>
      <c r="K48" s="3">
        <v>6.6769614418968999</v>
      </c>
      <c r="L48" s="2" t="s">
        <v>235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107.91</v>
      </c>
      <c r="H49" s="3">
        <v>1.8671959333221</v>
      </c>
      <c r="I49" s="3">
        <v>1.0030012753879001</v>
      </c>
      <c r="J49" s="3">
        <v>1.5013698630137</v>
      </c>
      <c r="K49" s="3">
        <v>1.4278284835035</v>
      </c>
      <c r="L49" s="2" t="s">
        <v>235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110.91</v>
      </c>
      <c r="H50" s="3">
        <v>2.0055807381971</v>
      </c>
      <c r="I50" s="3">
        <v>1.2388798410854001</v>
      </c>
      <c r="J50" s="3">
        <v>2.5013698630137</v>
      </c>
      <c r="K50" s="3">
        <v>2.3117953537017</v>
      </c>
      <c r="L50" s="2" t="s">
        <v>235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112</v>
      </c>
      <c r="H51" s="3">
        <v>2.4284647308998002</v>
      </c>
      <c r="I51" s="3">
        <v>1.8083536712477</v>
      </c>
      <c r="J51" s="3">
        <v>4.5041095890411</v>
      </c>
      <c r="K51" s="3">
        <v>4.0015231415169996</v>
      </c>
      <c r="L51" s="2" t="s">
        <v>235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117.65</v>
      </c>
      <c r="H52" s="3">
        <v>2.8003197380981999</v>
      </c>
      <c r="I52" s="3">
        <v>2.1109091164136</v>
      </c>
      <c r="J52" s="3">
        <v>6</v>
      </c>
      <c r="K52" s="3">
        <v>5.0681360202496997</v>
      </c>
      <c r="L52" s="2" t="s">
        <v>235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99.930999999999997</v>
      </c>
      <c r="H53" s="3">
        <v>2.2245943269869</v>
      </c>
      <c r="I53" s="3">
        <v>2.0476481915599001</v>
      </c>
      <c r="J53" s="3">
        <v>8.2191780821917998E-2</v>
      </c>
      <c r="K53" s="3">
        <v>8.3086990393597002E-2</v>
      </c>
      <c r="L53" s="2" t="s">
        <v>235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91.71</v>
      </c>
      <c r="H54" s="3">
        <v>2.6685230855421</v>
      </c>
      <c r="I54" s="3">
        <v>2.5371582556121002</v>
      </c>
      <c r="J54" s="3">
        <v>5.2520547945205998</v>
      </c>
      <c r="K54" s="3">
        <v>4.9834162900569998</v>
      </c>
      <c r="L54" s="2" t="s">
        <v>235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107.92</v>
      </c>
      <c r="H55" s="3">
        <v>3.0759818314181002</v>
      </c>
      <c r="I55" s="3">
        <v>2.5716819007674001</v>
      </c>
      <c r="J55" s="3">
        <v>8.5068493150685001</v>
      </c>
      <c r="K55" s="3">
        <v>7.0444489237235999</v>
      </c>
      <c r="L55" s="2" t="s">
        <v>235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100.24</v>
      </c>
      <c r="H56" s="3">
        <v>3.6018334193168999</v>
      </c>
      <c r="I56" s="3">
        <v>3.1452195814463</v>
      </c>
      <c r="J56" s="3">
        <v>10.421917808219</v>
      </c>
      <c r="K56" s="3">
        <v>8.4791596095430002</v>
      </c>
      <c r="L56" s="2" t="s">
        <v>235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102.04</v>
      </c>
      <c r="H57" s="3">
        <v>2.5221106777314999</v>
      </c>
      <c r="I57" s="3">
        <v>2.1415440829021</v>
      </c>
      <c r="J57" s="3">
        <v>4.4191780821917996</v>
      </c>
      <c r="K57" s="3">
        <v>4.0628123047826001</v>
      </c>
      <c r="L57" s="2" t="s">
        <v>235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106.2</v>
      </c>
      <c r="H58" s="3">
        <v>2.3733199471101001</v>
      </c>
      <c r="I58" s="3">
        <v>1.8478581241279</v>
      </c>
      <c r="J58" s="3">
        <v>3.7561643835615999</v>
      </c>
      <c r="K58" s="3">
        <v>3.4147429722311</v>
      </c>
      <c r="L58" s="2" t="s">
        <v>235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101.24</v>
      </c>
      <c r="H59" s="3">
        <v>2.7083323596520001</v>
      </c>
      <c r="I59" s="3">
        <v>2.3377560159194002</v>
      </c>
      <c r="J59" s="3">
        <v>5.1671232876711999</v>
      </c>
      <c r="K59" s="3">
        <v>4.683533585138</v>
      </c>
      <c r="L59" s="2" t="s">
        <v>235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95.91</v>
      </c>
      <c r="H60" s="3">
        <v>3.1308185093367999</v>
      </c>
      <c r="I60" s="3">
        <v>2.7829036936528002</v>
      </c>
      <c r="J60" s="3">
        <v>7.5890410958904004</v>
      </c>
      <c r="K60" s="3">
        <v>6.6608307579982</v>
      </c>
      <c r="L60" s="2" t="s">
        <v>235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100.26</v>
      </c>
      <c r="H61" s="3">
        <v>1.9395417357239999</v>
      </c>
      <c r="I61" s="3">
        <v>1.6718230225988</v>
      </c>
      <c r="J61" s="3">
        <v>2.2493150684930998</v>
      </c>
      <c r="K61" s="3">
        <v>2.1600826000633999</v>
      </c>
      <c r="L61" s="2" t="s">
        <v>235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101.5</v>
      </c>
      <c r="H62" s="3">
        <v>2.0598596686568</v>
      </c>
      <c r="I62" s="3">
        <v>1.7205552650238001</v>
      </c>
      <c r="J62" s="3">
        <v>2.5835616438355999</v>
      </c>
      <c r="K62" s="3">
        <v>2.4379391365773002</v>
      </c>
      <c r="L62" s="2" t="s">
        <v>235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79.72</v>
      </c>
      <c r="H63" s="3">
        <v>4.1564239074953004</v>
      </c>
      <c r="I63" s="3">
        <v>3.7593262156009</v>
      </c>
      <c r="J63" s="3">
        <v>21.843835616438</v>
      </c>
      <c r="K63" s="3">
        <v>15.178883909048</v>
      </c>
      <c r="L63" s="2" t="s">
        <v>235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74.12</v>
      </c>
      <c r="H64" s="3">
        <v>3.6959461419554001</v>
      </c>
      <c r="I64" s="3">
        <v>3.5497536292685998</v>
      </c>
      <c r="J64" s="3">
        <v>11.838356164384001</v>
      </c>
      <c r="K64" s="3">
        <v>10.678938397032001</v>
      </c>
      <c r="L64" s="2" t="s">
        <v>235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67</v>
      </c>
      <c r="H65" s="3">
        <v>4.2289007095880997</v>
      </c>
      <c r="I65" s="3">
        <v>3.8753885303920002</v>
      </c>
      <c r="J65" s="3">
        <v>27.353424657533999</v>
      </c>
      <c r="K65" s="3">
        <v>18.198275796375999</v>
      </c>
      <c r="L65" s="2" t="s">
        <v>235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101.75</v>
      </c>
      <c r="H66" s="3">
        <v>1.957016820982</v>
      </c>
      <c r="I66" s="3">
        <v>1.5827815575582</v>
      </c>
      <c r="J66" s="3">
        <v>1.7917808219178</v>
      </c>
      <c r="K66" s="3">
        <v>1.7155002532095001</v>
      </c>
      <c r="L66" s="2" t="s">
        <v>235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100.96</v>
      </c>
      <c r="H67" s="3">
        <v>3.5668695769647001</v>
      </c>
      <c r="I67" s="3">
        <v>3.1016796444827999</v>
      </c>
      <c r="J67" s="3">
        <v>10.254794520548</v>
      </c>
      <c r="K67" s="3">
        <v>8.2849020641221998</v>
      </c>
      <c r="L67" s="2" t="s">
        <v>235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100.29</v>
      </c>
      <c r="H68" s="3">
        <v>1.8656084506151001</v>
      </c>
      <c r="I68" s="3">
        <v>1.6012721392510001</v>
      </c>
      <c r="J68" s="3">
        <v>1.2027397260274</v>
      </c>
      <c r="K68" s="3">
        <v>1.1655361878028001</v>
      </c>
      <c r="L68" s="2" t="s">
        <v>235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102.99</v>
      </c>
      <c r="H69" s="3">
        <v>2.9396617430059</v>
      </c>
      <c r="I69" s="3">
        <v>2.5101428528079999</v>
      </c>
      <c r="J69" s="3">
        <v>6.2054794520548002</v>
      </c>
      <c r="K69" s="3">
        <v>5.4357636789749</v>
      </c>
      <c r="L69" s="2" t="s">
        <v>235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74.63</v>
      </c>
      <c r="H70" s="3">
        <v>4.0112081144656999</v>
      </c>
      <c r="I70" s="3">
        <v>3.7387916715406999</v>
      </c>
      <c r="J70" s="3">
        <v>15.841095890410999</v>
      </c>
      <c r="K70" s="3">
        <v>12.883531425994001</v>
      </c>
      <c r="L70" s="2" t="s">
        <v>235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106.3</v>
      </c>
      <c r="H71" s="3">
        <v>2.7803062417444999</v>
      </c>
      <c r="I71" s="3">
        <v>2.2921676254264001</v>
      </c>
      <c r="J71" s="3">
        <v>5.5424657534247004</v>
      </c>
      <c r="K71" s="3">
        <v>4.8251169318788998</v>
      </c>
      <c r="L71" s="2" t="s">
        <v>235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98.37</v>
      </c>
      <c r="H72" s="3">
        <v>1.8310851755465001</v>
      </c>
      <c r="I72" s="3">
        <v>1.7167360547318</v>
      </c>
      <c r="J72" s="3">
        <v>1.7068493150685</v>
      </c>
      <c r="K72" s="3">
        <v>1.6635502416993</v>
      </c>
      <c r="L72" s="2" t="s">
        <v>235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93.35</v>
      </c>
      <c r="H73" s="3">
        <v>2.3022338523347998</v>
      </c>
      <c r="I73" s="3">
        <v>2.2265928613278998</v>
      </c>
      <c r="J73" s="3">
        <v>3.7945205479452002</v>
      </c>
      <c r="K73" s="3">
        <v>3.6770752292169999</v>
      </c>
      <c r="L73" s="2" t="s">
        <v>235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105.8</v>
      </c>
      <c r="H74" s="3">
        <v>2.5231056315909002</v>
      </c>
      <c r="I74" s="3">
        <v>2.0530221592029001</v>
      </c>
      <c r="J74" s="3">
        <v>4.6246575342465999</v>
      </c>
      <c r="K74" s="3">
        <v>4.1350380242747002</v>
      </c>
      <c r="L74" s="2" t="s">
        <v>235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101.52</v>
      </c>
      <c r="H75" s="3">
        <v>2.0708258145798002</v>
      </c>
      <c r="I75" s="3">
        <v>1.7318253134034001</v>
      </c>
      <c r="J75" s="3">
        <v>2.454794520548</v>
      </c>
      <c r="K75" s="3">
        <v>2.3411534904945999</v>
      </c>
      <c r="L75" s="2" t="s">
        <v>235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103.52</v>
      </c>
      <c r="H76" s="3">
        <v>2.8513442054073002</v>
      </c>
      <c r="I76" s="3">
        <v>2.4157390569885999</v>
      </c>
      <c r="J76" s="3">
        <v>5.7945205479451998</v>
      </c>
      <c r="K76" s="3">
        <v>5.1277530761675996</v>
      </c>
      <c r="L76" s="2" t="s">
        <v>235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101.708</v>
      </c>
      <c r="H77" s="3">
        <v>1.9640554889110999</v>
      </c>
      <c r="I77" s="3">
        <v>1.4981172247342001</v>
      </c>
      <c r="J77" s="3">
        <v>0.95342465753424999</v>
      </c>
      <c r="K77" s="3">
        <v>0.92626364521833005</v>
      </c>
      <c r="L77" s="2" t="s">
        <v>235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101.6</v>
      </c>
      <c r="H78" s="3">
        <v>2.4024339155260002</v>
      </c>
      <c r="I78" s="3">
        <v>2.0520987925809</v>
      </c>
      <c r="J78" s="3">
        <v>4.1232876712328999</v>
      </c>
      <c r="K78" s="3">
        <v>3.7938972705926002</v>
      </c>
      <c r="L78" s="2" t="s">
        <v>235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97.71</v>
      </c>
      <c r="H79" s="3">
        <v>1.9502533277801</v>
      </c>
      <c r="I79" s="3">
        <v>1.8288749037000001</v>
      </c>
      <c r="J79" s="3">
        <v>2.3726027397260001</v>
      </c>
      <c r="K79" s="3">
        <v>2.3037758854432999</v>
      </c>
      <c r="L79" s="2" t="s">
        <v>235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101.33</v>
      </c>
      <c r="H80" s="3">
        <v>2.2172644704117999</v>
      </c>
      <c r="I80" s="3">
        <v>1.8738272305076</v>
      </c>
      <c r="J80" s="3">
        <v>3.1232876712328999</v>
      </c>
      <c r="K80" s="3">
        <v>2.9435835175467</v>
      </c>
      <c r="L80" s="2" t="s">
        <v>235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104.9</v>
      </c>
      <c r="H81" s="3">
        <v>2.6831634976726</v>
      </c>
      <c r="I81" s="3">
        <v>2.2015285652822998</v>
      </c>
      <c r="J81" s="3">
        <v>5.1232876712328999</v>
      </c>
      <c r="K81" s="3">
        <v>4.5471276237479996</v>
      </c>
      <c r="L81" s="2" t="s">
        <v>235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94.94</v>
      </c>
      <c r="H82" s="3">
        <v>2.1492788011433999</v>
      </c>
      <c r="I82" s="3">
        <v>2.0631633914493999</v>
      </c>
      <c r="J82" s="3">
        <v>3.2054794520547998</v>
      </c>
      <c r="K82" s="3">
        <v>3.1168808522517</v>
      </c>
      <c r="L82" s="2" t="s">
        <v>235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103.15</v>
      </c>
      <c r="H83" s="3">
        <v>1.9928757467394</v>
      </c>
      <c r="I83" s="3">
        <v>1.56612539241</v>
      </c>
      <c r="J83" s="3">
        <v>2.2027397260274002</v>
      </c>
      <c r="K83" s="3">
        <v>2.0797668165865999</v>
      </c>
      <c r="L83" s="2" t="s">
        <v>235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102.52</v>
      </c>
      <c r="H84" s="3">
        <v>1.9798474081887001</v>
      </c>
      <c r="I84" s="3">
        <v>1.5042054462468999</v>
      </c>
      <c r="J84" s="3">
        <v>1.3726027397260001</v>
      </c>
      <c r="K84" s="3">
        <v>1.3187349094003</v>
      </c>
      <c r="L84" s="2" t="s">
        <v>235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100.30500000000001</v>
      </c>
      <c r="H85" s="3">
        <v>1.8664228121199</v>
      </c>
      <c r="I85" s="3">
        <v>1.5611494688312</v>
      </c>
      <c r="J85" s="3">
        <v>0.53972602739726006</v>
      </c>
      <c r="K85" s="3">
        <v>0.52915370714597998</v>
      </c>
      <c r="L85" s="2" t="s">
        <v>235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99.33</v>
      </c>
      <c r="H86" s="3">
        <v>4.3841317032761999</v>
      </c>
      <c r="I86" s="3">
        <v>3.8331522148950001</v>
      </c>
      <c r="J86" s="3">
        <v>29.435616438356</v>
      </c>
      <c r="K86" s="3">
        <v>16.160054058896002</v>
      </c>
      <c r="L86" s="2" t="s">
        <v>235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101.03</v>
      </c>
      <c r="H87" s="3">
        <v>1.9867601349185</v>
      </c>
      <c r="I87" s="3">
        <v>1.5561984614718001</v>
      </c>
      <c r="J87" s="3">
        <v>0.70684931506849003</v>
      </c>
      <c r="K87" s="3">
        <v>0.68479696190770001</v>
      </c>
      <c r="L87" s="2" t="s">
        <v>235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94.95</v>
      </c>
      <c r="H88" s="3">
        <v>2.0812318845007001</v>
      </c>
      <c r="I88" s="3">
        <v>2.0425644900869</v>
      </c>
      <c r="J88" s="3">
        <v>2.8712328767123001</v>
      </c>
      <c r="K88" s="3">
        <v>2.8032307819540998</v>
      </c>
      <c r="L88" s="2" t="s">
        <v>235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80.989999999999995</v>
      </c>
      <c r="H89" s="3">
        <v>3.6108818541626002</v>
      </c>
      <c r="I89" s="3">
        <v>3.4008179756266999</v>
      </c>
      <c r="J89" s="3">
        <v>10.838356164384001</v>
      </c>
      <c r="K89" s="3">
        <v>9.5878241638286994</v>
      </c>
      <c r="L89" s="2" t="s">
        <v>235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98.25</v>
      </c>
      <c r="H90" s="3">
        <v>4.0397292089257997</v>
      </c>
      <c r="I90" s="3">
        <v>3.5407430462574001</v>
      </c>
      <c r="J90" s="3">
        <v>15.427397260274001</v>
      </c>
      <c r="K90" s="3">
        <v>11.246469266555</v>
      </c>
      <c r="L90" s="2" t="s">
        <v>235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99.766999999999996</v>
      </c>
      <c r="H91" s="3">
        <v>1.9918629403163</v>
      </c>
      <c r="I91" s="3">
        <v>1.8303517872088</v>
      </c>
      <c r="J91" s="3">
        <v>0.28767123287670998</v>
      </c>
      <c r="K91" s="3">
        <v>0.28208671391899998</v>
      </c>
      <c r="L91" s="2" t="s">
        <v>235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9.8876712328767002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108.07</v>
      </c>
      <c r="H93" s="3">
        <v>2.2312902620864001</v>
      </c>
      <c r="I93" s="3">
        <v>1.6600672691575999</v>
      </c>
      <c r="J93" s="3">
        <v>3.3369863013699002</v>
      </c>
      <c r="K93" s="3">
        <v>3.0452818848217</v>
      </c>
      <c r="L93" s="2" t="s">
        <v>235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102.92</v>
      </c>
      <c r="H94" s="3">
        <v>4.3636829300948996</v>
      </c>
      <c r="I94" s="3">
        <v>3.8007835575455999</v>
      </c>
      <c r="J94" s="3">
        <v>28.435616438356</v>
      </c>
      <c r="K94" s="3">
        <v>15.751605574958001</v>
      </c>
      <c r="L94" s="2" t="s">
        <v>235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100.9</v>
      </c>
      <c r="H95" s="3">
        <v>3.1323892916507998</v>
      </c>
      <c r="I95" s="3">
        <v>2.7224811213534998</v>
      </c>
      <c r="J95" s="3">
        <v>7.2082191780822003</v>
      </c>
      <c r="K95" s="3">
        <v>6.2865932196059999</v>
      </c>
      <c r="L95" s="2" t="s">
        <v>235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100.867</v>
      </c>
      <c r="H96" s="3">
        <v>1.9832271762727001</v>
      </c>
      <c r="I96" s="3">
        <v>1.5710726098384</v>
      </c>
      <c r="J96" s="3">
        <v>0.74246575342466004</v>
      </c>
      <c r="K96" s="3">
        <v>0.72045815524000001</v>
      </c>
      <c r="L96" s="2" t="s">
        <v>235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100.593</v>
      </c>
      <c r="H97" s="3">
        <v>2.0792898845784</v>
      </c>
      <c r="I97" s="3">
        <v>1.6372613724961</v>
      </c>
      <c r="J97" s="3">
        <v>0.41095890410959002</v>
      </c>
      <c r="K97" s="3">
        <v>0.40265597370961997</v>
      </c>
      <c r="L97" s="2" t="s">
        <v>235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99.960999999999999</v>
      </c>
      <c r="H98" s="3">
        <v>2.0618343503240002</v>
      </c>
      <c r="I98" s="3">
        <v>1.8273906125816</v>
      </c>
      <c r="J98" s="3">
        <v>0.16438356164383999</v>
      </c>
      <c r="K98" s="3">
        <v>0.16107490027407001</v>
      </c>
      <c r="L98" s="2" t="s">
        <v>235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101.47</v>
      </c>
      <c r="H99" s="3">
        <v>1.9836605274239001</v>
      </c>
      <c r="I99" s="3">
        <v>1.5962926960307</v>
      </c>
      <c r="J99" s="3">
        <v>1.3232876712329</v>
      </c>
      <c r="K99" s="3">
        <v>1.2755557796315</v>
      </c>
      <c r="L99" s="2" t="s">
        <v>235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100.95</v>
      </c>
      <c r="H100" s="3">
        <v>3.0056154718567001</v>
      </c>
      <c r="I100" s="3">
        <v>2.6092664779944998</v>
      </c>
      <c r="J100" s="3">
        <v>6.5424657534247004</v>
      </c>
      <c r="K100" s="3">
        <v>5.7152725680887002</v>
      </c>
      <c r="L100" s="2" t="s">
        <v>235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101.01</v>
      </c>
      <c r="H101" s="3">
        <v>1.9889489389138</v>
      </c>
      <c r="I101" s="3">
        <v>1.6644800089959</v>
      </c>
      <c r="J101" s="3">
        <v>1.8191780821918</v>
      </c>
      <c r="K101" s="3">
        <v>1.7471115361398</v>
      </c>
      <c r="L101" s="2" t="s">
        <v>235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103.59</v>
      </c>
      <c r="H102" s="3">
        <v>2.1286659910180998</v>
      </c>
      <c r="I102" s="3">
        <v>1.6963829976435001</v>
      </c>
      <c r="J102" s="3">
        <v>2.9178082191781001</v>
      </c>
      <c r="K102" s="3">
        <v>2.7442997208744999</v>
      </c>
      <c r="L102" s="2" t="s">
        <v>235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104.13</v>
      </c>
      <c r="H103" s="3">
        <v>2.8159631082310002</v>
      </c>
      <c r="I103" s="3">
        <v>2.3565341201021002</v>
      </c>
      <c r="J103" s="3">
        <v>4.8438356164384002</v>
      </c>
      <c r="K103" s="3">
        <v>4.3416688083224999</v>
      </c>
      <c r="L103" s="2" t="s">
        <v>235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104.13</v>
      </c>
      <c r="H104" s="3">
        <v>2.9502966851200001</v>
      </c>
      <c r="I104" s="3">
        <v>2.4787079890535999</v>
      </c>
      <c r="J104" s="3">
        <v>4.8438356164384002</v>
      </c>
      <c r="K104" s="3">
        <v>4.3368000537920004</v>
      </c>
      <c r="L104" s="2" t="s">
        <v>235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105.98</v>
      </c>
      <c r="H105" s="3">
        <v>2.5284646015882002</v>
      </c>
      <c r="I105" s="3">
        <v>1.9972685917859001</v>
      </c>
      <c r="J105" s="3">
        <v>3.4438356164383999</v>
      </c>
      <c r="K105" s="3">
        <v>3.1448805031348002</v>
      </c>
      <c r="L105" s="2" t="s">
        <v>235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105.98</v>
      </c>
      <c r="H106" s="3">
        <v>2.6655678778573</v>
      </c>
      <c r="I106" s="3">
        <v>2.1236167975607998</v>
      </c>
      <c r="J106" s="3">
        <v>3.4438356164383999</v>
      </c>
      <c r="K106" s="3">
        <v>3.1410248028199002</v>
      </c>
      <c r="L106" s="2" t="s">
        <v>235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103.58</v>
      </c>
      <c r="H107" s="3">
        <v>2.2251810350899999</v>
      </c>
      <c r="I107" s="3">
        <v>1.7375145390432001</v>
      </c>
      <c r="J107" s="3">
        <v>2.1150684931506998</v>
      </c>
      <c r="K107" s="3">
        <v>1.9867388938835</v>
      </c>
      <c r="L107" s="2" t="s">
        <v>235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103.58</v>
      </c>
      <c r="H108" s="3">
        <v>2.4540280177467002</v>
      </c>
      <c r="I108" s="3">
        <v>1.9521839641203</v>
      </c>
      <c r="J108" s="3">
        <v>2.1150684931506998</v>
      </c>
      <c r="K108" s="3">
        <v>1.9824248921028</v>
      </c>
      <c r="L108" s="2" t="s">
        <v>235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103.83</v>
      </c>
      <c r="H109" s="3">
        <v>2.8778762310961001</v>
      </c>
      <c r="I109" s="3">
        <v>2.421446976411</v>
      </c>
      <c r="J109" s="3">
        <v>5.0356164383562003</v>
      </c>
      <c r="K109" s="3">
        <v>4.4852494859733998</v>
      </c>
      <c r="L109" s="2" t="s">
        <v>235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103.83</v>
      </c>
      <c r="H110" s="3">
        <v>3.0253139982908999</v>
      </c>
      <c r="I110" s="3">
        <v>2.5549427867968002</v>
      </c>
      <c r="J110" s="3">
        <v>5.0356164383562003</v>
      </c>
      <c r="K110" s="3">
        <v>4.4797956656312996</v>
      </c>
      <c r="L110" s="2" t="s">
        <v>235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100.86</v>
      </c>
      <c r="H111" s="3">
        <v>4.8101039585383001</v>
      </c>
      <c r="I111" s="3">
        <v>4.4803689776219997</v>
      </c>
      <c r="J111" s="3">
        <v>31.057534246574999</v>
      </c>
      <c r="K111" s="3">
        <v>5.7086924565828001</v>
      </c>
      <c r="L111" s="2" t="s">
        <v>235</v>
      </c>
      <c r="M111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7894-3E09-464F-A748-B35CA4A11A0C}">
  <dimension ref="A1:M111"/>
  <sheetViews>
    <sheetView workbookViewId="0">
      <selection activeCell="S18" sqref="S18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117.24</v>
      </c>
      <c r="H2" s="3">
        <v>3.2381213951085002</v>
      </c>
      <c r="I2" s="3">
        <v>2.5750195636825</v>
      </c>
      <c r="J2" s="3">
        <v>7.7479452054794002</v>
      </c>
      <c r="K2" s="3">
        <v>6.2050104244273996</v>
      </c>
      <c r="L2" s="2" t="s">
        <v>347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100.54</v>
      </c>
      <c r="H3" s="3">
        <v>1.9419476113231</v>
      </c>
      <c r="I3" s="3">
        <v>1.6507901133064</v>
      </c>
      <c r="J3" s="3">
        <v>2.0712328767122998</v>
      </c>
      <c r="K3" s="3">
        <v>1.9792506767743001</v>
      </c>
      <c r="L3" s="2" t="s">
        <v>347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99.9</v>
      </c>
      <c r="H4" s="3">
        <v>2.0459597578611</v>
      </c>
      <c r="I4" s="3">
        <v>1.7889116855422</v>
      </c>
      <c r="J4" s="3">
        <v>2.7424657534247001</v>
      </c>
      <c r="K4" s="3">
        <v>2.6156071599652</v>
      </c>
      <c r="L4" s="2" t="s">
        <v>347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102.31</v>
      </c>
      <c r="H5" s="3">
        <v>2.4370238593742002</v>
      </c>
      <c r="I5" s="3">
        <v>2.0630432337901001</v>
      </c>
      <c r="J5" s="3">
        <v>4.2410958904109997</v>
      </c>
      <c r="K5" s="3">
        <v>3.8931244525049999</v>
      </c>
      <c r="L5" s="2" t="s">
        <v>347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102.18</v>
      </c>
      <c r="H6" s="3">
        <v>3.9848248166598998</v>
      </c>
      <c r="I6" s="3">
        <v>3.4621262872241001</v>
      </c>
      <c r="J6" s="3">
        <v>14.413698630137</v>
      </c>
      <c r="K6" s="3">
        <v>10.575493070327999</v>
      </c>
      <c r="L6" s="2" t="s">
        <v>347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86.86</v>
      </c>
      <c r="H7" s="3">
        <v>2.9392842313818002</v>
      </c>
      <c r="I7" s="3">
        <v>2.8567596969718001</v>
      </c>
      <c r="J7" s="3">
        <v>6.2410958904109997</v>
      </c>
      <c r="K7" s="3">
        <v>5.9398579697158</v>
      </c>
      <c r="L7" s="2" t="s">
        <v>347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108.14</v>
      </c>
      <c r="H8" s="3">
        <v>4.1728629938442001</v>
      </c>
      <c r="I8" s="3">
        <v>3.5950836022632</v>
      </c>
      <c r="J8" s="3">
        <v>19.336986301370001</v>
      </c>
      <c r="K8" s="3">
        <v>12.514757484832</v>
      </c>
      <c r="L8" s="2" t="s">
        <v>347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104.37</v>
      </c>
      <c r="H9" s="3">
        <v>2.5459325798256001</v>
      </c>
      <c r="I9" s="3">
        <v>2.1115108537670002</v>
      </c>
      <c r="J9" s="3">
        <v>4.8219178082192</v>
      </c>
      <c r="K9" s="3">
        <v>4.3515061137537003</v>
      </c>
      <c r="L9" s="2" t="s">
        <v>347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91.64</v>
      </c>
      <c r="H10" s="3">
        <v>3.0358141117569</v>
      </c>
      <c r="I10" s="3">
        <v>2.8138509771256</v>
      </c>
      <c r="J10" s="3">
        <v>6.8246575342466</v>
      </c>
      <c r="K10" s="3">
        <v>6.2534530677609004</v>
      </c>
      <c r="L10" s="2" t="s">
        <v>347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99.68</v>
      </c>
      <c r="H11" s="3">
        <v>1.9120517759829001</v>
      </c>
      <c r="I11" s="3">
        <v>1.7098403730208001</v>
      </c>
      <c r="J11" s="3">
        <v>1.0712328767123001</v>
      </c>
      <c r="K11" s="3">
        <v>1.0394878138679999</v>
      </c>
      <c r="L11" s="2" t="s">
        <v>347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87.14</v>
      </c>
      <c r="H12" s="3">
        <v>3.6761180245665002</v>
      </c>
      <c r="I12" s="3">
        <v>3.3647451199125</v>
      </c>
      <c r="J12" s="3">
        <v>11.331506849315</v>
      </c>
      <c r="K12" s="3">
        <v>9.5564721872119005</v>
      </c>
      <c r="L12" s="2" t="s">
        <v>347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88.93</v>
      </c>
      <c r="H13" s="3">
        <v>4.2500908622212998</v>
      </c>
      <c r="I13" s="3">
        <v>3.7747555938791999</v>
      </c>
      <c r="J13" s="3">
        <v>22.835616438355999</v>
      </c>
      <c r="K13" s="3">
        <v>14.782825960225001</v>
      </c>
      <c r="L13" s="2" t="s">
        <v>347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90.51</v>
      </c>
      <c r="H14" s="3">
        <v>3.9880990085007002</v>
      </c>
      <c r="I14" s="3">
        <v>3.5682750719752998</v>
      </c>
      <c r="J14" s="3">
        <v>14.830136986301</v>
      </c>
      <c r="K14" s="3">
        <v>11.30493440647</v>
      </c>
      <c r="L14" s="2" t="s">
        <v>347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98.281000000000006</v>
      </c>
      <c r="H15" s="3">
        <v>1.9080724934349</v>
      </c>
      <c r="I15" s="3">
        <v>1.8953742794813999</v>
      </c>
      <c r="J15" s="3">
        <v>0.90410958904109995</v>
      </c>
      <c r="K15" s="3">
        <v>0.88740415697463004</v>
      </c>
      <c r="L15" s="2" t="s">
        <v>347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59.71</v>
      </c>
      <c r="H16" s="3">
        <v>4.1273610081054999</v>
      </c>
      <c r="I16" s="3">
        <v>3.7287742408817999</v>
      </c>
      <c r="J16" s="3">
        <v>46.852054794520001</v>
      </c>
      <c r="K16" s="3">
        <v>23.172029887118001</v>
      </c>
      <c r="L16" s="2" t="s">
        <v>347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94.23</v>
      </c>
      <c r="H17" s="3">
        <v>3.8573536379311002</v>
      </c>
      <c r="I17" s="3">
        <v>3.4274460869280001</v>
      </c>
      <c r="J17" s="3">
        <v>12.827397260273999</v>
      </c>
      <c r="K17" s="3">
        <v>10.059380883456001</v>
      </c>
      <c r="L17" s="2" t="s">
        <v>347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98.5</v>
      </c>
      <c r="H18" s="3">
        <v>1.9149007258219</v>
      </c>
      <c r="I18" s="3">
        <v>1.7748256882677</v>
      </c>
      <c r="J18" s="3">
        <v>1.9041095890410999</v>
      </c>
      <c r="K18" s="3">
        <v>1.8521565611821</v>
      </c>
      <c r="L18" s="2" t="s">
        <v>347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103.33</v>
      </c>
      <c r="H19" s="3">
        <v>2.5134256577173999</v>
      </c>
      <c r="I19" s="3">
        <v>2.0945625218426001</v>
      </c>
      <c r="J19" s="3">
        <v>4.1561643835615998</v>
      </c>
      <c r="K19" s="3">
        <v>3.7845136219865001</v>
      </c>
      <c r="L19" s="2" t="s">
        <v>347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103.2</v>
      </c>
      <c r="H20" s="3">
        <v>3.4648207674896998</v>
      </c>
      <c r="I20" s="3">
        <v>2.9833507680208999</v>
      </c>
      <c r="J20" s="3">
        <v>9.1589041095890007</v>
      </c>
      <c r="K20" s="3">
        <v>7.4782602712749</v>
      </c>
      <c r="L20" s="2" t="s">
        <v>347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94.19</v>
      </c>
      <c r="H21" s="3">
        <v>2.7988177928425002</v>
      </c>
      <c r="I21" s="3">
        <v>2.5781053736755002</v>
      </c>
      <c r="J21" s="3">
        <v>5.5753424657534003</v>
      </c>
      <c r="K21" s="3">
        <v>5.1597058152670003</v>
      </c>
      <c r="L21" s="2" t="s">
        <v>347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87.95</v>
      </c>
      <c r="H22" s="3">
        <v>3.0031828362069999</v>
      </c>
      <c r="I22" s="3">
        <v>2.8731201439817999</v>
      </c>
      <c r="J22" s="3">
        <v>6.5753424657534003</v>
      </c>
      <c r="K22" s="3">
        <v>6.1600076865534996</v>
      </c>
      <c r="L22" s="2" t="s">
        <v>347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104.82</v>
      </c>
      <c r="H23" s="3">
        <v>2.2604357338238001</v>
      </c>
      <c r="I23" s="3">
        <v>1.7942687230251999</v>
      </c>
      <c r="J23" s="3">
        <v>3.2410958904110001</v>
      </c>
      <c r="K23" s="3">
        <v>2.9895391206344999</v>
      </c>
      <c r="L23" s="2" t="s">
        <v>347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112.53</v>
      </c>
      <c r="H24" s="3">
        <v>3.4346366858736999</v>
      </c>
      <c r="I24" s="3">
        <v>2.8410695115225</v>
      </c>
      <c r="J24" s="3">
        <v>9.2438356164383997</v>
      </c>
      <c r="K24" s="3">
        <v>7.2962250331542</v>
      </c>
      <c r="L24" s="2" t="s">
        <v>347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103.21</v>
      </c>
      <c r="H25" s="3">
        <v>3.690298701258</v>
      </c>
      <c r="I25" s="3">
        <v>3.191794626149</v>
      </c>
      <c r="J25" s="3">
        <v>11.750684931506999</v>
      </c>
      <c r="K25" s="3">
        <v>9.1050491620515999</v>
      </c>
      <c r="L25" s="2" t="s">
        <v>347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111.84</v>
      </c>
      <c r="H26" s="3">
        <v>3.9434622069291998</v>
      </c>
      <c r="I26" s="3">
        <v>3.3499606513842002</v>
      </c>
      <c r="J26" s="3">
        <v>14.246575342466</v>
      </c>
      <c r="K26" s="3">
        <v>10.083814847438999</v>
      </c>
      <c r="L26" s="2" t="s">
        <v>347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99.01</v>
      </c>
      <c r="H27" s="3">
        <v>1.8996569250405999</v>
      </c>
      <c r="I27" s="3">
        <v>1.7411163729490999</v>
      </c>
      <c r="J27" s="3">
        <v>1.5726027397260001</v>
      </c>
      <c r="K27" s="3">
        <v>1.5249417124719</v>
      </c>
      <c r="L27" s="2" t="s">
        <v>347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101.86</v>
      </c>
      <c r="H28" s="3">
        <v>2.2649710272885</v>
      </c>
      <c r="I28" s="3">
        <v>1.9108947692531999</v>
      </c>
      <c r="J28" s="3">
        <v>3.5753424657533999</v>
      </c>
      <c r="K28" s="3">
        <v>3.3143215363523</v>
      </c>
      <c r="L28" s="2" t="s">
        <v>347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98.938000000000002</v>
      </c>
      <c r="H29" s="3">
        <v>1.9166445030146999</v>
      </c>
      <c r="I29" s="3">
        <v>1.8464161317129</v>
      </c>
      <c r="J29" s="3">
        <v>0.74246575342466004</v>
      </c>
      <c r="K29" s="3">
        <v>0.73010944492023999</v>
      </c>
      <c r="L29" s="2" t="s">
        <v>347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97.76</v>
      </c>
      <c r="H30" s="3">
        <v>1.8380451541191001</v>
      </c>
      <c r="I30" s="3">
        <v>1.8359277601459001</v>
      </c>
      <c r="J30" s="3">
        <v>1.2383561643836001</v>
      </c>
      <c r="K30" s="3">
        <v>1.2213859904282001</v>
      </c>
      <c r="L30" s="2" t="s">
        <v>347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102.69</v>
      </c>
      <c r="H31" s="3">
        <v>3.5490187463751002</v>
      </c>
      <c r="I31" s="3">
        <v>3.0678791434537001</v>
      </c>
      <c r="J31" s="3">
        <v>9.7479452054794002</v>
      </c>
      <c r="K31" s="3">
        <v>7.8868003753969997</v>
      </c>
      <c r="L31" s="2" t="s">
        <v>347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111.44</v>
      </c>
      <c r="H32" s="3">
        <v>4.0292392767036</v>
      </c>
      <c r="I32" s="3">
        <v>3.4332444422750998</v>
      </c>
      <c r="J32" s="3">
        <v>15.334246575342</v>
      </c>
      <c r="K32" s="3">
        <v>10.64247593422</v>
      </c>
      <c r="L32" s="2" t="s">
        <v>347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102.026</v>
      </c>
      <c r="H33" s="3">
        <v>1.9713748374241999</v>
      </c>
      <c r="I33" s="3">
        <v>1.4244783014563001</v>
      </c>
      <c r="J33" s="3">
        <v>0.81917808219178001</v>
      </c>
      <c r="K33" s="3">
        <v>0.79559380694830995</v>
      </c>
      <c r="L33" s="2" t="s">
        <v>347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87.01</v>
      </c>
      <c r="H34" s="3">
        <v>4.2153380266368998</v>
      </c>
      <c r="I34" s="3">
        <v>3.7632124533656999</v>
      </c>
      <c r="J34" s="3">
        <v>21.336986301370001</v>
      </c>
      <c r="K34" s="3">
        <v>14.367908033027</v>
      </c>
      <c r="L34" s="2" t="s">
        <v>347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100.03700000000001</v>
      </c>
      <c r="H35" s="3">
        <v>1.9043863895611</v>
      </c>
      <c r="I35" s="3">
        <v>1.6583407560264001</v>
      </c>
      <c r="J35" s="3">
        <v>0.57260273972603004</v>
      </c>
      <c r="K35" s="3">
        <v>0.55716662456046995</v>
      </c>
      <c r="L35" s="2" t="s">
        <v>347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71.319999999999993</v>
      </c>
      <c r="H36" s="3">
        <v>4.3214165455415001</v>
      </c>
      <c r="I36" s="3">
        <v>3.8649162087666999</v>
      </c>
      <c r="J36" s="3">
        <v>41.846575342465997</v>
      </c>
      <c r="K36" s="3">
        <v>20.600123265865001</v>
      </c>
      <c r="L36" s="2" t="s">
        <v>347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94.05</v>
      </c>
      <c r="H37" s="3">
        <v>3.2958328691449998</v>
      </c>
      <c r="I37" s="3">
        <v>2.9699947488035998</v>
      </c>
      <c r="J37" s="3">
        <v>8.3287671232876992</v>
      </c>
      <c r="K37" s="3">
        <v>7.2819786935620998</v>
      </c>
      <c r="L37" s="2" t="s">
        <v>347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90.85</v>
      </c>
      <c r="H38" s="3">
        <v>3.8667050320060001</v>
      </c>
      <c r="I38" s="3">
        <v>3.4691542293775002</v>
      </c>
      <c r="J38" s="3">
        <v>13.331506849315</v>
      </c>
      <c r="K38" s="3">
        <v>10.517624393392</v>
      </c>
      <c r="L38" s="2" t="s">
        <v>347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98.85</v>
      </c>
      <c r="H39" s="3">
        <v>3.5176021371766</v>
      </c>
      <c r="I39" s="3">
        <v>3.0874904008596999</v>
      </c>
      <c r="J39" s="3">
        <v>9.8246575342465992</v>
      </c>
      <c r="K39" s="3">
        <v>8.1087401133843997</v>
      </c>
      <c r="L39" s="2" t="s">
        <v>347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94.05</v>
      </c>
      <c r="H40" s="3">
        <v>4.285869346668</v>
      </c>
      <c r="I40" s="3">
        <v>3.7746634431788002</v>
      </c>
      <c r="J40" s="3">
        <v>24.339726027396999</v>
      </c>
      <c r="K40" s="3">
        <v>14.972904839786001</v>
      </c>
      <c r="L40" s="2" t="s">
        <v>347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94.29</v>
      </c>
      <c r="H41" s="3">
        <v>2.6128456073997999</v>
      </c>
      <c r="I41" s="3">
        <v>2.4363509662479998</v>
      </c>
      <c r="J41" s="3">
        <v>4.9068493150685004</v>
      </c>
      <c r="K41" s="3">
        <v>4.6320072803072998</v>
      </c>
      <c r="L41" s="2" t="s">
        <v>347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72.349999999999994</v>
      </c>
      <c r="H42" s="3">
        <v>4.2833379095973001</v>
      </c>
      <c r="I42" s="3">
        <v>3.8984805653525001</v>
      </c>
      <c r="J42" s="3">
        <v>25.339726027396999</v>
      </c>
      <c r="K42" s="3">
        <v>16.872463680408998</v>
      </c>
      <c r="L42" s="2" t="s">
        <v>347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60.860999999999997</v>
      </c>
      <c r="H43" s="3">
        <v>4.2009407530563001</v>
      </c>
      <c r="I43" s="3">
        <v>3.9033627822215999</v>
      </c>
      <c r="J43" s="3">
        <v>26.339726027396999</v>
      </c>
      <c r="K43" s="3">
        <v>18.683830351975001</v>
      </c>
      <c r="L43" s="2" t="s">
        <v>347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103.92</v>
      </c>
      <c r="H44" s="3">
        <v>4.1817169644809002</v>
      </c>
      <c r="I44" s="3">
        <v>3.6274651567520002</v>
      </c>
      <c r="J44" s="3">
        <v>18.334246575342998</v>
      </c>
      <c r="K44" s="3">
        <v>12.238323188078001</v>
      </c>
      <c r="L44" s="2" t="s">
        <v>347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106.2</v>
      </c>
      <c r="H45" s="3">
        <v>3.4073872791644999</v>
      </c>
      <c r="I45" s="3">
        <v>2.8929469023665</v>
      </c>
      <c r="J45" s="3">
        <v>8.8246575342465992</v>
      </c>
      <c r="K45" s="3">
        <v>7.2167494001078003</v>
      </c>
      <c r="L45" s="2" t="s">
        <v>347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89.43</v>
      </c>
      <c r="H46" s="3">
        <v>2.8772840165021001</v>
      </c>
      <c r="I46" s="3">
        <v>2.7559821548386001</v>
      </c>
      <c r="J46" s="3">
        <v>5.9068493150685004</v>
      </c>
      <c r="K46" s="3">
        <v>5.5895277528841998</v>
      </c>
      <c r="L46" s="2" t="s">
        <v>347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86.61</v>
      </c>
      <c r="H47" s="3">
        <v>3.0921465257854002</v>
      </c>
      <c r="I47" s="3">
        <v>2.9520679716201998</v>
      </c>
      <c r="J47" s="3">
        <v>7.0767123287671003</v>
      </c>
      <c r="K47" s="3">
        <v>6.6043232660557996</v>
      </c>
      <c r="L47" s="2" t="s">
        <v>347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108.17</v>
      </c>
      <c r="H48" s="3">
        <v>3.2534136688209001</v>
      </c>
      <c r="I48" s="3">
        <v>2.7207824763198998</v>
      </c>
      <c r="J48" s="3">
        <v>7.9917808219177999</v>
      </c>
      <c r="K48" s="3">
        <v>6.6615601775861002</v>
      </c>
      <c r="L48" s="2" t="s">
        <v>347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107.83</v>
      </c>
      <c r="H49" s="3">
        <v>1.8822819374235</v>
      </c>
      <c r="I49" s="3">
        <v>1.0177756587146001</v>
      </c>
      <c r="J49" s="3">
        <v>1.4904109589040999</v>
      </c>
      <c r="K49" s="3">
        <v>1.4168549796023</v>
      </c>
      <c r="L49" s="2" t="s">
        <v>347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110.75</v>
      </c>
      <c r="H50" s="3">
        <v>2.050063459755</v>
      </c>
      <c r="I50" s="3">
        <v>1.2825871210336</v>
      </c>
      <c r="J50" s="3">
        <v>2.4904109589040999</v>
      </c>
      <c r="K50" s="3">
        <v>2.2999658219781001</v>
      </c>
      <c r="L50" s="2" t="s">
        <v>347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111.77</v>
      </c>
      <c r="H51" s="3">
        <v>2.4737825316581001</v>
      </c>
      <c r="I51" s="3">
        <v>1.8528279164118</v>
      </c>
      <c r="J51" s="3">
        <v>4.4931506849314999</v>
      </c>
      <c r="K51" s="3">
        <v>3.9886301643182001</v>
      </c>
      <c r="L51" s="2" t="s">
        <v>347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117.37</v>
      </c>
      <c r="H52" s="3">
        <v>2.8424416869243001</v>
      </c>
      <c r="I52" s="3">
        <v>2.1519614943111001</v>
      </c>
      <c r="J52" s="3">
        <v>5.9890410958903999</v>
      </c>
      <c r="K52" s="3">
        <v>5.0544284289513</v>
      </c>
      <c r="L52" s="2" t="s">
        <v>347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99.941000000000003</v>
      </c>
      <c r="H53" s="3">
        <v>2.2023414094468001</v>
      </c>
      <c r="I53" s="3">
        <v>2.0264634233301999</v>
      </c>
      <c r="J53" s="3">
        <v>7.1232876712329002E-2</v>
      </c>
      <c r="K53" s="3">
        <v>7.2381398120051996E-2</v>
      </c>
      <c r="L53" s="2" t="s">
        <v>347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91.48</v>
      </c>
      <c r="H54" s="3">
        <v>2.7224067014297999</v>
      </c>
      <c r="I54" s="3">
        <v>2.5908502191581002</v>
      </c>
      <c r="J54" s="3">
        <v>5.2410958904109997</v>
      </c>
      <c r="K54" s="3">
        <v>4.9698977161251001</v>
      </c>
      <c r="L54" s="2" t="s">
        <v>347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107.48</v>
      </c>
      <c r="H55" s="3">
        <v>3.1325593638731002</v>
      </c>
      <c r="I55" s="3">
        <v>2.6269338320841999</v>
      </c>
      <c r="J55" s="3">
        <v>8.4958904109589</v>
      </c>
      <c r="K55" s="3">
        <v>7.0270385075883999</v>
      </c>
      <c r="L55" s="2" t="s">
        <v>347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99.82</v>
      </c>
      <c r="H56" s="3">
        <v>3.6513635176616002</v>
      </c>
      <c r="I56" s="3">
        <v>3.1935328065606998</v>
      </c>
      <c r="J56" s="3">
        <v>10.41095890411</v>
      </c>
      <c r="K56" s="3">
        <v>8.4604938651870008</v>
      </c>
      <c r="L56" s="2" t="s">
        <v>347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101.81</v>
      </c>
      <c r="H57" s="3">
        <v>2.5764865770720999</v>
      </c>
      <c r="I57" s="3">
        <v>2.1953461653161002</v>
      </c>
      <c r="J57" s="3">
        <v>4.4082191780822004</v>
      </c>
      <c r="K57" s="3">
        <v>4.0496325686955004</v>
      </c>
      <c r="L57" s="2" t="s">
        <v>347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106.06</v>
      </c>
      <c r="H58" s="3">
        <v>2.4068359101509</v>
      </c>
      <c r="I58" s="3">
        <v>1.8809353108719</v>
      </c>
      <c r="J58" s="3">
        <v>3.7452054794520002</v>
      </c>
      <c r="K58" s="3">
        <v>3.4027359194</v>
      </c>
      <c r="L58" s="2" t="s">
        <v>347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100.97</v>
      </c>
      <c r="H59" s="3">
        <v>2.7646173433621</v>
      </c>
      <c r="I59" s="3">
        <v>2.3933884343973002</v>
      </c>
      <c r="J59" s="3">
        <v>5.1561643835615998</v>
      </c>
      <c r="K59" s="3">
        <v>4.6697174454794999</v>
      </c>
      <c r="L59" s="2" t="s">
        <v>347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95.61</v>
      </c>
      <c r="H60" s="3">
        <v>3.1782425115109998</v>
      </c>
      <c r="I60" s="3">
        <v>2.8297141042214999</v>
      </c>
      <c r="J60" s="3">
        <v>7.5780821917808003</v>
      </c>
      <c r="K60" s="3">
        <v>6.6456867765821004</v>
      </c>
      <c r="L60" s="2" t="s">
        <v>347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100.2</v>
      </c>
      <c r="H61" s="3">
        <v>1.9665879563349999</v>
      </c>
      <c r="I61" s="3">
        <v>1.6987776163355</v>
      </c>
      <c r="J61" s="3">
        <v>2.2383561643836001</v>
      </c>
      <c r="K61" s="3">
        <v>2.1487431460609998</v>
      </c>
      <c r="L61" s="2" t="s">
        <v>347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101.41</v>
      </c>
      <c r="H62" s="3">
        <v>2.0935238972605998</v>
      </c>
      <c r="I62" s="3">
        <v>1.7539914485203001</v>
      </c>
      <c r="J62" s="3">
        <v>2.5726027397259998</v>
      </c>
      <c r="K62" s="3">
        <v>2.4263472671766002</v>
      </c>
      <c r="L62" s="2" t="s">
        <v>347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79.14</v>
      </c>
      <c r="H63" s="3">
        <v>4.2048535419746003</v>
      </c>
      <c r="I63" s="3">
        <v>3.8058266053456</v>
      </c>
      <c r="J63" s="3">
        <v>21.832876712329</v>
      </c>
      <c r="K63" s="3">
        <v>15.135769149208</v>
      </c>
      <c r="L63" s="2" t="s">
        <v>347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73.760000000000005</v>
      </c>
      <c r="H64" s="3">
        <v>3.7439205436586001</v>
      </c>
      <c r="I64" s="3">
        <v>3.5973139838870001</v>
      </c>
      <c r="J64" s="3">
        <v>11.827397260273999</v>
      </c>
      <c r="K64" s="3">
        <v>10.660920371919</v>
      </c>
      <c r="L64" s="2" t="s">
        <v>347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66.349999999999994</v>
      </c>
      <c r="H65" s="3">
        <v>4.2828664916078001</v>
      </c>
      <c r="I65" s="3">
        <v>3.9269223629441998</v>
      </c>
      <c r="J65" s="3">
        <v>27.342465753425</v>
      </c>
      <c r="K65" s="3">
        <v>18.130949834006</v>
      </c>
      <c r="L65" s="2" t="s">
        <v>347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101.67</v>
      </c>
      <c r="H66" s="3">
        <v>1.9966569161169001</v>
      </c>
      <c r="I66" s="3">
        <v>1.6221979312929999</v>
      </c>
      <c r="J66" s="3">
        <v>1.7808219178082001</v>
      </c>
      <c r="K66" s="3">
        <v>1.7040707910763</v>
      </c>
      <c r="L66" s="2" t="s">
        <v>347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100.49</v>
      </c>
      <c r="H67" s="3">
        <v>3.6226261135987001</v>
      </c>
      <c r="I67" s="3">
        <v>3.1560705527414998</v>
      </c>
      <c r="J67" s="3">
        <v>10.243835616438</v>
      </c>
      <c r="K67" s="3">
        <v>8.2652017353036005</v>
      </c>
      <c r="L67" s="2" t="s">
        <v>347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100.26</v>
      </c>
      <c r="H68" s="3">
        <v>1.8889883900955999</v>
      </c>
      <c r="I68" s="3">
        <v>1.6245829278745001</v>
      </c>
      <c r="J68" s="3">
        <v>1.1917808219178001</v>
      </c>
      <c r="K68" s="3">
        <v>1.1545101584469</v>
      </c>
      <c r="L68" s="2" t="s">
        <v>347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102.75</v>
      </c>
      <c r="H69" s="3">
        <v>2.9813383844160999</v>
      </c>
      <c r="I69" s="3">
        <v>2.5511679434431001</v>
      </c>
      <c r="J69" s="3">
        <v>6.1945205479452001</v>
      </c>
      <c r="K69" s="3">
        <v>5.4220540484026003</v>
      </c>
      <c r="L69" s="2" t="s">
        <v>347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</v>
      </c>
      <c r="H70" s="3">
        <v>4.0781528370525999</v>
      </c>
      <c r="I70" s="3">
        <v>3.8042767363118002</v>
      </c>
      <c r="J70" s="3">
        <v>15.830136986301</v>
      </c>
      <c r="K70" s="3">
        <v>12.851732587958001</v>
      </c>
      <c r="L70" s="2" t="s">
        <v>347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106.1</v>
      </c>
      <c r="H71" s="3">
        <v>2.8164994213533001</v>
      </c>
      <c r="I71" s="3">
        <v>2.3277478777675999</v>
      </c>
      <c r="J71" s="3">
        <v>5.5315068493151003</v>
      </c>
      <c r="K71" s="3">
        <v>4.8121000462532999</v>
      </c>
      <c r="L71" s="2" t="s">
        <v>347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98.33</v>
      </c>
      <c r="H72" s="3">
        <v>1.8618970839394</v>
      </c>
      <c r="I72" s="3">
        <v>1.7475199662431999</v>
      </c>
      <c r="J72" s="3">
        <v>1.6958904109588999</v>
      </c>
      <c r="K72" s="3">
        <v>1.6522840303071</v>
      </c>
      <c r="L72" s="2" t="s">
        <v>347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93.21</v>
      </c>
      <c r="H73" s="3">
        <v>2.3484896387544998</v>
      </c>
      <c r="I73" s="3">
        <v>2.2728142480472999</v>
      </c>
      <c r="J73" s="3">
        <v>3.7835616438356001</v>
      </c>
      <c r="K73" s="3">
        <v>3.6646699213077998</v>
      </c>
      <c r="L73" s="2" t="s">
        <v>347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105.54</v>
      </c>
      <c r="H74" s="3">
        <v>2.5790073797846</v>
      </c>
      <c r="I74" s="3">
        <v>2.1081280885604001</v>
      </c>
      <c r="J74" s="3">
        <v>4.6136986301369998</v>
      </c>
      <c r="K74" s="3">
        <v>4.1215167221189999</v>
      </c>
      <c r="L74" s="2" t="s">
        <v>347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101.48</v>
      </c>
      <c r="H75" s="3">
        <v>2.0848942289711001</v>
      </c>
      <c r="I75" s="3">
        <v>1.7458031954729001</v>
      </c>
      <c r="J75" s="3">
        <v>2.4438356164383999</v>
      </c>
      <c r="K75" s="3">
        <v>2.3300830941961999</v>
      </c>
      <c r="L75" s="2" t="s">
        <v>347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103.38</v>
      </c>
      <c r="H76" s="3">
        <v>2.8763726593790002</v>
      </c>
      <c r="I76" s="3">
        <v>2.4403919768276001</v>
      </c>
      <c r="J76" s="3">
        <v>5.7835616438355997</v>
      </c>
      <c r="K76" s="3">
        <v>5.1154343703227001</v>
      </c>
      <c r="L76" s="2" t="s">
        <v>347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101.681</v>
      </c>
      <c r="H77" s="3">
        <v>1.971763636361</v>
      </c>
      <c r="I77" s="3">
        <v>1.5058703594375</v>
      </c>
      <c r="J77" s="3">
        <v>0.94246575342465999</v>
      </c>
      <c r="K77" s="3">
        <v>0.91544349959405003</v>
      </c>
      <c r="L77" s="2" t="s">
        <v>347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101.43</v>
      </c>
      <c r="H78" s="3">
        <v>2.4451936472217</v>
      </c>
      <c r="I78" s="3">
        <v>2.0944468636315001</v>
      </c>
      <c r="J78" s="3">
        <v>4.1123287671232998</v>
      </c>
      <c r="K78" s="3">
        <v>3.7813619501832001</v>
      </c>
      <c r="L78" s="2" t="s">
        <v>347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97.72</v>
      </c>
      <c r="H79" s="3">
        <v>1.9504229475492001</v>
      </c>
      <c r="I79" s="3">
        <v>1.8290483306408001</v>
      </c>
      <c r="J79" s="3">
        <v>2.3616438356164</v>
      </c>
      <c r="K79" s="3">
        <v>2.2930227464840001</v>
      </c>
      <c r="L79" s="2" t="s">
        <v>347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101.22</v>
      </c>
      <c r="H80" s="3">
        <v>2.2526018597641002</v>
      </c>
      <c r="I80" s="3">
        <v>1.9089031469419</v>
      </c>
      <c r="J80" s="3">
        <v>3.1123287671233002</v>
      </c>
      <c r="K80" s="3">
        <v>2.9317743194974999</v>
      </c>
      <c r="L80" s="2" t="s">
        <v>347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104.71</v>
      </c>
      <c r="H81" s="3">
        <v>2.7205586815452998</v>
      </c>
      <c r="I81" s="3">
        <v>2.2383858565754999</v>
      </c>
      <c r="J81" s="3">
        <v>5.1123287671232998</v>
      </c>
      <c r="K81" s="3">
        <v>4.5343005865933002</v>
      </c>
      <c r="L81" s="2" t="s">
        <v>347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94.77</v>
      </c>
      <c r="H82" s="3">
        <v>2.2125380579423002</v>
      </c>
      <c r="I82" s="3">
        <v>2.1263883442172</v>
      </c>
      <c r="J82" s="3">
        <v>3.1945205479452001</v>
      </c>
      <c r="K82" s="3">
        <v>3.1041947146943998</v>
      </c>
      <c r="L82" s="2" t="s">
        <v>347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103.01</v>
      </c>
      <c r="H83" s="3">
        <v>2.0506375352916999</v>
      </c>
      <c r="I83" s="3">
        <v>1.6234270527032999</v>
      </c>
      <c r="J83" s="3">
        <v>2.1917808219178001</v>
      </c>
      <c r="K83" s="3">
        <v>2.0677865819766001</v>
      </c>
      <c r="L83" s="2" t="s">
        <v>347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102.48</v>
      </c>
      <c r="H84" s="3">
        <v>1.9949016138314</v>
      </c>
      <c r="I84" s="3">
        <v>1.5191175017848</v>
      </c>
      <c r="J84" s="3">
        <v>1.3616438356164</v>
      </c>
      <c r="K84" s="3">
        <v>1.3077924651521</v>
      </c>
      <c r="L84" s="2" t="s">
        <v>347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100.28100000000001</v>
      </c>
      <c r="H85" s="3">
        <v>1.8984116247747</v>
      </c>
      <c r="I85" s="3">
        <v>1.5932648373586</v>
      </c>
      <c r="J85" s="3">
        <v>0.52876712328766995</v>
      </c>
      <c r="K85" s="3">
        <v>0.51823051896098005</v>
      </c>
      <c r="L85" s="2" t="s">
        <v>347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98.28</v>
      </c>
      <c r="H86" s="3">
        <v>4.4498131498416997</v>
      </c>
      <c r="I86" s="3">
        <v>3.8945754009860001</v>
      </c>
      <c r="J86" s="3">
        <v>29.424657534247</v>
      </c>
      <c r="K86" s="3">
        <v>16.072764520785999</v>
      </c>
      <c r="L86" s="2" t="s">
        <v>347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100.994</v>
      </c>
      <c r="H87" s="3">
        <v>2.0146334827729002</v>
      </c>
      <c r="I87" s="3">
        <v>1.5841026032072001</v>
      </c>
      <c r="J87" s="3">
        <v>0.69589041095890003</v>
      </c>
      <c r="K87" s="3">
        <v>0.67386486139561996</v>
      </c>
      <c r="L87" s="2" t="s">
        <v>347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95.04</v>
      </c>
      <c r="H88" s="3">
        <v>2.0543790519207001</v>
      </c>
      <c r="I88" s="3">
        <v>2.0157269735528001</v>
      </c>
      <c r="J88" s="3">
        <v>2.8602739726027</v>
      </c>
      <c r="K88" s="3">
        <v>2.7932346358842999</v>
      </c>
      <c r="L88" s="2" t="s">
        <v>347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80.66</v>
      </c>
      <c r="H89" s="3">
        <v>3.6554251018481998</v>
      </c>
      <c r="I89" s="3">
        <v>3.4448449122653999</v>
      </c>
      <c r="J89" s="3">
        <v>10.827397260273999</v>
      </c>
      <c r="K89" s="3">
        <v>9.5706814521882997</v>
      </c>
      <c r="L89" s="2" t="s">
        <v>347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97.79</v>
      </c>
      <c r="H90" s="3">
        <v>4.0814311006074</v>
      </c>
      <c r="I90" s="3">
        <v>3.5809356888536001</v>
      </c>
      <c r="J90" s="3">
        <v>15.416438356164001</v>
      </c>
      <c r="K90" s="3">
        <v>11.221470335795001</v>
      </c>
      <c r="L90" s="2" t="s">
        <v>347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99.76</v>
      </c>
      <c r="H91" s="3">
        <v>2.0483117530206001</v>
      </c>
      <c r="I91" s="3">
        <v>1.8868868698662999</v>
      </c>
      <c r="J91" s="3">
        <v>0.27671232876711999</v>
      </c>
      <c r="K91" s="3">
        <v>0.27119058040522998</v>
      </c>
      <c r="L91" s="2" t="s">
        <v>347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9.8767123287671001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107.94</v>
      </c>
      <c r="H93" s="3">
        <v>2.2629954572589002</v>
      </c>
      <c r="I93" s="3">
        <v>1.6912855238182001</v>
      </c>
      <c r="J93" s="3">
        <v>3.3260273972603001</v>
      </c>
      <c r="K93" s="3">
        <v>3.0334884758567999</v>
      </c>
      <c r="L93" s="2" t="s">
        <v>347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</v>
      </c>
      <c r="H94" s="3">
        <v>4.4205495486205004</v>
      </c>
      <c r="I94" s="3">
        <v>3.8540186093320998</v>
      </c>
      <c r="J94" s="3">
        <v>28.424657534247</v>
      </c>
      <c r="K94" s="3">
        <v>15.678818456196</v>
      </c>
      <c r="L94" s="2" t="s">
        <v>347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100.63</v>
      </c>
      <c r="H95" s="3">
        <v>3.1747742983087002</v>
      </c>
      <c r="I95" s="3">
        <v>2.7641719767683002</v>
      </c>
      <c r="J95" s="3">
        <v>7.1972602739726002</v>
      </c>
      <c r="K95" s="3">
        <v>6.2722275700864003</v>
      </c>
      <c r="L95" s="2" t="s">
        <v>347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100.861</v>
      </c>
      <c r="H96" s="3">
        <v>1.9733359205176</v>
      </c>
      <c r="I96" s="3">
        <v>1.5613482235031999</v>
      </c>
      <c r="J96" s="3">
        <v>0.73150684931507004</v>
      </c>
      <c r="K96" s="3">
        <v>0.70977673632643001</v>
      </c>
      <c r="L96" s="2" t="s">
        <v>347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100.584</v>
      </c>
      <c r="H97" s="3">
        <v>2.0620293467518001</v>
      </c>
      <c r="I97" s="3">
        <v>1.6202115831137001</v>
      </c>
      <c r="J97" s="3">
        <v>0.4</v>
      </c>
      <c r="K97" s="3">
        <v>0.39198267626654998</v>
      </c>
      <c r="L97" s="2" t="s">
        <v>347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99.954999999999998</v>
      </c>
      <c r="H98" s="3">
        <v>2.1165105203075001</v>
      </c>
      <c r="I98" s="3">
        <v>1.8821885993167999</v>
      </c>
      <c r="J98" s="3">
        <v>0.15342465753425</v>
      </c>
      <c r="K98" s="3">
        <v>0.15025576774818999</v>
      </c>
      <c r="L98" s="2" t="s">
        <v>347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101.44</v>
      </c>
      <c r="H99" s="3">
        <v>1.9973788978142</v>
      </c>
      <c r="I99" s="3">
        <v>1.6099495950277001</v>
      </c>
      <c r="J99" s="3">
        <v>1.3123287671232999</v>
      </c>
      <c r="K99" s="3">
        <v>1.2646375221512001</v>
      </c>
      <c r="L99" s="2" t="s">
        <v>347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100.66</v>
      </c>
      <c r="H100" s="3">
        <v>3.0550562468342002</v>
      </c>
      <c r="I100" s="3">
        <v>2.6579620155387</v>
      </c>
      <c r="J100" s="3">
        <v>6.5315068493151003</v>
      </c>
      <c r="K100" s="3">
        <v>5.7006897214913002</v>
      </c>
      <c r="L100" s="2" t="s">
        <v>347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100.95</v>
      </c>
      <c r="H101" s="3">
        <v>2.0194512317995001</v>
      </c>
      <c r="I101" s="3">
        <v>1.6948341645802001</v>
      </c>
      <c r="J101" s="3">
        <v>1.8082191780821999</v>
      </c>
      <c r="K101" s="3">
        <v>1.7358347904325</v>
      </c>
      <c r="L101" s="2" t="s">
        <v>347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103.43</v>
      </c>
      <c r="H102" s="3">
        <v>2.1804099243181998</v>
      </c>
      <c r="I102" s="3">
        <v>1.7476672783103</v>
      </c>
      <c r="J102" s="3">
        <v>2.9068493150685</v>
      </c>
      <c r="K102" s="3">
        <v>2.7320817083589999</v>
      </c>
      <c r="L102" s="2" t="s">
        <v>347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103.83</v>
      </c>
      <c r="H103" s="3">
        <v>2.8814914460330998</v>
      </c>
      <c r="I103" s="3">
        <v>2.4209994349509998</v>
      </c>
      <c r="J103" s="3">
        <v>4.8328767123288001</v>
      </c>
      <c r="K103" s="3">
        <v>4.3275901652791999</v>
      </c>
      <c r="L103" s="2" t="s">
        <v>347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103.83</v>
      </c>
      <c r="H104" s="3">
        <v>3.0162295636546999</v>
      </c>
      <c r="I104" s="3">
        <v>2.5435840216669998</v>
      </c>
      <c r="J104" s="3">
        <v>4.8328767123288001</v>
      </c>
      <c r="K104" s="3">
        <v>4.3227235012524998</v>
      </c>
      <c r="L104" s="2" t="s">
        <v>347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105.75</v>
      </c>
      <c r="H105" s="3">
        <v>2.5928148274267002</v>
      </c>
      <c r="I105" s="3">
        <v>2.0606666303817001</v>
      </c>
      <c r="J105" s="3">
        <v>3.4328767123288002</v>
      </c>
      <c r="K105" s="3">
        <v>3.1319549222875001</v>
      </c>
      <c r="L105" s="2" t="s">
        <v>347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105.75</v>
      </c>
      <c r="H106" s="3">
        <v>2.7304652302377002</v>
      </c>
      <c r="I106" s="3">
        <v>2.1875684180607999</v>
      </c>
      <c r="J106" s="3">
        <v>3.4328767123288002</v>
      </c>
      <c r="K106" s="3">
        <v>3.1281005667251001</v>
      </c>
      <c r="L106" s="2" t="s">
        <v>347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103.48</v>
      </c>
      <c r="H107" s="3">
        <v>2.2684417754100998</v>
      </c>
      <c r="I107" s="3">
        <v>1.7799022533594999</v>
      </c>
      <c r="J107" s="3">
        <v>2.1041095890411001</v>
      </c>
      <c r="K107" s="3">
        <v>1.9751331318523999</v>
      </c>
      <c r="L107" s="2" t="s">
        <v>347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103.48</v>
      </c>
      <c r="H108" s="3">
        <v>2.4986263064188998</v>
      </c>
      <c r="I108" s="3">
        <v>1.9959154174111999</v>
      </c>
      <c r="J108" s="3">
        <v>2.1041095890411001</v>
      </c>
      <c r="K108" s="3">
        <v>1.9708197795750999</v>
      </c>
      <c r="L108" s="2" t="s">
        <v>347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103.65</v>
      </c>
      <c r="H109" s="3">
        <v>2.9152836394528001</v>
      </c>
      <c r="I109" s="3">
        <v>2.4582382185555001</v>
      </c>
      <c r="J109" s="3">
        <v>5.0246575342466002</v>
      </c>
      <c r="K109" s="3">
        <v>4.4725294512477998</v>
      </c>
      <c r="L109" s="2" t="s">
        <v>347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103.65</v>
      </c>
      <c r="H110" s="3">
        <v>3.0631182562674999</v>
      </c>
      <c r="I110" s="3">
        <v>2.5921336434255999</v>
      </c>
      <c r="J110" s="3">
        <v>5.0246575342466002</v>
      </c>
      <c r="K110" s="3">
        <v>4.4670751500483998</v>
      </c>
      <c r="L110" s="2" t="s">
        <v>347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</v>
      </c>
      <c r="H111" s="3">
        <v>4.8225711433910003</v>
      </c>
      <c r="I111" s="3">
        <v>4.4922874946476004</v>
      </c>
      <c r="J111" s="3">
        <v>31.046575342465999</v>
      </c>
      <c r="K111" s="3">
        <v>5.7030932650645001</v>
      </c>
      <c r="L111" s="2" t="s">
        <v>347</v>
      </c>
      <c r="M111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39A8-789F-7D4A-893F-76649A2AA4FA}">
  <dimension ref="A1:M111"/>
  <sheetViews>
    <sheetView workbookViewId="0">
      <selection activeCell="M15" sqref="M15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117.4</v>
      </c>
      <c r="H2" s="3">
        <v>3.2156669006315002</v>
      </c>
      <c r="I2" s="3">
        <v>2.5531590475449999</v>
      </c>
      <c r="J2" s="3">
        <v>7.7452054794520002</v>
      </c>
      <c r="K2" s="3">
        <v>6.2048179285145002</v>
      </c>
      <c r="L2" s="2" t="s">
        <v>348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100.54</v>
      </c>
      <c r="H3" s="3">
        <v>1.9416024861137</v>
      </c>
      <c r="I3" s="3">
        <v>1.6504427552931999</v>
      </c>
      <c r="J3" s="3">
        <v>2.0684931506848998</v>
      </c>
      <c r="K3" s="3">
        <v>1.9765700907471</v>
      </c>
      <c r="L3" s="2" t="s">
        <v>348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99.82</v>
      </c>
      <c r="H4" s="3">
        <v>2.0764841255112998</v>
      </c>
      <c r="I4" s="3">
        <v>1.8192935857201</v>
      </c>
      <c r="J4" s="3">
        <v>2.7397260273973001</v>
      </c>
      <c r="K4" s="3">
        <v>2.6121029962277</v>
      </c>
      <c r="L4" s="2" t="s">
        <v>348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102.3</v>
      </c>
      <c r="H5" s="3">
        <v>2.4391483677325998</v>
      </c>
      <c r="I5" s="3">
        <v>2.0651439166687999</v>
      </c>
      <c r="J5" s="3">
        <v>4.2383561643835996</v>
      </c>
      <c r="K5" s="3">
        <v>3.8903558821002</v>
      </c>
      <c r="L5" s="2" t="s">
        <v>348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102.15</v>
      </c>
      <c r="H6" s="3">
        <v>3.9875581799489002</v>
      </c>
      <c r="I6" s="3">
        <v>3.4647624798145999</v>
      </c>
      <c r="J6" s="3">
        <v>14.41095890411</v>
      </c>
      <c r="K6" s="3">
        <v>10.572017202769</v>
      </c>
      <c r="L6" s="2" t="s">
        <v>348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86.92</v>
      </c>
      <c r="H7" s="3">
        <v>2.9286907915442999</v>
      </c>
      <c r="I7" s="3">
        <v>2.8462024683999001</v>
      </c>
      <c r="J7" s="3">
        <v>6.2383561643835996</v>
      </c>
      <c r="K7" s="3">
        <v>5.9378594517433996</v>
      </c>
      <c r="L7" s="2" t="s">
        <v>348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108.34</v>
      </c>
      <c r="H8" s="3">
        <v>4.1581656651636996</v>
      </c>
      <c r="I8" s="3">
        <v>3.5810719918570002</v>
      </c>
      <c r="J8" s="3">
        <v>19.334246575342998</v>
      </c>
      <c r="K8" s="3">
        <v>12.520154360288</v>
      </c>
      <c r="L8" s="2" t="s">
        <v>348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104.36</v>
      </c>
      <c r="H9" s="3">
        <v>2.5476237450789001</v>
      </c>
      <c r="I9" s="3">
        <v>2.1131748435471001</v>
      </c>
      <c r="J9" s="3">
        <v>4.8191780821918</v>
      </c>
      <c r="K9" s="3">
        <v>4.3487462743362002</v>
      </c>
      <c r="L9" s="2" t="s">
        <v>348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91.67</v>
      </c>
      <c r="H10" s="3">
        <v>3.0311244925001999</v>
      </c>
      <c r="I10" s="3">
        <v>2.8092043348233999</v>
      </c>
      <c r="J10" s="3">
        <v>6.8219178082192</v>
      </c>
      <c r="K10" s="3">
        <v>6.2511492398505997</v>
      </c>
      <c r="L10" s="2" t="s">
        <v>348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</v>
      </c>
      <c r="H11" s="3">
        <v>1.8936129690103001</v>
      </c>
      <c r="I11" s="3">
        <v>1.6914477660341001</v>
      </c>
      <c r="J11" s="3">
        <v>1.0684931506849</v>
      </c>
      <c r="K11" s="3">
        <v>1.0369888393804001</v>
      </c>
      <c r="L11" s="2" t="s">
        <v>348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87.23</v>
      </c>
      <c r="H12" s="3">
        <v>3.6656681715914998</v>
      </c>
      <c r="I12" s="3">
        <v>3.3544912853359001</v>
      </c>
      <c r="J12" s="3">
        <v>11.328767123287999</v>
      </c>
      <c r="K12" s="3">
        <v>9.5556685633981004</v>
      </c>
      <c r="L12" s="2" t="s">
        <v>348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</v>
      </c>
      <c r="H13" s="3">
        <v>4.2448682290399002</v>
      </c>
      <c r="I13" s="3">
        <v>3.7697869528184</v>
      </c>
      <c r="J13" s="3">
        <v>22.832876712329</v>
      </c>
      <c r="K13" s="3">
        <v>14.784103212543</v>
      </c>
      <c r="L13" s="2" t="s">
        <v>348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90.65</v>
      </c>
      <c r="H14" s="3">
        <v>3.9746410757013</v>
      </c>
      <c r="I14" s="3">
        <v>3.5552310668113001</v>
      </c>
      <c r="J14" s="3">
        <v>14.827397260273999</v>
      </c>
      <c r="K14" s="3">
        <v>11.306523725053999</v>
      </c>
      <c r="L14" s="2" t="s">
        <v>348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98.305999999999997</v>
      </c>
      <c r="H15" s="3">
        <v>1.8855583802378</v>
      </c>
      <c r="I15" s="3">
        <v>1.8728535347332</v>
      </c>
      <c r="J15" s="3">
        <v>0.90136986301370003</v>
      </c>
      <c r="K15" s="3">
        <v>0.88490754510088998</v>
      </c>
      <c r="L15" s="2" t="s">
        <v>348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59.44</v>
      </c>
      <c r="H16" s="3">
        <v>4.1468766231148999</v>
      </c>
      <c r="I16" s="3">
        <v>3.7468043945227998</v>
      </c>
      <c r="J16" s="3">
        <v>46.849315068492999</v>
      </c>
      <c r="K16" s="3">
        <v>23.113132786015999</v>
      </c>
      <c r="L16" s="2" t="s">
        <v>348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94.32</v>
      </c>
      <c r="H17" s="3">
        <v>3.8480262805287002</v>
      </c>
      <c r="I17" s="3">
        <v>3.4183781237141999</v>
      </c>
      <c r="J17" s="3">
        <v>12.824657534247001</v>
      </c>
      <c r="K17" s="3">
        <v>10.058974207897</v>
      </c>
      <c r="L17" s="2" t="s">
        <v>348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98.43</v>
      </c>
      <c r="H18" s="3">
        <v>1.9544643857802999</v>
      </c>
      <c r="I18" s="3">
        <v>1.8143018306828</v>
      </c>
      <c r="J18" s="3">
        <v>1.9013698630136999</v>
      </c>
      <c r="K18" s="3">
        <v>1.8487433900713</v>
      </c>
      <c r="L18" s="2" t="s">
        <v>348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103.36</v>
      </c>
      <c r="H19" s="3">
        <v>2.5052933536495998</v>
      </c>
      <c r="I19" s="3">
        <v>2.0865155496276002</v>
      </c>
      <c r="J19" s="3">
        <v>4.1534246575343001</v>
      </c>
      <c r="K19" s="3">
        <v>3.7821968678431999</v>
      </c>
      <c r="L19" s="2" t="s">
        <v>348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103.3</v>
      </c>
      <c r="H20" s="3">
        <v>3.4519192878476002</v>
      </c>
      <c r="I20" s="3">
        <v>2.9707459445704001</v>
      </c>
      <c r="J20" s="3">
        <v>9.1561643835616007</v>
      </c>
      <c r="K20" s="3">
        <v>7.4773875792951001</v>
      </c>
      <c r="L20" s="2" t="s">
        <v>348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94.21</v>
      </c>
      <c r="H21" s="3">
        <v>2.7952705623374001</v>
      </c>
      <c r="I21" s="3">
        <v>2.5745880278144</v>
      </c>
      <c r="J21" s="3">
        <v>5.5726027397260003</v>
      </c>
      <c r="K21" s="3">
        <v>5.1572518713675999</v>
      </c>
      <c r="L21" s="2" t="s">
        <v>348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87.97</v>
      </c>
      <c r="H22" s="3">
        <v>3.0003441124660002</v>
      </c>
      <c r="I22" s="3">
        <v>2.8702994192645002</v>
      </c>
      <c r="J22" s="3">
        <v>6.5726027397260003</v>
      </c>
      <c r="K22" s="3">
        <v>6.1575443194853996</v>
      </c>
      <c r="L22" s="2" t="s">
        <v>348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104.8</v>
      </c>
      <c r="H23" s="3">
        <v>2.2654923730340002</v>
      </c>
      <c r="I23" s="3">
        <v>1.7992688596177</v>
      </c>
      <c r="J23" s="3">
        <v>3.2383561643836001</v>
      </c>
      <c r="K23" s="3">
        <v>2.9866945226438002</v>
      </c>
      <c r="L23" s="2" t="s">
        <v>348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112.58</v>
      </c>
      <c r="H24" s="3">
        <v>3.4282218004587999</v>
      </c>
      <c r="I24" s="3">
        <v>2.8348145373981</v>
      </c>
      <c r="J24" s="3">
        <v>9.2410958904109997</v>
      </c>
      <c r="K24" s="3">
        <v>7.2944995015055003</v>
      </c>
      <c r="L24" s="2" t="s">
        <v>348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103.35</v>
      </c>
      <c r="H25" s="3">
        <v>3.6754853194170001</v>
      </c>
      <c r="I25" s="3">
        <v>3.1774144960856998</v>
      </c>
      <c r="J25" s="3">
        <v>11.747945205479001</v>
      </c>
      <c r="K25" s="3">
        <v>9.1055545862678997</v>
      </c>
      <c r="L25" s="2" t="s">
        <v>348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111.87</v>
      </c>
      <c r="H26" s="3">
        <v>3.9406731106924</v>
      </c>
      <c r="I26" s="3">
        <v>3.3472753494888998</v>
      </c>
      <c r="J26" s="3">
        <v>14.243835616438</v>
      </c>
      <c r="K26" s="3">
        <v>10.082048041679</v>
      </c>
      <c r="L26" s="2" t="s">
        <v>348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99.08</v>
      </c>
      <c r="H27" s="3">
        <v>1.8546073479136</v>
      </c>
      <c r="I27" s="3">
        <v>1.6961814785774001</v>
      </c>
      <c r="J27" s="3">
        <v>1.5698630136986</v>
      </c>
      <c r="K27" s="3">
        <v>1.5229356705171999</v>
      </c>
      <c r="L27" s="2" t="s">
        <v>348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101.94</v>
      </c>
      <c r="H28" s="3">
        <v>2.2411448923547002</v>
      </c>
      <c r="I28" s="3">
        <v>1.8872608590279001</v>
      </c>
      <c r="J28" s="3">
        <v>3.5726027397259998</v>
      </c>
      <c r="K28" s="3">
        <v>3.3125130643646998</v>
      </c>
      <c r="L28" s="2" t="s">
        <v>348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98.948999999999998</v>
      </c>
      <c r="H29" s="3">
        <v>1.9068477230717999</v>
      </c>
      <c r="I29" s="3">
        <v>1.8366330424818</v>
      </c>
      <c r="J29" s="3">
        <v>0.73972602739726001</v>
      </c>
      <c r="K29" s="3">
        <v>0.72748931243748005</v>
      </c>
      <c r="L29" s="2" t="s">
        <v>348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97.75</v>
      </c>
      <c r="H30" s="3">
        <v>1.8505344152264001</v>
      </c>
      <c r="I30" s="3">
        <v>1.8484128143272001</v>
      </c>
      <c r="J30" s="3">
        <v>1.2356164383562001</v>
      </c>
      <c r="K30" s="3">
        <v>1.218546272277</v>
      </c>
      <c r="L30" s="2" t="s">
        <v>348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102.76</v>
      </c>
      <c r="H31" s="3">
        <v>3.5403710434222</v>
      </c>
      <c r="I31" s="3">
        <v>3.0594437176887999</v>
      </c>
      <c r="J31" s="3">
        <v>9.7452054794520997</v>
      </c>
      <c r="K31" s="3">
        <v>7.8854636837671999</v>
      </c>
      <c r="L31" s="2" t="s">
        <v>348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111.44</v>
      </c>
      <c r="H32" s="3">
        <v>4.0291195000090001</v>
      </c>
      <c r="I32" s="3">
        <v>3.4331239285281998</v>
      </c>
      <c r="J32" s="3">
        <v>15.331506849315</v>
      </c>
      <c r="K32" s="3">
        <v>10.639884803895001</v>
      </c>
      <c r="L32" s="2" t="s">
        <v>348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102.027</v>
      </c>
      <c r="H33" s="3">
        <v>1.9621139403900001</v>
      </c>
      <c r="I33" s="3">
        <v>1.4152614350031001</v>
      </c>
      <c r="J33" s="3">
        <v>0.81643835616437999</v>
      </c>
      <c r="K33" s="3">
        <v>0.79297756851842005</v>
      </c>
      <c r="L33" s="2" t="s">
        <v>348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</v>
      </c>
      <c r="H34" s="3">
        <v>4.2162184882995</v>
      </c>
      <c r="I34" s="3">
        <v>3.7640577625286999</v>
      </c>
      <c r="J34" s="3">
        <v>21.334246575342998</v>
      </c>
      <c r="K34" s="3">
        <v>14.364704237838</v>
      </c>
      <c r="L34" s="2" t="s">
        <v>348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100.057</v>
      </c>
      <c r="H35" s="3">
        <v>1.8690195120329001</v>
      </c>
      <c r="I35" s="3">
        <v>1.6230407783470999</v>
      </c>
      <c r="J35" s="3">
        <v>0.56986301369863002</v>
      </c>
      <c r="K35" s="3">
        <v>0.55466818478757995</v>
      </c>
      <c r="L35" s="2" t="s">
        <v>348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71.22</v>
      </c>
      <c r="H36" s="3">
        <v>4.3282311325484004</v>
      </c>
      <c r="I36" s="3">
        <v>3.8712220089879001</v>
      </c>
      <c r="J36" s="3">
        <v>41.843835616438</v>
      </c>
      <c r="K36" s="3">
        <v>20.582046623795001</v>
      </c>
      <c r="L36" s="2" t="s">
        <v>348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94.17</v>
      </c>
      <c r="H37" s="3">
        <v>3.2786530960596001</v>
      </c>
      <c r="I37" s="3">
        <v>2.9530652260410002</v>
      </c>
      <c r="J37" s="3">
        <v>8.3260273972602992</v>
      </c>
      <c r="K37" s="3">
        <v>7.2811629646854001</v>
      </c>
      <c r="L37" s="2" t="s">
        <v>348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90.97</v>
      </c>
      <c r="H38" s="3">
        <v>3.8543820947895999</v>
      </c>
      <c r="I38" s="3">
        <v>3.4571625222351998</v>
      </c>
      <c r="J38" s="3">
        <v>13.328767123287999</v>
      </c>
      <c r="K38" s="3">
        <v>10.518100807319</v>
      </c>
      <c r="L38" s="2" t="s">
        <v>348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99.01</v>
      </c>
      <c r="H39" s="3">
        <v>3.4978159461802001</v>
      </c>
      <c r="I39" s="3">
        <v>3.0681370919997</v>
      </c>
      <c r="J39" s="3">
        <v>9.8219178082191991</v>
      </c>
      <c r="K39" s="3">
        <v>8.1090294076775002</v>
      </c>
      <c r="L39" s="2" t="s">
        <v>348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94.18</v>
      </c>
      <c r="H40" s="3">
        <v>4.2767435804109999</v>
      </c>
      <c r="I40" s="3">
        <v>3.7660270883656999</v>
      </c>
      <c r="J40" s="3">
        <v>24.336986301370001</v>
      </c>
      <c r="K40" s="3">
        <v>14.977976390067999</v>
      </c>
      <c r="L40" s="2" t="s">
        <v>348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94.3</v>
      </c>
      <c r="H41" s="3">
        <v>2.6112402996081001</v>
      </c>
      <c r="I41" s="3">
        <v>2.4347575496610001</v>
      </c>
      <c r="J41" s="3">
        <v>4.9041095890411004</v>
      </c>
      <c r="K41" s="3">
        <v>4.6294168834478997</v>
      </c>
      <c r="L41" s="2" t="s">
        <v>348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72.45</v>
      </c>
      <c r="H42" s="3">
        <v>4.2753410774749998</v>
      </c>
      <c r="I42" s="3">
        <v>3.8908507400080001</v>
      </c>
      <c r="J42" s="3">
        <v>25.336986301370001</v>
      </c>
      <c r="K42" s="3">
        <v>16.877095024795999</v>
      </c>
      <c r="L42" s="2" t="s">
        <v>348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60.92</v>
      </c>
      <c r="H43" s="3">
        <v>4.1959800279964998</v>
      </c>
      <c r="I43" s="3">
        <v>3.8985972636144002</v>
      </c>
      <c r="J43" s="3">
        <v>26.336986301370001</v>
      </c>
      <c r="K43" s="3">
        <v>18.685887158819</v>
      </c>
      <c r="L43" s="2" t="s">
        <v>348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104.05</v>
      </c>
      <c r="H44" s="3">
        <v>4.1715543239331998</v>
      </c>
      <c r="I44" s="3">
        <v>3.6177613977455998</v>
      </c>
      <c r="J44" s="3">
        <v>18.331506849315002</v>
      </c>
      <c r="K44" s="3">
        <v>12.240708421214</v>
      </c>
      <c r="L44" s="2" t="s">
        <v>348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106.38</v>
      </c>
      <c r="H45" s="3">
        <v>3.3838790413491999</v>
      </c>
      <c r="I45" s="3">
        <v>2.8699959079371999</v>
      </c>
      <c r="J45" s="3">
        <v>8.8219178082191991</v>
      </c>
      <c r="K45" s="3">
        <v>7.2171211396028001</v>
      </c>
      <c r="L45" s="2" t="s">
        <v>348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89.5</v>
      </c>
      <c r="H46" s="3">
        <v>2.8641951657660001</v>
      </c>
      <c r="I46" s="3">
        <v>2.7429526395860999</v>
      </c>
      <c r="J46" s="3">
        <v>5.9041095890411004</v>
      </c>
      <c r="K46" s="3">
        <v>5.5876477066954999</v>
      </c>
      <c r="L46" s="2" t="s">
        <v>348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86.68</v>
      </c>
      <c r="H47" s="3">
        <v>3.0807766162484</v>
      </c>
      <c r="I47" s="3">
        <v>2.9407609064643001</v>
      </c>
      <c r="J47" s="3">
        <v>7.0739726027397003</v>
      </c>
      <c r="K47" s="3">
        <v>6.6025274323590999</v>
      </c>
      <c r="L47" s="2" t="s">
        <v>348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108.27</v>
      </c>
      <c r="H48" s="3">
        <v>3.2392055306867</v>
      </c>
      <c r="I48" s="3">
        <v>2.7068952637189998</v>
      </c>
      <c r="J48" s="3">
        <v>7.9890410958903999</v>
      </c>
      <c r="K48" s="3">
        <v>6.6604413921101999</v>
      </c>
      <c r="L48" s="2" t="s">
        <v>348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107.85</v>
      </c>
      <c r="H49" s="3">
        <v>1.8598911641439</v>
      </c>
      <c r="I49" s="3">
        <v>0.99561597163603999</v>
      </c>
      <c r="J49" s="3">
        <v>1.4876712328766999</v>
      </c>
      <c r="K49" s="3">
        <v>1.4144851093447</v>
      </c>
      <c r="L49" s="2" t="s">
        <v>348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110.79</v>
      </c>
      <c r="H50" s="3">
        <v>2.0298467808134002</v>
      </c>
      <c r="I50" s="3">
        <v>1.2626321008328001</v>
      </c>
      <c r="J50" s="3">
        <v>2.4876712328766999</v>
      </c>
      <c r="K50" s="3">
        <v>2.2977740992417002</v>
      </c>
      <c r="L50" s="2" t="s">
        <v>348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111.78</v>
      </c>
      <c r="H51" s="3">
        <v>2.4700186483820001</v>
      </c>
      <c r="I51" s="3">
        <v>1.8491115751392</v>
      </c>
      <c r="J51" s="3">
        <v>4.4904109589040999</v>
      </c>
      <c r="K51" s="3">
        <v>3.9861386300141999</v>
      </c>
      <c r="L51" s="2" t="s">
        <v>348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117.38</v>
      </c>
      <c r="H52" s="3">
        <v>2.8395280457118002</v>
      </c>
      <c r="I52" s="3">
        <v>2.1490948104116998</v>
      </c>
      <c r="J52" s="3">
        <v>5.9863013698629999</v>
      </c>
      <c r="K52" s="3">
        <v>5.0519750742607004</v>
      </c>
      <c r="L52" s="2" t="s">
        <v>348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99.941000000000003</v>
      </c>
      <c r="H53" s="3">
        <v>2.2302404781903</v>
      </c>
      <c r="I53" s="3">
        <v>2.0545963212107998</v>
      </c>
      <c r="J53" s="3">
        <v>6.8493150684932003E-2</v>
      </c>
      <c r="K53" s="3">
        <v>6.9681533894785E-2</v>
      </c>
      <c r="L53" s="2" t="s">
        <v>348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91.51</v>
      </c>
      <c r="H54" s="3">
        <v>2.7167302848772001</v>
      </c>
      <c r="I54" s="3">
        <v>2.5851964527011</v>
      </c>
      <c r="J54" s="3">
        <v>5.2383561643835996</v>
      </c>
      <c r="K54" s="3">
        <v>4.9675299849911996</v>
      </c>
      <c r="L54" s="2" t="s">
        <v>348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107.58</v>
      </c>
      <c r="H55" s="3">
        <v>3.1189672153057</v>
      </c>
      <c r="I55" s="3">
        <v>2.6136683303626</v>
      </c>
      <c r="J55" s="3">
        <v>8.4931506849314999</v>
      </c>
      <c r="K55" s="3">
        <v>7.0260098731182996</v>
      </c>
      <c r="L55" s="2" t="s">
        <v>348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100.04</v>
      </c>
      <c r="H56" s="3">
        <v>3.6253499807266998</v>
      </c>
      <c r="I56" s="3">
        <v>3.1681652805135001</v>
      </c>
      <c r="J56" s="3">
        <v>10.408219178082</v>
      </c>
      <c r="K56" s="3">
        <v>8.4620977092931007</v>
      </c>
      <c r="L56" s="2" t="s">
        <v>348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101.87</v>
      </c>
      <c r="H57" s="3">
        <v>2.5617118522251001</v>
      </c>
      <c r="I57" s="3">
        <v>2.1807241595334999</v>
      </c>
      <c r="J57" s="3">
        <v>4.4054794520548004</v>
      </c>
      <c r="K57" s="3">
        <v>4.0476377288391996</v>
      </c>
      <c r="L57" s="2" t="s">
        <v>348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106.08</v>
      </c>
      <c r="H58" s="3">
        <v>2.4001521481996999</v>
      </c>
      <c r="I58" s="3">
        <v>1.8743274327587001</v>
      </c>
      <c r="J58" s="3">
        <v>3.7424657534247001</v>
      </c>
      <c r="K58" s="3">
        <v>3.4003200349952998</v>
      </c>
      <c r="L58" s="2" t="s">
        <v>348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101.02</v>
      </c>
      <c r="H59" s="3">
        <v>2.7539458650244999</v>
      </c>
      <c r="I59" s="3">
        <v>2.3828440014768</v>
      </c>
      <c r="J59" s="3">
        <v>5.1534246575343001</v>
      </c>
      <c r="K59" s="3">
        <v>4.6676474503231997</v>
      </c>
      <c r="L59" s="2" t="s">
        <v>348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95.7</v>
      </c>
      <c r="H60" s="3">
        <v>3.1644590706471001</v>
      </c>
      <c r="I60" s="3">
        <v>2.8161165087328</v>
      </c>
      <c r="J60" s="3">
        <v>7.5753424657534003</v>
      </c>
      <c r="K60" s="3">
        <v>6.6443439608077997</v>
      </c>
      <c r="L60" s="2" t="s">
        <v>348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100.2</v>
      </c>
      <c r="H61" s="3">
        <v>1.9664560509908999</v>
      </c>
      <c r="I61" s="3">
        <v>1.6986448206381</v>
      </c>
      <c r="J61" s="3">
        <v>2.2356164383562001</v>
      </c>
      <c r="K61" s="3">
        <v>2.1460591286414998</v>
      </c>
      <c r="L61" s="2" t="s">
        <v>348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101.41</v>
      </c>
      <c r="H62" s="3">
        <v>2.0929369557867998</v>
      </c>
      <c r="I62" s="3">
        <v>1.7534026744722999</v>
      </c>
      <c r="J62" s="3">
        <v>2.5698630136985998</v>
      </c>
      <c r="K62" s="3">
        <v>2.4236785938934999</v>
      </c>
      <c r="L62" s="2" t="s">
        <v>348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79.239999999999995</v>
      </c>
      <c r="H63" s="3">
        <v>4.1966985591182002</v>
      </c>
      <c r="I63" s="3">
        <v>3.7980078777998001</v>
      </c>
      <c r="J63" s="3">
        <v>21.830136986301</v>
      </c>
      <c r="K63" s="3">
        <v>15.138629979115001</v>
      </c>
      <c r="L63" s="2" t="s">
        <v>348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73.81</v>
      </c>
      <c r="H64" s="3">
        <v>3.7381951190298</v>
      </c>
      <c r="I64" s="3">
        <v>3.5916457821494001</v>
      </c>
      <c r="J64" s="3">
        <v>11.824657534247001</v>
      </c>
      <c r="K64" s="3">
        <v>10.659168484771</v>
      </c>
      <c r="L64" s="2" t="s">
        <v>348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66.34</v>
      </c>
      <c r="H65" s="3">
        <v>4.2838441778384002</v>
      </c>
      <c r="I65" s="3">
        <v>3.9278631436657001</v>
      </c>
      <c r="J65" s="3">
        <v>27.339726027396999</v>
      </c>
      <c r="K65" s="3">
        <v>18.127292827015001</v>
      </c>
      <c r="L65" s="2" t="s">
        <v>348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101.65</v>
      </c>
      <c r="H66" s="3">
        <v>2.0066482009125002</v>
      </c>
      <c r="I66" s="3">
        <v>1.6321343687618</v>
      </c>
      <c r="J66" s="3">
        <v>1.7780821917808001</v>
      </c>
      <c r="K66" s="3">
        <v>1.7012134203947999</v>
      </c>
      <c r="L66" s="2" t="s">
        <v>348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100.66</v>
      </c>
      <c r="H67" s="3">
        <v>3.6023434063159998</v>
      </c>
      <c r="I67" s="3">
        <v>3.1362878032224999</v>
      </c>
      <c r="J67" s="3">
        <v>10.241095890411</v>
      </c>
      <c r="K67" s="3">
        <v>8.2658744046708001</v>
      </c>
      <c r="L67" s="2" t="s">
        <v>348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100.24</v>
      </c>
      <c r="H68" s="3">
        <v>1.9056597345266999</v>
      </c>
      <c r="I68" s="3">
        <v>1.6411957270108</v>
      </c>
      <c r="J68" s="3">
        <v>1.1890410958904001</v>
      </c>
      <c r="K68" s="3">
        <v>1.1516307608908001</v>
      </c>
      <c r="L68" s="2" t="s">
        <v>348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102.76</v>
      </c>
      <c r="H69" s="3">
        <v>2.9793523634991002</v>
      </c>
      <c r="I69" s="3">
        <v>2.5492109322776999</v>
      </c>
      <c r="J69" s="3">
        <v>6.1917808219178001</v>
      </c>
      <c r="K69" s="3">
        <v>5.4195395451435999</v>
      </c>
      <c r="L69" s="2" t="s">
        <v>348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74.3</v>
      </c>
      <c r="H70" s="3">
        <v>4.0471560427849997</v>
      </c>
      <c r="I70" s="3">
        <v>3.7739777312872</v>
      </c>
      <c r="J70" s="3">
        <v>15.827397260273999</v>
      </c>
      <c r="K70" s="3">
        <v>12.858947887578999</v>
      </c>
      <c r="L70" s="2" t="s">
        <v>348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106.13</v>
      </c>
      <c r="H71" s="3">
        <v>2.8101804305644</v>
      </c>
      <c r="I71" s="3">
        <v>2.3215217199999998</v>
      </c>
      <c r="J71" s="3">
        <v>5.5287671232877003</v>
      </c>
      <c r="K71" s="3">
        <v>4.8098461868301001</v>
      </c>
      <c r="L71" s="2" t="s">
        <v>348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98.12</v>
      </c>
      <c r="H72" s="3">
        <v>1.9928655391512999</v>
      </c>
      <c r="I72" s="3">
        <v>1.8783125929421001</v>
      </c>
      <c r="J72" s="3">
        <v>1.6931506849314999</v>
      </c>
      <c r="K72" s="3">
        <v>1.6474573861793</v>
      </c>
      <c r="L72" s="2" t="s">
        <v>348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93.24</v>
      </c>
      <c r="H73" s="3">
        <v>2.3410855932492001</v>
      </c>
      <c r="I73" s="3">
        <v>2.2654225596658999</v>
      </c>
      <c r="J73" s="3">
        <v>3.7808219178082001</v>
      </c>
      <c r="K73" s="3">
        <v>3.6622637647229999</v>
      </c>
      <c r="L73" s="2" t="s">
        <v>348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105.57</v>
      </c>
      <c r="H74" s="3">
        <v>2.5714990693903998</v>
      </c>
      <c r="I74" s="3">
        <v>2.1007128013052001</v>
      </c>
      <c r="J74" s="3">
        <v>4.6109589041095997</v>
      </c>
      <c r="K74" s="3">
        <v>4.1192259231661001</v>
      </c>
      <c r="L74" s="2" t="s">
        <v>348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101.49</v>
      </c>
      <c r="H75" s="3">
        <v>2.0799765664780998</v>
      </c>
      <c r="I75" s="3">
        <v>1.7409140763702</v>
      </c>
      <c r="J75" s="3">
        <v>2.4410958904109998</v>
      </c>
      <c r="K75" s="3">
        <v>2.3275158729987999</v>
      </c>
      <c r="L75" s="2" t="s">
        <v>348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103.3</v>
      </c>
      <c r="H76" s="3">
        <v>2.8911053017863999</v>
      </c>
      <c r="I76" s="3">
        <v>2.4549065395272001</v>
      </c>
      <c r="J76" s="3">
        <v>5.7808219178081997</v>
      </c>
      <c r="K76" s="3">
        <v>5.1117926295688996</v>
      </c>
      <c r="L76" s="2" t="s">
        <v>348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101.684</v>
      </c>
      <c r="H77" s="3">
        <v>1.9633795360148001</v>
      </c>
      <c r="I77" s="3">
        <v>1.4975653945655001</v>
      </c>
      <c r="J77" s="3">
        <v>0.93972602739725997</v>
      </c>
      <c r="K77" s="3">
        <v>0.91283019733155002</v>
      </c>
      <c r="L77" s="2" t="s">
        <v>348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101.44</v>
      </c>
      <c r="H78" s="3">
        <v>2.4423792958327999</v>
      </c>
      <c r="I78" s="3">
        <v>2.0916561538031</v>
      </c>
      <c r="J78" s="3">
        <v>4.1095890410958997</v>
      </c>
      <c r="K78" s="3">
        <v>3.7788081802117999</v>
      </c>
      <c r="L78" s="2" t="s">
        <v>348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97.63</v>
      </c>
      <c r="H79" s="3">
        <v>1.9917656041214</v>
      </c>
      <c r="I79" s="3">
        <v>1.8702965401019001</v>
      </c>
      <c r="J79" s="3">
        <v>2.358904109589</v>
      </c>
      <c r="K79" s="3">
        <v>2.2893929675067</v>
      </c>
      <c r="L79" s="2" t="s">
        <v>348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101.22</v>
      </c>
      <c r="H80" s="3">
        <v>2.2522388825509001</v>
      </c>
      <c r="I80" s="3">
        <v>1.9085463752181999</v>
      </c>
      <c r="J80" s="3">
        <v>3.1095890410959002</v>
      </c>
      <c r="K80" s="3">
        <v>2.9291061116148001</v>
      </c>
      <c r="L80" s="2" t="s">
        <v>348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104.77</v>
      </c>
      <c r="H81" s="3">
        <v>2.7076025667002002</v>
      </c>
      <c r="I81" s="3">
        <v>2.2255990667632002</v>
      </c>
      <c r="J81" s="3">
        <v>5.1095890410958997</v>
      </c>
      <c r="K81" s="3">
        <v>4.5323794084813001</v>
      </c>
      <c r="L81" s="2" t="s">
        <v>348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94.84</v>
      </c>
      <c r="H82" s="3">
        <v>2.1902339646622</v>
      </c>
      <c r="I82" s="3">
        <v>2.1041089276121001</v>
      </c>
      <c r="J82" s="3">
        <v>3.1917808219178001</v>
      </c>
      <c r="K82" s="3">
        <v>3.1022037266732001</v>
      </c>
      <c r="L82" s="2" t="s">
        <v>348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103.04</v>
      </c>
      <c r="H83" s="3">
        <v>2.0349416379007002</v>
      </c>
      <c r="I83" s="3">
        <v>1.6078444476360001</v>
      </c>
      <c r="J83" s="3">
        <v>2.1890410958904001</v>
      </c>
      <c r="K83" s="3">
        <v>2.0654370771499</v>
      </c>
      <c r="L83" s="2" t="s">
        <v>348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</v>
      </c>
      <c r="H84" s="3">
        <v>1.9763991820818001</v>
      </c>
      <c r="I84" s="3">
        <v>1.5007265238066001</v>
      </c>
      <c r="J84" s="3">
        <v>1.358904109589</v>
      </c>
      <c r="K84" s="3">
        <v>1.3053471059419</v>
      </c>
      <c r="L84" s="2" t="s">
        <v>348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100.282</v>
      </c>
      <c r="H85" s="3">
        <v>1.8935447639367</v>
      </c>
      <c r="I85" s="3">
        <v>1.5884202269942</v>
      </c>
      <c r="J85" s="3">
        <v>0.52602739726027004</v>
      </c>
      <c r="K85" s="3">
        <v>0.51556547952859</v>
      </c>
      <c r="L85" s="2" t="s">
        <v>348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98.41</v>
      </c>
      <c r="H86" s="3">
        <v>4.4416265501082002</v>
      </c>
      <c r="I86" s="3">
        <v>3.8869231028860001</v>
      </c>
      <c r="J86" s="3">
        <v>29.421917808219</v>
      </c>
      <c r="K86" s="3">
        <v>16.079706370918</v>
      </c>
      <c r="L86" s="2" t="s">
        <v>348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101.003</v>
      </c>
      <c r="H87" s="3">
        <v>1.9959706869914</v>
      </c>
      <c r="I87" s="3">
        <v>1.5655314233711</v>
      </c>
      <c r="J87" s="3">
        <v>0.69315068493151</v>
      </c>
      <c r="K87" s="3">
        <v>0.67130017383211005</v>
      </c>
      <c r="L87" s="2" t="s">
        <v>348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</v>
      </c>
      <c r="H88" s="3">
        <v>2.1089404256996001</v>
      </c>
      <c r="I88" s="3">
        <v>2.0702672436266001</v>
      </c>
      <c r="J88" s="3">
        <v>2.8575342465753</v>
      </c>
      <c r="K88" s="3">
        <v>2.7890496862987</v>
      </c>
      <c r="L88" s="2" t="s">
        <v>348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80.77</v>
      </c>
      <c r="H89" s="3">
        <v>3.6417486658981999</v>
      </c>
      <c r="I89" s="3">
        <v>3.4313399385653001</v>
      </c>
      <c r="J89" s="3">
        <v>10.824657534247001</v>
      </c>
      <c r="K89" s="3">
        <v>9.5700539347723996</v>
      </c>
      <c r="L89" s="2" t="s">
        <v>348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97.83</v>
      </c>
      <c r="H90" s="3">
        <v>4.0778217591445998</v>
      </c>
      <c r="I90" s="3">
        <v>3.5774612939627</v>
      </c>
      <c r="J90" s="3">
        <v>15.413698630137</v>
      </c>
      <c r="K90" s="3">
        <v>11.220090119262</v>
      </c>
      <c r="L90" s="2" t="s">
        <v>348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99.766000000000005</v>
      </c>
      <c r="H91" s="3">
        <v>2.0350617001872999</v>
      </c>
      <c r="I91" s="3">
        <v>1.8736775761707001</v>
      </c>
      <c r="J91" s="3">
        <v>0.27397260273973001</v>
      </c>
      <c r="K91" s="3">
        <v>0.26853984329945002</v>
      </c>
      <c r="L91" s="2" t="s">
        <v>348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9.8739726027397001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107.97</v>
      </c>
      <c r="H93" s="3">
        <v>2.2520077716864999</v>
      </c>
      <c r="I93" s="3">
        <v>1.6804214646827</v>
      </c>
      <c r="J93" s="3">
        <v>3.3232876712329</v>
      </c>
      <c r="K93" s="3">
        <v>3.0311811158804001</v>
      </c>
      <c r="L93" s="2" t="s">
        <v>348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102.1</v>
      </c>
      <c r="H94" s="3">
        <v>4.4143175905428</v>
      </c>
      <c r="I94" s="3">
        <v>3.8481855881435001</v>
      </c>
      <c r="J94" s="3">
        <v>28.421917808219</v>
      </c>
      <c r="K94" s="3">
        <v>15.683016855089001</v>
      </c>
      <c r="L94" s="2" t="s">
        <v>348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100.64</v>
      </c>
      <c r="H95" s="3">
        <v>3.1731365361653001</v>
      </c>
      <c r="I95" s="3">
        <v>2.7625628560251001</v>
      </c>
      <c r="J95" s="3">
        <v>7.1945205479452001</v>
      </c>
      <c r="K95" s="3">
        <v>6.2697165731073996</v>
      </c>
      <c r="L95" s="2" t="s">
        <v>348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100.854</v>
      </c>
      <c r="H96" s="3">
        <v>1.9783250315004</v>
      </c>
      <c r="I96" s="3">
        <v>1.5663492751085999</v>
      </c>
      <c r="J96" s="3">
        <v>0.72876712328767002</v>
      </c>
      <c r="K96" s="3">
        <v>0.70705475179444</v>
      </c>
      <c r="L96" s="2" t="s">
        <v>348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100.58</v>
      </c>
      <c r="H97" s="3">
        <v>2.0619176969774999</v>
      </c>
      <c r="I97" s="3">
        <v>1.6201162759087999</v>
      </c>
      <c r="J97" s="3">
        <v>0.3972602739726</v>
      </c>
      <c r="K97" s="3">
        <v>0.38929794000047002</v>
      </c>
      <c r="L97" s="2" t="s">
        <v>348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99.959000000000003</v>
      </c>
      <c r="H98" s="3">
        <v>2.0955256567101999</v>
      </c>
      <c r="I98" s="3">
        <v>1.8612050122315</v>
      </c>
      <c r="J98" s="3">
        <v>0.15068493150685</v>
      </c>
      <c r="K98" s="3">
        <v>0.14760263544798999</v>
      </c>
      <c r="L98" s="2" t="s">
        <v>348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101.46</v>
      </c>
      <c r="H99" s="3">
        <v>1.9794923453733</v>
      </c>
      <c r="I99" s="3">
        <v>1.5921587791395</v>
      </c>
      <c r="J99" s="3">
        <v>1.3095890410958999</v>
      </c>
      <c r="K99" s="3">
        <v>1.2621759138666</v>
      </c>
      <c r="L99" s="2" t="s">
        <v>348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100.74</v>
      </c>
      <c r="H100" s="3">
        <v>3.0412729865103998</v>
      </c>
      <c r="I100" s="3">
        <v>2.6443844981359002</v>
      </c>
      <c r="J100" s="3">
        <v>6.5287671232877003</v>
      </c>
      <c r="K100" s="3">
        <v>5.6991300873236996</v>
      </c>
      <c r="L100" s="2" t="s">
        <v>348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100.96</v>
      </c>
      <c r="H101" s="3">
        <v>2.0129151238138001</v>
      </c>
      <c r="I101" s="3">
        <v>1.6883379806261001</v>
      </c>
      <c r="J101" s="3">
        <v>1.8054794520548001</v>
      </c>
      <c r="K101" s="3">
        <v>1.7332630014503001</v>
      </c>
      <c r="L101" s="2" t="s">
        <v>348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103.51</v>
      </c>
      <c r="H102" s="3">
        <v>2.1510630095037002</v>
      </c>
      <c r="I102" s="3">
        <v>1.718570875013</v>
      </c>
      <c r="J102" s="3">
        <v>2.9041095890410999</v>
      </c>
      <c r="K102" s="3">
        <v>2.7302431543906001</v>
      </c>
      <c r="L102" s="2" t="s">
        <v>348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103.74</v>
      </c>
      <c r="H103" s="3">
        <v>2.9012789542845998</v>
      </c>
      <c r="I103" s="3">
        <v>2.4404758185623998</v>
      </c>
      <c r="J103" s="3">
        <v>4.8301369863014001</v>
      </c>
      <c r="K103" s="3">
        <v>4.3238956848191004</v>
      </c>
      <c r="L103" s="2" t="s">
        <v>348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103.74</v>
      </c>
      <c r="H104" s="3">
        <v>3.0361223673423998</v>
      </c>
      <c r="I104" s="3">
        <v>2.5631675632615001</v>
      </c>
      <c r="J104" s="3">
        <v>4.8301369863014001</v>
      </c>
      <c r="K104" s="3">
        <v>4.3190298194255003</v>
      </c>
      <c r="L104" s="2" t="s">
        <v>348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105.71</v>
      </c>
      <c r="H105" s="3">
        <v>2.6037186167039001</v>
      </c>
      <c r="I105" s="3">
        <v>2.0713962813387998</v>
      </c>
      <c r="J105" s="3">
        <v>3.4301369863014002</v>
      </c>
      <c r="K105" s="3">
        <v>3.1289059437239</v>
      </c>
      <c r="L105" s="2" t="s">
        <v>348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105.71</v>
      </c>
      <c r="H106" s="3">
        <v>2.7415000026878</v>
      </c>
      <c r="I106" s="3">
        <v>2.1984286681007998</v>
      </c>
      <c r="J106" s="3">
        <v>3.4301369863014002</v>
      </c>
      <c r="K106" s="3">
        <v>3.1250516557101999</v>
      </c>
      <c r="L106" s="2" t="s">
        <v>348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103.48</v>
      </c>
      <c r="H107" s="3">
        <v>2.2672362027605</v>
      </c>
      <c r="I107" s="3">
        <v>1.7785809681839</v>
      </c>
      <c r="J107" s="3">
        <v>2.1013698630137001</v>
      </c>
      <c r="K107" s="3">
        <v>1.9724788088892</v>
      </c>
      <c r="L107" s="2" t="s">
        <v>348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103.48</v>
      </c>
      <c r="H108" s="3">
        <v>2.4977310569912001</v>
      </c>
      <c r="I108" s="3">
        <v>1.994901713515</v>
      </c>
      <c r="J108" s="3">
        <v>2.1013698630137001</v>
      </c>
      <c r="K108" s="3">
        <v>1.9681650502221999</v>
      </c>
      <c r="L108" s="2" t="s">
        <v>348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103.58</v>
      </c>
      <c r="H109" s="3">
        <v>2.9300324724200002</v>
      </c>
      <c r="I109" s="3">
        <v>2.4727549275087002</v>
      </c>
      <c r="J109" s="3">
        <v>5.0219178082192002</v>
      </c>
      <c r="K109" s="3">
        <v>4.4690527973030996</v>
      </c>
      <c r="L109" s="2" t="s">
        <v>348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103.58</v>
      </c>
      <c r="H110" s="3">
        <v>3.077973201102</v>
      </c>
      <c r="I110" s="3">
        <v>2.6067585782621001</v>
      </c>
      <c r="J110" s="3">
        <v>5.0219178082192002</v>
      </c>
      <c r="K110" s="3">
        <v>4.4635988953819998</v>
      </c>
      <c r="L110" s="2" t="s">
        <v>348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100.43</v>
      </c>
      <c r="H111" s="3">
        <v>4.8307519262007999</v>
      </c>
      <c r="I111" s="3">
        <v>4.5001080810714997</v>
      </c>
      <c r="J111" s="3">
        <v>31.043835616437999</v>
      </c>
      <c r="K111" s="3">
        <v>5.7002217281067997</v>
      </c>
      <c r="L111" s="2" t="s">
        <v>348</v>
      </c>
      <c r="M111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6E3F-F853-2940-B20D-08B285890A48}">
  <dimension ref="A1:M111"/>
  <sheetViews>
    <sheetView workbookViewId="0">
      <selection activeCell="P15" sqref="P15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117.25</v>
      </c>
      <c r="H2" s="3">
        <v>3.2352646131634</v>
      </c>
      <c r="I2" s="3">
        <v>2.5722087965479998</v>
      </c>
      <c r="J2" s="3">
        <v>7.7424657534246997</v>
      </c>
      <c r="K2" s="3">
        <v>6.2000158773517002</v>
      </c>
      <c r="L2" s="2" t="s">
        <v>349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100.52</v>
      </c>
      <c r="H3" s="3">
        <v>1.9512361392458</v>
      </c>
      <c r="I3" s="3">
        <v>1.6600441865208</v>
      </c>
      <c r="J3" s="3">
        <v>2.0657534246574998</v>
      </c>
      <c r="K3" s="3">
        <v>1.9736888335823</v>
      </c>
      <c r="L3" s="2" t="s">
        <v>349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99.81</v>
      </c>
      <c r="H4" s="3">
        <v>2.0803492289546002</v>
      </c>
      <c r="I4" s="3">
        <v>1.8231405719731999</v>
      </c>
      <c r="J4" s="3">
        <v>2.7369863013699001</v>
      </c>
      <c r="K4" s="3">
        <v>2.6093153875118</v>
      </c>
      <c r="L4" s="2" t="s">
        <v>349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102.29</v>
      </c>
      <c r="H5" s="3">
        <v>2.4412733624771001</v>
      </c>
      <c r="I5" s="3">
        <v>2.0672475357921001</v>
      </c>
      <c r="J5" s="3">
        <v>4.2356164383561996</v>
      </c>
      <c r="K5" s="3">
        <v>3.8875874045416001</v>
      </c>
      <c r="L5" s="2" t="s">
        <v>349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101.96</v>
      </c>
      <c r="H6" s="3">
        <v>4.0050724721808999</v>
      </c>
      <c r="I6" s="3">
        <v>3.4816487501448998</v>
      </c>
      <c r="J6" s="3">
        <v>14.408219178082</v>
      </c>
      <c r="K6" s="3">
        <v>10.563993105134999</v>
      </c>
      <c r="L6" s="2" t="s">
        <v>349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86.92</v>
      </c>
      <c r="H7" s="3">
        <v>2.9297020907019999</v>
      </c>
      <c r="I7" s="3">
        <v>2.8472139234870002</v>
      </c>
      <c r="J7" s="3">
        <v>6.2356164383561996</v>
      </c>
      <c r="K7" s="3">
        <v>5.9351344107464001</v>
      </c>
      <c r="L7" s="2" t="s">
        <v>349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108.05</v>
      </c>
      <c r="H8" s="3">
        <v>4.1793632390323001</v>
      </c>
      <c r="I8" s="3">
        <v>3.6012734616000999</v>
      </c>
      <c r="J8" s="3">
        <v>19.331506849315002</v>
      </c>
      <c r="K8" s="3">
        <v>12.505947628478999</v>
      </c>
      <c r="L8" s="2" t="s">
        <v>349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104.4</v>
      </c>
      <c r="H9" s="3">
        <v>2.5383629942577999</v>
      </c>
      <c r="I9" s="3">
        <v>2.1040207959348001</v>
      </c>
      <c r="J9" s="3">
        <v>4.8164383561644</v>
      </c>
      <c r="K9" s="3">
        <v>4.3465570141329</v>
      </c>
      <c r="L9" s="2" t="s">
        <v>349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91.62</v>
      </c>
      <c r="H10" s="3">
        <v>3.0403572409475998</v>
      </c>
      <c r="I10" s="3">
        <v>2.8183632821372</v>
      </c>
      <c r="J10" s="3">
        <v>6.8191780821918</v>
      </c>
      <c r="K10" s="3">
        <v>6.2477911171276004</v>
      </c>
      <c r="L10" s="2" t="s">
        <v>349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99.71</v>
      </c>
      <c r="H11" s="3">
        <v>1.8847150322924</v>
      </c>
      <c r="I11" s="3">
        <v>1.68258155169</v>
      </c>
      <c r="J11" s="3">
        <v>1.0657534246575</v>
      </c>
      <c r="K11" s="3">
        <v>1.0343911922552</v>
      </c>
      <c r="L11" s="2" t="s">
        <v>349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87.12</v>
      </c>
      <c r="H12" s="3">
        <v>3.6791185386669998</v>
      </c>
      <c r="I12" s="3">
        <v>3.3677017725888998</v>
      </c>
      <c r="J12" s="3">
        <v>11.326027397260001</v>
      </c>
      <c r="K12" s="3">
        <v>9.5506590598387007</v>
      </c>
      <c r="L12" s="2" t="s">
        <v>349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88.78</v>
      </c>
      <c r="H13" s="3">
        <v>4.2615631008725998</v>
      </c>
      <c r="I13" s="3">
        <v>3.7856860677200999</v>
      </c>
      <c r="J13" s="3">
        <v>22.830136986301</v>
      </c>
      <c r="K13" s="3">
        <v>14.768991256674999</v>
      </c>
      <c r="L13" s="2" t="s">
        <v>349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90.44</v>
      </c>
      <c r="H14" s="3">
        <v>3.9951626904561999</v>
      </c>
      <c r="I14" s="3">
        <v>3.575131472237</v>
      </c>
      <c r="J14" s="3">
        <v>14.824657534247001</v>
      </c>
      <c r="K14" s="3">
        <v>11.297448005326</v>
      </c>
      <c r="L14" s="2" t="s">
        <v>349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98.325999999999993</v>
      </c>
      <c r="H15" s="3">
        <v>1.8685973935386</v>
      </c>
      <c r="I15" s="3">
        <v>1.8558885276117001</v>
      </c>
      <c r="J15" s="3">
        <v>0.89863013698630001</v>
      </c>
      <c r="K15" s="3">
        <v>0.88236241581913999</v>
      </c>
      <c r="L15" s="2" t="s">
        <v>349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59.3</v>
      </c>
      <c r="H16" s="3">
        <v>4.1570782047914001</v>
      </c>
      <c r="I16" s="3">
        <v>3.7562302441575</v>
      </c>
      <c r="J16" s="3">
        <v>46.846575342465997</v>
      </c>
      <c r="K16" s="3">
        <v>23.081114587834001</v>
      </c>
      <c r="L16" s="2" t="s">
        <v>349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94.18</v>
      </c>
      <c r="H17" s="3">
        <v>3.8628098564239002</v>
      </c>
      <c r="I17" s="3">
        <v>3.4327570598097998</v>
      </c>
      <c r="J17" s="3">
        <v>12.821917808219</v>
      </c>
      <c r="K17" s="3">
        <v>10.052799786497999</v>
      </c>
      <c r="L17" s="2" t="s">
        <v>349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98.44</v>
      </c>
      <c r="H18" s="3">
        <v>1.9501910733476</v>
      </c>
      <c r="I18" s="3">
        <v>1.8100372824102999</v>
      </c>
      <c r="J18" s="3">
        <v>1.8986301369862999</v>
      </c>
      <c r="K18" s="3">
        <v>1.8461343444410001</v>
      </c>
      <c r="L18" s="2" t="s">
        <v>349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103.36</v>
      </c>
      <c r="H19" s="3">
        <v>2.5047431807982998</v>
      </c>
      <c r="I19" s="3">
        <v>2.0859687542662</v>
      </c>
      <c r="J19" s="3">
        <v>4.1506849315069001</v>
      </c>
      <c r="K19" s="3">
        <v>3.7795481606580998</v>
      </c>
      <c r="L19" s="2" t="s">
        <v>349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103.21</v>
      </c>
      <c r="H20" s="3">
        <v>3.4633157994158998</v>
      </c>
      <c r="I20" s="3">
        <v>2.9818770334290998</v>
      </c>
      <c r="J20" s="3">
        <v>9.1534246575343001</v>
      </c>
      <c r="K20" s="3">
        <v>7.4731713602973997</v>
      </c>
      <c r="L20" s="2" t="s">
        <v>349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94.23</v>
      </c>
      <c r="H21" s="3">
        <v>2.7917231488606999</v>
      </c>
      <c r="I21" s="3">
        <v>2.5710684355647002</v>
      </c>
      <c r="J21" s="3">
        <v>5.5698630136986003</v>
      </c>
      <c r="K21" s="3">
        <v>5.1547977657477997</v>
      </c>
      <c r="L21" s="2" t="s">
        <v>349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87.98</v>
      </c>
      <c r="H22" s="3">
        <v>2.9993420295565998</v>
      </c>
      <c r="I22" s="3">
        <v>2.8693060290507999</v>
      </c>
      <c r="J22" s="3">
        <v>6.5698630136986003</v>
      </c>
      <c r="K22" s="3">
        <v>6.1549537342388003</v>
      </c>
      <c r="L22" s="2" t="s">
        <v>349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104.99</v>
      </c>
      <c r="H23" s="3">
        <v>2.2041235482223001</v>
      </c>
      <c r="I23" s="3">
        <v>1.7385353963465</v>
      </c>
      <c r="J23" s="3">
        <v>3.2356164383562001</v>
      </c>
      <c r="K23" s="3">
        <v>2.9860226625833999</v>
      </c>
      <c r="L23" s="2" t="s">
        <v>349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112.54</v>
      </c>
      <c r="H24" s="3">
        <v>3.4326412116939</v>
      </c>
      <c r="I24" s="3">
        <v>2.8391113789473001</v>
      </c>
      <c r="J24" s="3">
        <v>9.2383561643835996</v>
      </c>
      <c r="K24" s="3">
        <v>7.2912146620287999</v>
      </c>
      <c r="L24" s="2" t="s">
        <v>349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103.14</v>
      </c>
      <c r="H25" s="3">
        <v>3.6975319199822998</v>
      </c>
      <c r="I25" s="3">
        <v>3.1988141988666001</v>
      </c>
      <c r="J25" s="3">
        <v>11.745205479452</v>
      </c>
      <c r="K25" s="3">
        <v>9.0982279135448003</v>
      </c>
      <c r="L25" s="2" t="s">
        <v>349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111.79</v>
      </c>
      <c r="H26" s="3">
        <v>3.9475272411048001</v>
      </c>
      <c r="I26" s="3">
        <v>3.3538556961273001</v>
      </c>
      <c r="J26" s="3">
        <v>14.241095890411</v>
      </c>
      <c r="K26" s="3">
        <v>10.077276861709</v>
      </c>
      <c r="L26" s="2" t="s">
        <v>349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99.07</v>
      </c>
      <c r="H27" s="3">
        <v>1.862257657355</v>
      </c>
      <c r="I27" s="3">
        <v>1.7038084326872001</v>
      </c>
      <c r="J27" s="3">
        <v>1.5671232876712</v>
      </c>
      <c r="K27" s="3">
        <v>1.5201300694913999</v>
      </c>
      <c r="L27" s="2" t="s">
        <v>349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101.91</v>
      </c>
      <c r="H28" s="3">
        <v>2.2495154432109001</v>
      </c>
      <c r="I28" s="3">
        <v>1.8955573104351999</v>
      </c>
      <c r="J28" s="3">
        <v>3.5698630136985998</v>
      </c>
      <c r="K28" s="3">
        <v>3.3095277221304</v>
      </c>
      <c r="L28" s="2" t="s">
        <v>349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98.974999999999994</v>
      </c>
      <c r="H29" s="3">
        <v>1.8764935254640001</v>
      </c>
      <c r="I29" s="3">
        <v>1.8062951872669999</v>
      </c>
      <c r="J29" s="3">
        <v>0.73698630136985999</v>
      </c>
      <c r="K29" s="3">
        <v>0.72501307469027998</v>
      </c>
      <c r="L29" s="2" t="s">
        <v>349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97.79</v>
      </c>
      <c r="H30" s="3">
        <v>1.8210214475069999</v>
      </c>
      <c r="I30" s="3">
        <v>1.8189012632021</v>
      </c>
      <c r="J30" s="3">
        <v>1.2328767123288</v>
      </c>
      <c r="K30" s="3">
        <v>1.2162087423390999</v>
      </c>
      <c r="L30" s="2" t="s">
        <v>349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102.69</v>
      </c>
      <c r="H31" s="3">
        <v>3.5488409290462002</v>
      </c>
      <c r="I31" s="3">
        <v>3.0677048062584</v>
      </c>
      <c r="J31" s="3">
        <v>9.7424657534246997</v>
      </c>
      <c r="K31" s="3">
        <v>7.8815356390761</v>
      </c>
      <c r="L31" s="2" t="s">
        <v>349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111.32</v>
      </c>
      <c r="H32" s="3">
        <v>4.0390474446797997</v>
      </c>
      <c r="I32" s="3">
        <v>3.4426449815844</v>
      </c>
      <c r="J32" s="3">
        <v>15.328767123287999</v>
      </c>
      <c r="K32" s="3">
        <v>10.63373027752</v>
      </c>
      <c r="L32" s="2" t="s">
        <v>349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102.062</v>
      </c>
      <c r="H33" s="3">
        <v>1.9116689806631</v>
      </c>
      <c r="I33" s="3">
        <v>1.3650825523522001</v>
      </c>
      <c r="J33" s="3">
        <v>0.81369863013698995</v>
      </c>
      <c r="K33" s="3">
        <v>0.79067794889981002</v>
      </c>
      <c r="L33" s="2" t="s">
        <v>349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86.71</v>
      </c>
      <c r="H34" s="3">
        <v>4.2394050354989004</v>
      </c>
      <c r="I34" s="3">
        <v>3.7862260802784</v>
      </c>
      <c r="J34" s="3">
        <v>21.331506849315002</v>
      </c>
      <c r="K34" s="3">
        <v>14.346934678028999</v>
      </c>
      <c r="L34" s="2" t="s">
        <v>349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100.06</v>
      </c>
      <c r="H35" s="3">
        <v>1.8632105705474</v>
      </c>
      <c r="I35" s="3">
        <v>1.6172387574431999</v>
      </c>
      <c r="J35" s="3">
        <v>0.56712328767122999</v>
      </c>
      <c r="K35" s="3">
        <v>0.55200910280973003</v>
      </c>
      <c r="L35" s="2" t="s">
        <v>349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70.98</v>
      </c>
      <c r="H36" s="3">
        <v>4.3445783988078004</v>
      </c>
      <c r="I36" s="3">
        <v>3.8863384126136</v>
      </c>
      <c r="J36" s="3">
        <v>41.841095890410998</v>
      </c>
      <c r="K36" s="3">
        <v>20.542380219535001</v>
      </c>
      <c r="L36" s="2" t="s">
        <v>349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94.09</v>
      </c>
      <c r="H37" s="3">
        <v>3.2905221941668001</v>
      </c>
      <c r="I37" s="3">
        <v>2.9647680199191999</v>
      </c>
      <c r="J37" s="3">
        <v>8.3232876712328991</v>
      </c>
      <c r="K37" s="3">
        <v>7.2772416439840999</v>
      </c>
      <c r="L37" s="2" t="s">
        <v>349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90.74</v>
      </c>
      <c r="H38" s="3">
        <v>3.8784715572191999</v>
      </c>
      <c r="I38" s="3">
        <v>3.4806150470845001</v>
      </c>
      <c r="J38" s="3">
        <v>13.326027397260001</v>
      </c>
      <c r="K38" s="3">
        <v>10.509375406919</v>
      </c>
      <c r="L38" s="2" t="s">
        <v>349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98.88</v>
      </c>
      <c r="H39" s="3">
        <v>3.5139604566845</v>
      </c>
      <c r="I39" s="3">
        <v>3.0839280636324999</v>
      </c>
      <c r="J39" s="3">
        <v>9.8191780821918009</v>
      </c>
      <c r="K39" s="3">
        <v>8.1039871159953005</v>
      </c>
      <c r="L39" s="2" t="s">
        <v>349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93.71</v>
      </c>
      <c r="H40" s="3">
        <v>4.3099614269346</v>
      </c>
      <c r="I40" s="3">
        <v>3.7974707239623</v>
      </c>
      <c r="J40" s="3">
        <v>24.334246575342998</v>
      </c>
      <c r="K40" s="3">
        <v>14.947327215357999</v>
      </c>
      <c r="L40" s="2" t="s">
        <v>349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94.34</v>
      </c>
      <c r="H41" s="3">
        <v>2.6027697778797001</v>
      </c>
      <c r="I41" s="3">
        <v>2.4263365099407999</v>
      </c>
      <c r="J41" s="3">
        <v>4.9013698630137004</v>
      </c>
      <c r="K41" s="3">
        <v>4.6271665359399003</v>
      </c>
      <c r="L41" s="2" t="s">
        <v>349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72.19</v>
      </c>
      <c r="H42" s="3">
        <v>4.2966642617810997</v>
      </c>
      <c r="I42" s="3">
        <v>3.9112217256999999</v>
      </c>
      <c r="J42" s="3">
        <v>25.334246575342998</v>
      </c>
      <c r="K42" s="3">
        <v>16.855111414441001</v>
      </c>
      <c r="L42" s="2" t="s">
        <v>349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60.55</v>
      </c>
      <c r="H43" s="3">
        <v>4.2286451715986999</v>
      </c>
      <c r="I43" s="3">
        <v>3.9300422071394001</v>
      </c>
      <c r="J43" s="3">
        <v>26.334246575342998</v>
      </c>
      <c r="K43" s="3">
        <v>18.652387236972</v>
      </c>
      <c r="L43" s="2" t="s">
        <v>349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103.67</v>
      </c>
      <c r="H44" s="3">
        <v>4.2012067325815998</v>
      </c>
      <c r="I44" s="3">
        <v>3.6460670459585001</v>
      </c>
      <c r="J44" s="3">
        <v>18.328767123287999</v>
      </c>
      <c r="K44" s="3">
        <v>12.223446114810001</v>
      </c>
      <c r="L44" s="2" t="s">
        <v>349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106.24</v>
      </c>
      <c r="H45" s="3">
        <v>3.4017897291048</v>
      </c>
      <c r="I45" s="3">
        <v>2.8874723980487</v>
      </c>
      <c r="J45" s="3">
        <v>8.8191780821918009</v>
      </c>
      <c r="K45" s="3">
        <v>7.2121696987836001</v>
      </c>
      <c r="L45" s="2" t="s">
        <v>349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89.49</v>
      </c>
      <c r="H46" s="3">
        <v>2.8670875094153998</v>
      </c>
      <c r="I46" s="3">
        <v>2.7458362285938001</v>
      </c>
      <c r="J46" s="3">
        <v>5.9013698630137004</v>
      </c>
      <c r="K46" s="3">
        <v>5.5848112892969999</v>
      </c>
      <c r="L46" s="2" t="s">
        <v>349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86.63</v>
      </c>
      <c r="H47" s="3">
        <v>3.0902838407020998</v>
      </c>
      <c r="I47" s="3">
        <v>2.9502229638038999</v>
      </c>
      <c r="J47" s="3">
        <v>7.0712328767123003</v>
      </c>
      <c r="K47" s="3">
        <v>6.5991492792245996</v>
      </c>
      <c r="L47" s="2" t="s">
        <v>349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108.15</v>
      </c>
      <c r="H48" s="3">
        <v>3.2555051533091</v>
      </c>
      <c r="I48" s="3">
        <v>2.7228167181103</v>
      </c>
      <c r="J48" s="3">
        <v>7.9863013698629999</v>
      </c>
      <c r="K48" s="3">
        <v>6.6560275466469001</v>
      </c>
      <c r="L48" s="2" t="s">
        <v>349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107.86</v>
      </c>
      <c r="H49" s="3">
        <v>1.8439867857984</v>
      </c>
      <c r="I49" s="3">
        <v>0.97985867618462996</v>
      </c>
      <c r="J49" s="3">
        <v>1.4849315068493001</v>
      </c>
      <c r="K49" s="3">
        <v>1.4120218328617999</v>
      </c>
      <c r="L49" s="2" t="s">
        <v>349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110.77</v>
      </c>
      <c r="H50" s="3">
        <v>2.0331650732802</v>
      </c>
      <c r="I50" s="3">
        <v>1.2658659034529001</v>
      </c>
      <c r="J50" s="3">
        <v>2.4849315068492999</v>
      </c>
      <c r="K50" s="3">
        <v>2.2950080396319001</v>
      </c>
      <c r="L50" s="2" t="s">
        <v>349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111.81</v>
      </c>
      <c r="H51" s="3">
        <v>2.4617668086814999</v>
      </c>
      <c r="I51" s="3">
        <v>1.8409833904466</v>
      </c>
      <c r="J51" s="3">
        <v>4.4876712328766999</v>
      </c>
      <c r="K51" s="3">
        <v>3.9838638976548002</v>
      </c>
      <c r="L51" s="2" t="s">
        <v>349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117.38</v>
      </c>
      <c r="H52" s="3">
        <v>2.8382995976926999</v>
      </c>
      <c r="I52" s="3">
        <v>2.1478738277927998</v>
      </c>
      <c r="J52" s="3">
        <v>5.9835616438355999</v>
      </c>
      <c r="K52" s="3">
        <v>5.0493997797421004</v>
      </c>
      <c r="L52" s="2" t="s">
        <v>349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99.951999999999998</v>
      </c>
      <c r="H53" s="3">
        <v>2.1026787444919002</v>
      </c>
      <c r="I53" s="3">
        <v>1.9273209737479</v>
      </c>
      <c r="J53" s="3">
        <v>6.5753424657534004E-2</v>
      </c>
      <c r="K53" s="3">
        <v>6.7084890842824998E-2</v>
      </c>
      <c r="L53" s="2" t="s">
        <v>349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91.53</v>
      </c>
      <c r="H54" s="3">
        <v>2.7132449308080999</v>
      </c>
      <c r="I54" s="3">
        <v>2.5817296527071001</v>
      </c>
      <c r="J54" s="3">
        <v>5.2356164383561996</v>
      </c>
      <c r="K54" s="3">
        <v>4.9650464696574996</v>
      </c>
      <c r="L54" s="2" t="s">
        <v>349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107.53</v>
      </c>
      <c r="H55" s="3">
        <v>3.1252168764446</v>
      </c>
      <c r="I55" s="3">
        <v>2.6197736650511998</v>
      </c>
      <c r="J55" s="3">
        <v>8.4904109589040999</v>
      </c>
      <c r="K55" s="3">
        <v>7.0226046593855997</v>
      </c>
      <c r="L55" s="2" t="s">
        <v>349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99.87</v>
      </c>
      <c r="H56" s="3">
        <v>3.6454381636730999</v>
      </c>
      <c r="I56" s="3">
        <v>3.1877592670317001</v>
      </c>
      <c r="J56" s="3">
        <v>10.405479452054999</v>
      </c>
      <c r="K56" s="3">
        <v>8.4561746688015997</v>
      </c>
      <c r="L56" s="2" t="s">
        <v>349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101.82</v>
      </c>
      <c r="H57" s="3">
        <v>2.5735427904189998</v>
      </c>
      <c r="I57" s="3">
        <v>2.1924316300781999</v>
      </c>
      <c r="J57" s="3">
        <v>4.4027397260274004</v>
      </c>
      <c r="K57" s="3">
        <v>4.0444253611013004</v>
      </c>
      <c r="L57" s="2" t="s">
        <v>349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106.08</v>
      </c>
      <c r="H58" s="3">
        <v>2.3989556224658002</v>
      </c>
      <c r="I58" s="3">
        <v>1.8731371458276</v>
      </c>
      <c r="J58" s="3">
        <v>3.7397260273973001</v>
      </c>
      <c r="K58" s="3">
        <v>3.3976909440520999</v>
      </c>
      <c r="L58" s="2" t="s">
        <v>349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100.99</v>
      </c>
      <c r="H59" s="3">
        <v>2.7601544607069002</v>
      </c>
      <c r="I59" s="3">
        <v>2.3889817466483998</v>
      </c>
      <c r="J59" s="3">
        <v>5.1506849315069001</v>
      </c>
      <c r="K59" s="3">
        <v>4.6646345380329999</v>
      </c>
      <c r="L59" s="2" t="s">
        <v>349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95.63</v>
      </c>
      <c r="H60" s="3">
        <v>3.1755713763283002</v>
      </c>
      <c r="I60" s="3">
        <v>2.8270833977596999</v>
      </c>
      <c r="J60" s="3">
        <v>7.5726027397260003</v>
      </c>
      <c r="K60" s="3">
        <v>6.6406303866609004</v>
      </c>
      <c r="L60" s="2" t="s">
        <v>349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100.2</v>
      </c>
      <c r="H61" s="3">
        <v>1.9663193312975</v>
      </c>
      <c r="I61" s="3">
        <v>1.6985164178637999</v>
      </c>
      <c r="J61" s="3">
        <v>2.2328767123288</v>
      </c>
      <c r="K61" s="3">
        <v>2.1433752088520999</v>
      </c>
      <c r="L61" s="2" t="s">
        <v>349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101.45</v>
      </c>
      <c r="H62" s="3">
        <v>2.0762438397689</v>
      </c>
      <c r="I62" s="3">
        <v>1.7368138262998001</v>
      </c>
      <c r="J62" s="3">
        <v>2.5671232876711998</v>
      </c>
      <c r="K62" s="3">
        <v>2.4214176385426001</v>
      </c>
      <c r="L62" s="2" t="s">
        <v>349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78.86</v>
      </c>
      <c r="H63" s="3">
        <v>4.2284178556493002</v>
      </c>
      <c r="I63" s="3">
        <v>3.8284495814155002</v>
      </c>
      <c r="J63" s="3">
        <v>21.827397260274001</v>
      </c>
      <c r="K63" s="3">
        <v>15.114643414673001</v>
      </c>
      <c r="L63" s="2" t="s">
        <v>349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73.8</v>
      </c>
      <c r="H64" s="3">
        <v>3.7400798756103999</v>
      </c>
      <c r="I64" s="3">
        <v>3.5935183005483</v>
      </c>
      <c r="J64" s="3">
        <v>11.821917808219</v>
      </c>
      <c r="K64" s="3">
        <v>10.656234893838</v>
      </c>
      <c r="L64" s="2" t="s">
        <v>349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66.08</v>
      </c>
      <c r="H65" s="3">
        <v>4.3055459464211001</v>
      </c>
      <c r="I65" s="3">
        <v>3.9485777008599001</v>
      </c>
      <c r="J65" s="3">
        <v>27.336986301370001</v>
      </c>
      <c r="K65" s="3">
        <v>18.101802390801002</v>
      </c>
      <c r="L65" s="2" t="s">
        <v>349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101.68</v>
      </c>
      <c r="H66" s="3">
        <v>1.9879052539297</v>
      </c>
      <c r="I66" s="3">
        <v>1.6135021876197</v>
      </c>
      <c r="J66" s="3">
        <v>1.7753424657534</v>
      </c>
      <c r="K66" s="3">
        <v>1.6988484265429999</v>
      </c>
      <c r="L66" s="2" t="s">
        <v>349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100.56</v>
      </c>
      <c r="H67" s="3">
        <v>3.6142304135733001</v>
      </c>
      <c r="I67" s="3">
        <v>3.1478846663692002</v>
      </c>
      <c r="J67" s="3">
        <v>10.238356164383999</v>
      </c>
      <c r="K67" s="3">
        <v>8.2612864810757998</v>
      </c>
      <c r="L67" s="2" t="s">
        <v>349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100.26</v>
      </c>
      <c r="H68" s="3">
        <v>1.8879081463734</v>
      </c>
      <c r="I68" s="3">
        <v>1.6235116099022999</v>
      </c>
      <c r="J68" s="3">
        <v>1.1863013698630001</v>
      </c>
      <c r="K68" s="3">
        <v>1.1491446087399999</v>
      </c>
      <c r="L68" s="2" t="s">
        <v>349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102.77</v>
      </c>
      <c r="H69" s="3">
        <v>2.9773650984486002</v>
      </c>
      <c r="I69" s="3">
        <v>2.5472526413580998</v>
      </c>
      <c r="J69" s="3">
        <v>6.1890410958904001</v>
      </c>
      <c r="K69" s="3">
        <v>5.4170250342055004</v>
      </c>
      <c r="L69" s="2" t="s">
        <v>349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74.05</v>
      </c>
      <c r="H70" s="3">
        <v>4.0735994566744997</v>
      </c>
      <c r="I70" s="3">
        <v>3.7998399843848998</v>
      </c>
      <c r="J70" s="3">
        <v>15.824657534247001</v>
      </c>
      <c r="K70" s="3">
        <v>12.84791470555</v>
      </c>
      <c r="L70" s="2" t="s">
        <v>349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106.07</v>
      </c>
      <c r="H71" s="3">
        <v>2.8211876616128002</v>
      </c>
      <c r="I71" s="3">
        <v>2.3323438416124</v>
      </c>
      <c r="J71" s="3">
        <v>5.5260273972603002</v>
      </c>
      <c r="K71" s="3">
        <v>4.8064660429707002</v>
      </c>
      <c r="L71" s="2" t="s">
        <v>349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98.36</v>
      </c>
      <c r="H72" s="3">
        <v>1.8466749188995</v>
      </c>
      <c r="I72" s="3">
        <v>1.732322361826</v>
      </c>
      <c r="J72" s="3">
        <v>1.6904109589041001</v>
      </c>
      <c r="K72" s="3">
        <v>1.6471530675382</v>
      </c>
      <c r="L72" s="2" t="s">
        <v>349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93.42</v>
      </c>
      <c r="H73" s="3">
        <v>2.2898245822779999</v>
      </c>
      <c r="I73" s="3">
        <v>2.2142158057574002</v>
      </c>
      <c r="J73" s="3">
        <v>3.7780821917808001</v>
      </c>
      <c r="K73" s="3">
        <v>3.6614606079890999</v>
      </c>
      <c r="L73" s="2" t="s">
        <v>349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105.57</v>
      </c>
      <c r="H74" s="3">
        <v>2.5707888665735998</v>
      </c>
      <c r="I74" s="3">
        <v>2.1000054162483002</v>
      </c>
      <c r="J74" s="3">
        <v>4.6082191780821997</v>
      </c>
      <c r="K74" s="3">
        <v>4.1165908148621</v>
      </c>
      <c r="L74" s="2" t="s">
        <v>349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101.47</v>
      </c>
      <c r="H75" s="3">
        <v>2.0877475814367998</v>
      </c>
      <c r="I75" s="3">
        <v>1.7486360666362999</v>
      </c>
      <c r="J75" s="3">
        <v>2.4383561643835998</v>
      </c>
      <c r="K75" s="3">
        <v>2.3246480040153998</v>
      </c>
      <c r="L75" s="2" t="s">
        <v>349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103.28</v>
      </c>
      <c r="H76" s="3">
        <v>2.8945763715854</v>
      </c>
      <c r="I76" s="3">
        <v>2.4583246395670999</v>
      </c>
      <c r="J76" s="3">
        <v>5.7780821917807996</v>
      </c>
      <c r="K76" s="3">
        <v>5.1088994388330997</v>
      </c>
      <c r="L76" s="2" t="s">
        <v>349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101.697</v>
      </c>
      <c r="H77" s="3">
        <v>1.9443367238258999</v>
      </c>
      <c r="I77" s="3">
        <v>1.4786365944702</v>
      </c>
      <c r="J77" s="3">
        <v>0.93698630136986005</v>
      </c>
      <c r="K77" s="3">
        <v>0.91031079405674997</v>
      </c>
      <c r="L77" s="2" t="s">
        <v>349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101.43</v>
      </c>
      <c r="H78" s="3">
        <v>2.4447266608167002</v>
      </c>
      <c r="I78" s="3">
        <v>2.0939785416009999</v>
      </c>
      <c r="J78" s="3">
        <v>4.1068493150684997</v>
      </c>
      <c r="K78" s="3">
        <v>3.7760332759307</v>
      </c>
      <c r="L78" s="2" t="s">
        <v>349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97.67</v>
      </c>
      <c r="H79" s="3">
        <v>1.9750880383195999</v>
      </c>
      <c r="I79" s="3">
        <v>1.8536569753794001</v>
      </c>
      <c r="J79" s="3">
        <v>2.3561643835616</v>
      </c>
      <c r="K79" s="3">
        <v>2.2870864036296998</v>
      </c>
      <c r="L79" s="2" t="s">
        <v>349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101.26</v>
      </c>
      <c r="H80" s="3">
        <v>2.2384255831008999</v>
      </c>
      <c r="I80" s="3">
        <v>1.8948366673768999</v>
      </c>
      <c r="J80" s="3">
        <v>3.1068493150685002</v>
      </c>
      <c r="K80" s="3">
        <v>2.9268512251245</v>
      </c>
      <c r="L80" s="2" t="s">
        <v>349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104.71</v>
      </c>
      <c r="H81" s="3">
        <v>2.7195779565314999</v>
      </c>
      <c r="I81" s="3">
        <v>2.2374049579393001</v>
      </c>
      <c r="J81" s="3">
        <v>5.1068493150684997</v>
      </c>
      <c r="K81" s="3">
        <v>4.5290226957486999</v>
      </c>
      <c r="L81" s="2" t="s">
        <v>349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94.85</v>
      </c>
      <c r="H82" s="3">
        <v>2.1882843198162001</v>
      </c>
      <c r="I82" s="3">
        <v>2.1021621619232</v>
      </c>
      <c r="J82" s="3">
        <v>3.1890410958904001</v>
      </c>
      <c r="K82" s="3">
        <v>3.0995829485890001</v>
      </c>
      <c r="L82" s="2" t="s">
        <v>349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103.01</v>
      </c>
      <c r="H83" s="3">
        <v>2.0471511158302</v>
      </c>
      <c r="I83" s="3">
        <v>1.6199558816083</v>
      </c>
      <c r="J83" s="3">
        <v>2.1863013698630001</v>
      </c>
      <c r="K83" s="3">
        <v>2.0624915838198001</v>
      </c>
      <c r="L83" s="2" t="s">
        <v>349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102.49</v>
      </c>
      <c r="H84" s="3">
        <v>1.9801653221155999</v>
      </c>
      <c r="I84" s="3">
        <v>1.5044585153484</v>
      </c>
      <c r="J84" s="3">
        <v>1.3561643835616</v>
      </c>
      <c r="K84" s="3">
        <v>1.3026115599504</v>
      </c>
      <c r="L84" s="2" t="s">
        <v>349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100.28400000000001</v>
      </c>
      <c r="H85" s="3">
        <v>1.8867315034734999</v>
      </c>
      <c r="I85" s="3">
        <v>1.5816691944115</v>
      </c>
      <c r="J85" s="3">
        <v>0.52328767123288</v>
      </c>
      <c r="K85" s="3">
        <v>0.51290993408581997</v>
      </c>
      <c r="L85" s="2" t="s">
        <v>349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98.02</v>
      </c>
      <c r="H86" s="3">
        <v>4.4662399034747002</v>
      </c>
      <c r="I86" s="3">
        <v>3.9099341695312</v>
      </c>
      <c r="J86" s="3">
        <v>29.419178082192001</v>
      </c>
      <c r="K86" s="3">
        <v>16.048332069678999</v>
      </c>
      <c r="L86" s="2" t="s">
        <v>349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101.004</v>
      </c>
      <c r="H87" s="3">
        <v>1.9886604439107001</v>
      </c>
      <c r="I87" s="3">
        <v>1.5582768338348001</v>
      </c>
      <c r="J87" s="3">
        <v>0.69041095890410997</v>
      </c>
      <c r="K87" s="3">
        <v>0.66866067037481003</v>
      </c>
      <c r="L87" s="2" t="s">
        <v>349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</v>
      </c>
      <c r="H88" s="3">
        <v>2.1107392357696</v>
      </c>
      <c r="I88" s="3">
        <v>2.0720613146242002</v>
      </c>
      <c r="J88" s="3">
        <v>2.8547945205479999</v>
      </c>
      <c r="K88" s="3">
        <v>2.7863171553782</v>
      </c>
      <c r="L88" s="2" t="s">
        <v>349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80.709999999999994</v>
      </c>
      <c r="H89" s="3">
        <v>3.6500068903637</v>
      </c>
      <c r="I89" s="3">
        <v>3.4395049502416999</v>
      </c>
      <c r="J89" s="3">
        <v>10.821917808219</v>
      </c>
      <c r="K89" s="3">
        <v>9.5661936171583992</v>
      </c>
      <c r="L89" s="2" t="s">
        <v>349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97.57</v>
      </c>
      <c r="H90" s="3">
        <v>4.1014814072372996</v>
      </c>
      <c r="I90" s="3">
        <v>3.6002598442853002</v>
      </c>
      <c r="J90" s="3">
        <v>15.41095890411</v>
      </c>
      <c r="K90" s="3">
        <v>11.20925030319</v>
      </c>
      <c r="L90" s="2" t="s">
        <v>349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99.77</v>
      </c>
      <c r="H91" s="3">
        <v>2.0288969698139998</v>
      </c>
      <c r="I91" s="3">
        <v>1.8674830730026</v>
      </c>
      <c r="J91" s="3">
        <v>0.27123287671232998</v>
      </c>
      <c r="K91" s="3">
        <v>0.26587011229757002</v>
      </c>
      <c r="L91" s="2" t="s">
        <v>349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9.8712328767123001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107.98</v>
      </c>
      <c r="H93" s="3">
        <v>2.2470725965338998</v>
      </c>
      <c r="I93" s="3">
        <v>1.675533725979</v>
      </c>
      <c r="J93" s="3">
        <v>3.3205479452055</v>
      </c>
      <c r="K93" s="3">
        <v>3.0286685929805999</v>
      </c>
      <c r="L93" s="2" t="s">
        <v>349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101.68</v>
      </c>
      <c r="H94" s="3">
        <v>4.4405027255398002</v>
      </c>
      <c r="I94" s="3">
        <v>3.8726936864710999</v>
      </c>
      <c r="J94" s="3">
        <v>28.419178082192001</v>
      </c>
      <c r="K94" s="3">
        <v>15.651734745709</v>
      </c>
      <c r="L94" s="2" t="s">
        <v>349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100.61</v>
      </c>
      <c r="H95" s="3">
        <v>3.1778318132405001</v>
      </c>
      <c r="I95" s="3">
        <v>2.7671842578381001</v>
      </c>
      <c r="J95" s="3">
        <v>7.1917808219178001</v>
      </c>
      <c r="K95" s="3">
        <v>6.2666471849947003</v>
      </c>
      <c r="L95" s="2" t="s">
        <v>349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100.87</v>
      </c>
      <c r="H96" s="3">
        <v>1.9518533965103</v>
      </c>
      <c r="I96" s="3">
        <v>1.5399981874777999</v>
      </c>
      <c r="J96" s="3">
        <v>0.72602739726026999</v>
      </c>
      <c r="K96" s="3">
        <v>0.70454859126022995</v>
      </c>
      <c r="L96" s="2" t="s">
        <v>349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100.589</v>
      </c>
      <c r="H97" s="3">
        <v>2.0293562207135998</v>
      </c>
      <c r="I97" s="3">
        <v>1.5876329067937001</v>
      </c>
      <c r="J97" s="3">
        <v>0.39452054794521002</v>
      </c>
      <c r="K97" s="3">
        <v>0.38673488877536999</v>
      </c>
      <c r="L97" s="2" t="s">
        <v>349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99.957999999999998</v>
      </c>
      <c r="H98" s="3">
        <v>2.1070098182998001</v>
      </c>
      <c r="I98" s="3">
        <v>1.8727176937287999</v>
      </c>
      <c r="J98" s="3">
        <v>0.14794520547945</v>
      </c>
      <c r="K98" s="3">
        <v>0.14490255405106001</v>
      </c>
      <c r="L98" s="2" t="s">
        <v>349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101.46</v>
      </c>
      <c r="H99" s="3">
        <v>1.9770961358057</v>
      </c>
      <c r="I99" s="3">
        <v>1.5897773241705999</v>
      </c>
      <c r="J99" s="3">
        <v>1.3068493150685001</v>
      </c>
      <c r="K99" s="3">
        <v>1.2595193818185</v>
      </c>
      <c r="L99" s="2" t="s">
        <v>349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100.7</v>
      </c>
      <c r="H100" s="3">
        <v>3.0480890006406001</v>
      </c>
      <c r="I100" s="3">
        <v>2.6510960041451002</v>
      </c>
      <c r="J100" s="3">
        <v>6.5260273972603002</v>
      </c>
      <c r="K100" s="3">
        <v>5.6959279719128997</v>
      </c>
      <c r="L100" s="2" t="s">
        <v>349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100.96</v>
      </c>
      <c r="H101" s="3">
        <v>2.0120608579287</v>
      </c>
      <c r="I101" s="3">
        <v>1.6874944255493001</v>
      </c>
      <c r="J101" s="3">
        <v>1.8027397260274001</v>
      </c>
      <c r="K101" s="3">
        <v>1.7305921753394</v>
      </c>
      <c r="L101" s="2" t="s">
        <v>349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103.48</v>
      </c>
      <c r="H102" s="3">
        <v>2.1605137226548998</v>
      </c>
      <c r="I102" s="3">
        <v>1.7279360762528999</v>
      </c>
      <c r="J102" s="3">
        <v>2.9013698630136999</v>
      </c>
      <c r="K102" s="3">
        <v>2.7272899360117</v>
      </c>
      <c r="L102" s="2" t="s">
        <v>349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103.85</v>
      </c>
      <c r="H103" s="3">
        <v>2.8767445715195001</v>
      </c>
      <c r="I103" s="3">
        <v>2.4162380768389</v>
      </c>
      <c r="J103" s="3">
        <v>4.8273972602740001</v>
      </c>
      <c r="K103" s="3">
        <v>4.3225115525257003</v>
      </c>
      <c r="L103" s="2" t="s">
        <v>349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103.85</v>
      </c>
      <c r="H104" s="3">
        <v>3.0116434418914002</v>
      </c>
      <c r="I104" s="3">
        <v>2.5389834461501</v>
      </c>
      <c r="J104" s="3">
        <v>4.8273972602740001</v>
      </c>
      <c r="K104" s="3">
        <v>4.3176428307555996</v>
      </c>
      <c r="L104" s="2" t="s">
        <v>349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105.78</v>
      </c>
      <c r="H105" s="3">
        <v>2.5814650077369001</v>
      </c>
      <c r="I105" s="3">
        <v>2.0493986047453001</v>
      </c>
      <c r="J105" s="3">
        <v>3.4273972602740002</v>
      </c>
      <c r="K105" s="3">
        <v>3.1270077118525998</v>
      </c>
      <c r="L105" s="2" t="s">
        <v>349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105.78</v>
      </c>
      <c r="H106" s="3">
        <v>2.7193366684718998</v>
      </c>
      <c r="I106" s="3">
        <v>2.1765175048058998</v>
      </c>
      <c r="J106" s="3">
        <v>3.4273972602740002</v>
      </c>
      <c r="K106" s="3">
        <v>3.1231517919575</v>
      </c>
      <c r="L106" s="2" t="s">
        <v>349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103.53</v>
      </c>
      <c r="H107" s="3">
        <v>2.2418123593347001</v>
      </c>
      <c r="I107" s="3">
        <v>1.7532397103982</v>
      </c>
      <c r="J107" s="3">
        <v>2.0986301369863001</v>
      </c>
      <c r="K107" s="3">
        <v>1.9703187545900001</v>
      </c>
      <c r="L107" s="2" t="s">
        <v>349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103.53</v>
      </c>
      <c r="H108" s="3">
        <v>2.4725652235270998</v>
      </c>
      <c r="I108" s="3">
        <v>1.9698118746889</v>
      </c>
      <c r="J108" s="3">
        <v>2.0986301369863001</v>
      </c>
      <c r="K108" s="3">
        <v>1.9660034477966</v>
      </c>
      <c r="L108" s="2" t="s">
        <v>349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103.68</v>
      </c>
      <c r="H109" s="3">
        <v>2.9083444053803</v>
      </c>
      <c r="I109" s="3">
        <v>2.4513529696609999</v>
      </c>
      <c r="J109" s="3">
        <v>5.0191780821918002</v>
      </c>
      <c r="K109" s="3">
        <v>4.4675883336027997</v>
      </c>
      <c r="L109" s="2" t="s">
        <v>349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103.68</v>
      </c>
      <c r="H110" s="3">
        <v>3.0563468211846998</v>
      </c>
      <c r="I110" s="3">
        <v>2.5854180541324001</v>
      </c>
      <c r="J110" s="3">
        <v>5.0191780821918002</v>
      </c>
      <c r="K110" s="3">
        <v>4.4621312926499002</v>
      </c>
      <c r="L110" s="2" t="s">
        <v>349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99.85</v>
      </c>
      <c r="H111" s="3">
        <v>4.8588084163006</v>
      </c>
      <c r="I111" s="3">
        <v>4.5269256844137002</v>
      </c>
      <c r="J111" s="3">
        <v>31.041095890411</v>
      </c>
      <c r="K111" s="3">
        <v>5.6915711975893997</v>
      </c>
      <c r="L111" s="2" t="s">
        <v>349</v>
      </c>
      <c r="M111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ECFB-654E-BA49-93E8-C331E6842E17}">
  <dimension ref="A1:M111"/>
  <sheetViews>
    <sheetView workbookViewId="0">
      <selection activeCell="P11" sqref="P11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117.67</v>
      </c>
      <c r="H2" s="3">
        <v>3.1775931262149002</v>
      </c>
      <c r="I2" s="3">
        <v>2.5160854740811001</v>
      </c>
      <c r="J2" s="3">
        <v>7.7397260273972996</v>
      </c>
      <c r="K2" s="3">
        <v>6.2036817148727001</v>
      </c>
      <c r="L2" s="2" t="s">
        <v>350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100.67</v>
      </c>
      <c r="H3" s="3">
        <v>1.8759938848002</v>
      </c>
      <c r="I3" s="3">
        <v>1.5850614302551</v>
      </c>
      <c r="J3" s="3">
        <v>2.0630136986301002</v>
      </c>
      <c r="K3" s="3">
        <v>1.9725134863053999</v>
      </c>
      <c r="L3" s="2" t="s">
        <v>350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99.92</v>
      </c>
      <c r="H4" s="3">
        <v>2.0383804307798998</v>
      </c>
      <c r="I4" s="3">
        <v>1.7813772878680001</v>
      </c>
      <c r="J4" s="3">
        <v>2.7342465753425</v>
      </c>
      <c r="K4" s="3">
        <v>2.6077558993076</v>
      </c>
      <c r="L4" s="2" t="s">
        <v>350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102.52</v>
      </c>
      <c r="H5" s="3">
        <v>2.3835606222628001</v>
      </c>
      <c r="I5" s="3">
        <v>2.0101243173266998</v>
      </c>
      <c r="J5" s="3">
        <v>4.2328767123287996</v>
      </c>
      <c r="K5" s="3">
        <v>3.8874652534465999</v>
      </c>
      <c r="L5" s="2" t="s">
        <v>350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102.73</v>
      </c>
      <c r="H6" s="3">
        <v>3.9341781184193998</v>
      </c>
      <c r="I6" s="3">
        <v>3.4132899247660999</v>
      </c>
      <c r="J6" s="3">
        <v>14.405479452054999</v>
      </c>
      <c r="K6" s="3">
        <v>10.583169799809999</v>
      </c>
      <c r="L6" s="2" t="s">
        <v>350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87.2</v>
      </c>
      <c r="H7" s="3">
        <v>2.8766179606211999</v>
      </c>
      <c r="I7" s="3">
        <v>2.7942976306989999</v>
      </c>
      <c r="J7" s="3">
        <v>6.2328767123287996</v>
      </c>
      <c r="K7" s="3">
        <v>5.9357938520840996</v>
      </c>
      <c r="L7" s="2" t="s">
        <v>350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108.96</v>
      </c>
      <c r="H8" s="3">
        <v>4.1128789114198998</v>
      </c>
      <c r="I8" s="3">
        <v>3.5378962819418001</v>
      </c>
      <c r="J8" s="3">
        <v>19.328767123287999</v>
      </c>
      <c r="K8" s="3">
        <v>12.539624561950999</v>
      </c>
      <c r="L8" s="2" t="s">
        <v>350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104.6</v>
      </c>
      <c r="H9" s="3">
        <v>2.4940875927492998</v>
      </c>
      <c r="I9" s="3">
        <v>2.0602885919566001</v>
      </c>
      <c r="J9" s="3">
        <v>4.8136986301369999</v>
      </c>
      <c r="K9" s="3">
        <v>4.3461912984672999</v>
      </c>
      <c r="L9" s="2" t="s">
        <v>350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92</v>
      </c>
      <c r="H10" s="3">
        <v>2.9748622140216998</v>
      </c>
      <c r="I10" s="3">
        <v>2.7534220184475999</v>
      </c>
      <c r="J10" s="3">
        <v>6.8164383561644</v>
      </c>
      <c r="K10" s="3">
        <v>6.2500908683673</v>
      </c>
      <c r="L10" s="2" t="s">
        <v>350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99.75</v>
      </c>
      <c r="H11" s="3">
        <v>1.8468373250692001</v>
      </c>
      <c r="I11" s="3">
        <v>1.6447889929204</v>
      </c>
      <c r="J11" s="3">
        <v>1.0630136986301</v>
      </c>
      <c r="K11" s="3">
        <v>1.0320893989437001</v>
      </c>
      <c r="L11" s="2" t="s">
        <v>350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87.58</v>
      </c>
      <c r="H12" s="3">
        <v>3.6245608588036</v>
      </c>
      <c r="I12" s="3">
        <v>3.3141407165476</v>
      </c>
      <c r="J12" s="3">
        <v>11.323287671233</v>
      </c>
      <c r="K12" s="3">
        <v>9.5576141631468001</v>
      </c>
      <c r="L12" s="2" t="s">
        <v>350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89.65</v>
      </c>
      <c r="H13" s="3">
        <v>4.1961700623642999</v>
      </c>
      <c r="I13" s="3">
        <v>3.7234185352629998</v>
      </c>
      <c r="J13" s="3">
        <v>22.827397260274001</v>
      </c>
      <c r="K13" s="3">
        <v>14.815253012158999</v>
      </c>
      <c r="L13" s="2" t="s">
        <v>350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91.21</v>
      </c>
      <c r="H14" s="3">
        <v>3.9207879651940001</v>
      </c>
      <c r="I14" s="3">
        <v>3.5030214155320998</v>
      </c>
      <c r="J14" s="3">
        <v>14.821917808219</v>
      </c>
      <c r="K14" s="3">
        <v>11.318147789211</v>
      </c>
      <c r="L14" s="2" t="s">
        <v>350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98.353999999999999</v>
      </c>
      <c r="H15" s="3">
        <v>1.8424365981485999</v>
      </c>
      <c r="I15" s="3">
        <v>1.8297079655126001</v>
      </c>
      <c r="J15" s="3">
        <v>0.89589041095889999</v>
      </c>
      <c r="K15" s="3">
        <v>0.87989481915376999</v>
      </c>
      <c r="L15" s="2" t="s">
        <v>350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60.16</v>
      </c>
      <c r="H16" s="3">
        <v>4.0954042587949004</v>
      </c>
      <c r="I16" s="3">
        <v>3.6992701892747002</v>
      </c>
      <c r="J16" s="3">
        <v>46.843835616438</v>
      </c>
      <c r="K16" s="3">
        <v>23.256402123604001</v>
      </c>
      <c r="L16" s="2" t="s">
        <v>350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94.75</v>
      </c>
      <c r="H17" s="3">
        <v>3.8033031951758001</v>
      </c>
      <c r="I17" s="3">
        <v>3.3748909190314</v>
      </c>
      <c r="J17" s="3">
        <v>12.819178082192</v>
      </c>
      <c r="K17" s="3">
        <v>10.06439251131</v>
      </c>
      <c r="L17" s="2" t="s">
        <v>350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98.56</v>
      </c>
      <c r="H18" s="3">
        <v>1.8854153345506</v>
      </c>
      <c r="I18" s="3">
        <v>1.7454158149546</v>
      </c>
      <c r="J18" s="3">
        <v>1.8958904109589001</v>
      </c>
      <c r="K18" s="3">
        <v>1.8446308836259</v>
      </c>
      <c r="L18" s="2" t="s">
        <v>350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103.51</v>
      </c>
      <c r="H19" s="3">
        <v>2.4662418266838002</v>
      </c>
      <c r="I19" s="3">
        <v>2.0478924426540002</v>
      </c>
      <c r="J19" s="3">
        <v>4.1479452054795001</v>
      </c>
      <c r="K19" s="3">
        <v>3.7785585401585999</v>
      </c>
      <c r="L19" s="2" t="s">
        <v>350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103.76</v>
      </c>
      <c r="H20" s="3">
        <v>3.3930280702852</v>
      </c>
      <c r="I20" s="3">
        <v>2.91321320583</v>
      </c>
      <c r="J20" s="3">
        <v>9.1506849315069001</v>
      </c>
      <c r="K20" s="3">
        <v>7.4801926578284004</v>
      </c>
      <c r="L20" s="2" t="s">
        <v>350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94.51</v>
      </c>
      <c r="H21" s="3">
        <v>2.7351275985729</v>
      </c>
      <c r="I21" s="3">
        <v>2.5148770625132002</v>
      </c>
      <c r="J21" s="3">
        <v>5.5671232876712002</v>
      </c>
      <c r="K21" s="3">
        <v>5.1555007301971001</v>
      </c>
      <c r="L21" s="2" t="s">
        <v>350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88.29</v>
      </c>
      <c r="H22" s="3">
        <v>2.9432925847321001</v>
      </c>
      <c r="I22" s="3">
        <v>2.8135432649355998</v>
      </c>
      <c r="J22" s="3">
        <v>6.5671232876712002</v>
      </c>
      <c r="K22" s="3">
        <v>6.1561720091270997</v>
      </c>
      <c r="L22" s="2" t="s">
        <v>350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104.93</v>
      </c>
      <c r="H23" s="3">
        <v>2.2217843547179998</v>
      </c>
      <c r="I23" s="3">
        <v>1.7560070170497999</v>
      </c>
      <c r="J23" s="3">
        <v>3.2328767123288</v>
      </c>
      <c r="K23" s="3">
        <v>2.9827646247881998</v>
      </c>
      <c r="L23" s="2" t="s">
        <v>350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113.04</v>
      </c>
      <c r="H24" s="3">
        <v>3.3721744062235999</v>
      </c>
      <c r="I24" s="3">
        <v>2.7802282254556001</v>
      </c>
      <c r="J24" s="3">
        <v>9.2356164383561996</v>
      </c>
      <c r="K24" s="3">
        <v>7.2972663024631998</v>
      </c>
      <c r="L24" s="2" t="s">
        <v>350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103.74</v>
      </c>
      <c r="H25" s="3">
        <v>3.6343878457832002</v>
      </c>
      <c r="I25" s="3">
        <v>3.1375169538007999</v>
      </c>
      <c r="J25" s="3">
        <v>11.742465753425</v>
      </c>
      <c r="K25" s="3">
        <v>9.1089995100027998</v>
      </c>
      <c r="L25" s="2" t="s">
        <v>350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112.63</v>
      </c>
      <c r="H26" s="3">
        <v>3.8740232485310999</v>
      </c>
      <c r="I26" s="3">
        <v>3.2832295284012001</v>
      </c>
      <c r="J26" s="3">
        <v>14.238356164383999</v>
      </c>
      <c r="K26" s="3">
        <v>10.097537709245</v>
      </c>
      <c r="L26" s="2" t="s">
        <v>350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99.15</v>
      </c>
      <c r="H27" s="3">
        <v>1.8104243144308001</v>
      </c>
      <c r="I27" s="3">
        <v>1.6521055434306999</v>
      </c>
      <c r="J27" s="3">
        <v>1.5643835616438</v>
      </c>
      <c r="K27" s="3">
        <v>1.5182237202508999</v>
      </c>
      <c r="L27" s="2" t="s">
        <v>350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102.07</v>
      </c>
      <c r="H28" s="3">
        <v>2.2022347893035001</v>
      </c>
      <c r="I28" s="3">
        <v>1.8486629218337001</v>
      </c>
      <c r="J28" s="3">
        <v>3.5671232876711998</v>
      </c>
      <c r="K28" s="3">
        <v>3.3085742047020998</v>
      </c>
      <c r="L28" s="2" t="s">
        <v>350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98.995999999999995</v>
      </c>
      <c r="H29" s="3">
        <v>1.8527892092030001</v>
      </c>
      <c r="I29" s="3">
        <v>1.7825925059264001</v>
      </c>
      <c r="J29" s="3">
        <v>0.73424657534246995</v>
      </c>
      <c r="K29" s="3">
        <v>0.72248882886468002</v>
      </c>
      <c r="L29" s="2" t="s">
        <v>350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97.83</v>
      </c>
      <c r="H30" s="3">
        <v>1.7913999942136001</v>
      </c>
      <c r="I30" s="3">
        <v>1.7892728059562</v>
      </c>
      <c r="J30" s="3">
        <v>1.2301369863014</v>
      </c>
      <c r="K30" s="3">
        <v>1.2138711506338999</v>
      </c>
      <c r="L30" s="2" t="s">
        <v>350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103.21</v>
      </c>
      <c r="H31" s="3">
        <v>3.4853182124048998</v>
      </c>
      <c r="I31" s="3">
        <v>3.0057323997643</v>
      </c>
      <c r="J31" s="3">
        <v>9.7397260273972996</v>
      </c>
      <c r="K31" s="3">
        <v>7.8885036187697999</v>
      </c>
      <c r="L31" s="2" t="s">
        <v>350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112.19</v>
      </c>
      <c r="H32" s="3">
        <v>3.9663984081750998</v>
      </c>
      <c r="I32" s="3">
        <v>3.3729201233264998</v>
      </c>
      <c r="J32" s="3">
        <v>15.326027397260001</v>
      </c>
      <c r="K32" s="3">
        <v>10.656858848791</v>
      </c>
      <c r="L32" s="2" t="s">
        <v>350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102.041</v>
      </c>
      <c r="H33" s="3">
        <v>1.9288313188351001</v>
      </c>
      <c r="I33" s="3">
        <v>1.3821637968636999</v>
      </c>
      <c r="J33" s="3">
        <v>0.81095890410959004</v>
      </c>
      <c r="K33" s="3">
        <v>0.78785694334964995</v>
      </c>
      <c r="L33" s="2" t="s">
        <v>350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87.71</v>
      </c>
      <c r="H34" s="3">
        <v>4.1602505084711998</v>
      </c>
      <c r="I34" s="3">
        <v>3.7105577806988999</v>
      </c>
      <c r="J34" s="3">
        <v>21.328767123287999</v>
      </c>
      <c r="K34" s="3">
        <v>14.395976644148</v>
      </c>
      <c r="L34" s="2" t="s">
        <v>350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100.07</v>
      </c>
      <c r="H35" s="3">
        <v>1.8449740190527999</v>
      </c>
      <c r="I35" s="3">
        <v>1.5990615016854</v>
      </c>
      <c r="J35" s="3">
        <v>0.56438356164383996</v>
      </c>
      <c r="K35" s="3">
        <v>0.54941623327035005</v>
      </c>
      <c r="L35" s="2" t="s">
        <v>350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72.010000000000005</v>
      </c>
      <c r="H36" s="3">
        <v>4.2752627366824001</v>
      </c>
      <c r="I36" s="3">
        <v>3.8222480966641998</v>
      </c>
      <c r="J36" s="3">
        <v>41.838356164384003</v>
      </c>
      <c r="K36" s="3">
        <v>20.697029409203001</v>
      </c>
      <c r="L36" s="2" t="s">
        <v>350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94.53</v>
      </c>
      <c r="H37" s="3">
        <v>3.2269798735044</v>
      </c>
      <c r="I37" s="3">
        <v>2.9021352794738</v>
      </c>
      <c r="J37" s="3">
        <v>8.3205479452054991</v>
      </c>
      <c r="K37" s="3">
        <v>7.2813801888601004</v>
      </c>
      <c r="L37" s="2" t="s">
        <v>350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91.46</v>
      </c>
      <c r="H38" s="3">
        <v>3.8039257926792001</v>
      </c>
      <c r="I38" s="3">
        <v>3.4080539482711001</v>
      </c>
      <c r="J38" s="3">
        <v>13.323287671233</v>
      </c>
      <c r="K38" s="3">
        <v>10.525569843292001</v>
      </c>
      <c r="L38" s="2" t="s">
        <v>350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99.41</v>
      </c>
      <c r="H39" s="3">
        <v>3.4484673795229002</v>
      </c>
      <c r="I39" s="3">
        <v>3.0198710637619</v>
      </c>
      <c r="J39" s="3">
        <v>9.8164383561644009</v>
      </c>
      <c r="K39" s="3">
        <v>8.1110556070561</v>
      </c>
      <c r="L39" s="2" t="s">
        <v>350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94.79</v>
      </c>
      <c r="H40" s="3">
        <v>4.2340623853585999</v>
      </c>
      <c r="I40" s="3">
        <v>3.7256214412214002</v>
      </c>
      <c r="J40" s="3">
        <v>24.331506849315002</v>
      </c>
      <c r="K40" s="3">
        <v>15.008727672291</v>
      </c>
      <c r="L40" s="2" t="s">
        <v>350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94.58</v>
      </c>
      <c r="H41" s="3">
        <v>2.5486055547797002</v>
      </c>
      <c r="I41" s="3">
        <v>2.3724716793277998</v>
      </c>
      <c r="J41" s="3">
        <v>4.8986301369863003</v>
      </c>
      <c r="K41" s="3">
        <v>4.6271798486220002</v>
      </c>
      <c r="L41" s="2" t="s">
        <v>350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73.05</v>
      </c>
      <c r="H42" s="3">
        <v>4.2271040467415997</v>
      </c>
      <c r="I42" s="3">
        <v>3.8447905952321002</v>
      </c>
      <c r="J42" s="3">
        <v>25.331506849315002</v>
      </c>
      <c r="K42" s="3">
        <v>16.915600243991999</v>
      </c>
      <c r="L42" s="2" t="s">
        <v>350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61.42</v>
      </c>
      <c r="H43" s="3">
        <v>4.1528951613232996</v>
      </c>
      <c r="I43" s="3">
        <v>3.8571435302505002</v>
      </c>
      <c r="J43" s="3">
        <v>26.331506849315002</v>
      </c>
      <c r="K43" s="3">
        <v>18.72129191354</v>
      </c>
      <c r="L43" s="2" t="s">
        <v>350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104.59</v>
      </c>
      <c r="H44" s="3">
        <v>4.1295641130726999</v>
      </c>
      <c r="I44" s="3">
        <v>3.5776658501859999</v>
      </c>
      <c r="J44" s="3">
        <v>18.326027397259999</v>
      </c>
      <c r="K44" s="3">
        <v>12.256165843181</v>
      </c>
      <c r="L44" s="2" t="s">
        <v>350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106.81</v>
      </c>
      <c r="H45" s="3">
        <v>3.3279558997105001</v>
      </c>
      <c r="I45" s="3">
        <v>2.8153998359079</v>
      </c>
      <c r="J45" s="3">
        <v>8.8164383561644009</v>
      </c>
      <c r="K45" s="3">
        <v>7.2190067681552001</v>
      </c>
      <c r="L45" s="2" t="s">
        <v>350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89.76</v>
      </c>
      <c r="H46" s="3">
        <v>2.8140865376125999</v>
      </c>
      <c r="I46" s="3">
        <v>2.6930710808067002</v>
      </c>
      <c r="J46" s="3">
        <v>5.8986301369863003</v>
      </c>
      <c r="K46" s="3">
        <v>5.5853176184797997</v>
      </c>
      <c r="L46" s="2" t="s">
        <v>350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87.01</v>
      </c>
      <c r="H47" s="3">
        <v>3.0250817676352999</v>
      </c>
      <c r="I47" s="3">
        <v>2.8853571151119</v>
      </c>
      <c r="J47" s="3">
        <v>7.0684931506849003</v>
      </c>
      <c r="K47" s="3">
        <v>6.6014318409257999</v>
      </c>
      <c r="L47" s="2" t="s">
        <v>350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108.61</v>
      </c>
      <c r="H48" s="3">
        <v>3.1914623478699999</v>
      </c>
      <c r="I48" s="3">
        <v>2.6602317923533998</v>
      </c>
      <c r="J48" s="3">
        <v>7.9835616438355999</v>
      </c>
      <c r="K48" s="3">
        <v>6.6602894705570996</v>
      </c>
      <c r="L48" s="2" t="s">
        <v>350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107.87</v>
      </c>
      <c r="H49" s="3">
        <v>1.8280296214789</v>
      </c>
      <c r="I49" s="3">
        <v>0.96405495785244</v>
      </c>
      <c r="J49" s="3">
        <v>1.4821917808219001</v>
      </c>
      <c r="K49" s="3">
        <v>1.4095585375416</v>
      </c>
      <c r="L49" s="2" t="s">
        <v>350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110.82</v>
      </c>
      <c r="H50" s="3">
        <v>2.0089654977581999</v>
      </c>
      <c r="I50" s="3">
        <v>1.2419847548715</v>
      </c>
      <c r="J50" s="3">
        <v>2.4821917808218998</v>
      </c>
      <c r="K50" s="3">
        <v>2.2929119328390999</v>
      </c>
      <c r="L50" s="2" t="s">
        <v>350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112.13</v>
      </c>
      <c r="H51" s="3">
        <v>2.3885580175449999</v>
      </c>
      <c r="I51" s="3">
        <v>1.7690000393122001</v>
      </c>
      <c r="J51" s="3">
        <v>4.4849315068492999</v>
      </c>
      <c r="K51" s="3">
        <v>3.9847299435443002</v>
      </c>
      <c r="L51" s="2" t="s">
        <v>350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117.68</v>
      </c>
      <c r="H52" s="3">
        <v>2.7865674095060999</v>
      </c>
      <c r="I52" s="3">
        <v>2.0973260178716</v>
      </c>
      <c r="J52" s="3">
        <v>5.9808219178081998</v>
      </c>
      <c r="K52" s="3">
        <v>5.0504745451598998</v>
      </c>
      <c r="L52" s="2" t="s">
        <v>350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99.959000000000003</v>
      </c>
      <c r="H53" s="3">
        <v>2.0242665499968</v>
      </c>
      <c r="I53" s="3">
        <v>1.8491068344987001</v>
      </c>
      <c r="J53" s="3">
        <v>6.3013698630137005E-2</v>
      </c>
      <c r="K53" s="3">
        <v>6.4450798498287998E-2</v>
      </c>
      <c r="L53" s="2" t="s">
        <v>350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91.76</v>
      </c>
      <c r="H54" s="3">
        <v>2.6637243914389002</v>
      </c>
      <c r="I54" s="3">
        <v>2.5324046414794998</v>
      </c>
      <c r="J54" s="3">
        <v>5.2328767123287996</v>
      </c>
      <c r="K54" s="3">
        <v>4.9649897550863997</v>
      </c>
      <c r="L54" s="2" t="s">
        <v>350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108</v>
      </c>
      <c r="H55" s="3">
        <v>3.062806107274</v>
      </c>
      <c r="I55" s="3">
        <v>2.5588465056260001</v>
      </c>
      <c r="J55" s="3">
        <v>8.4876712328766999</v>
      </c>
      <c r="K55" s="3">
        <v>7.0274211049732997</v>
      </c>
      <c r="L55" s="2" t="s">
        <v>350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100.4</v>
      </c>
      <c r="H56" s="3">
        <v>3.5829044582571998</v>
      </c>
      <c r="I56" s="3">
        <v>3.1267687795135002</v>
      </c>
      <c r="J56" s="3">
        <v>10.402739726027001</v>
      </c>
      <c r="K56" s="3">
        <v>8.4637379018251995</v>
      </c>
      <c r="L56" s="2" t="s">
        <v>350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101.96</v>
      </c>
      <c r="H57" s="3">
        <v>2.5393929489209</v>
      </c>
      <c r="I57" s="3">
        <v>2.1586409344905002</v>
      </c>
      <c r="J57" s="3">
        <v>4.4000000000000004</v>
      </c>
      <c r="K57" s="3">
        <v>4.0433155828271001</v>
      </c>
      <c r="L57" s="2" t="s">
        <v>350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106.26</v>
      </c>
      <c r="H58" s="3">
        <v>2.3483431226102001</v>
      </c>
      <c r="I58" s="3">
        <v>1.8231343018935999</v>
      </c>
      <c r="J58" s="3">
        <v>3.7369863013699001</v>
      </c>
      <c r="K58" s="3">
        <v>3.3969784718947</v>
      </c>
      <c r="L58" s="2" t="s">
        <v>350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101.26</v>
      </c>
      <c r="H59" s="3">
        <v>2.7030907201369998</v>
      </c>
      <c r="I59" s="3">
        <v>2.3325855873578001</v>
      </c>
      <c r="J59" s="3">
        <v>5.1479452054795001</v>
      </c>
      <c r="K59" s="3">
        <v>4.6651539408081</v>
      </c>
      <c r="L59" s="2" t="s">
        <v>350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96.04</v>
      </c>
      <c r="H60" s="3">
        <v>3.1120963458570001</v>
      </c>
      <c r="I60" s="3">
        <v>2.7644477120383</v>
      </c>
      <c r="J60" s="3">
        <v>7.5698630136986003</v>
      </c>
      <c r="K60" s="3">
        <v>6.6440174563332004</v>
      </c>
      <c r="L60" s="2" t="s">
        <v>350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100.3</v>
      </c>
      <c r="H61" s="3">
        <v>1.919854474446</v>
      </c>
      <c r="I61" s="3">
        <v>1.6522287601426</v>
      </c>
      <c r="J61" s="3">
        <v>2.2301369863014</v>
      </c>
      <c r="K61" s="3">
        <v>2.1416968273834001</v>
      </c>
      <c r="L61" s="2" t="s">
        <v>350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101.52</v>
      </c>
      <c r="H62" s="3">
        <v>2.0474467437157</v>
      </c>
      <c r="I62" s="3">
        <v>1.7081935038261999</v>
      </c>
      <c r="J62" s="3">
        <v>2.5643835616438002</v>
      </c>
      <c r="K62" s="3">
        <v>2.4194622291619998</v>
      </c>
      <c r="L62" s="2" t="s">
        <v>350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79.78</v>
      </c>
      <c r="H63" s="3">
        <v>4.1524204418899</v>
      </c>
      <c r="I63" s="3">
        <v>3.7555263808495001</v>
      </c>
      <c r="J63" s="3">
        <v>21.824657534246999</v>
      </c>
      <c r="K63" s="3">
        <v>15.163163951163</v>
      </c>
      <c r="L63" s="2" t="s">
        <v>350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74.3</v>
      </c>
      <c r="H64" s="3">
        <v>3.6774963990264999</v>
      </c>
      <c r="I64" s="3">
        <v>3.5315118403164001</v>
      </c>
      <c r="J64" s="3">
        <v>11.819178082192</v>
      </c>
      <c r="K64" s="3">
        <v>10.663307231605</v>
      </c>
      <c r="L64" s="2" t="s">
        <v>350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67.03</v>
      </c>
      <c r="H65" s="3">
        <v>4.2274836894629999</v>
      </c>
      <c r="I65" s="3">
        <v>3.8740899968772999</v>
      </c>
      <c r="J65" s="3">
        <v>27.334246575342998</v>
      </c>
      <c r="K65" s="3">
        <v>18.181366614369999</v>
      </c>
      <c r="L65" s="2" t="s">
        <v>350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101.73</v>
      </c>
      <c r="H66" s="3">
        <v>1.9576021595316999</v>
      </c>
      <c r="I66" s="3">
        <v>1.5833761221923</v>
      </c>
      <c r="J66" s="3">
        <v>1.772602739726</v>
      </c>
      <c r="K66" s="3">
        <v>1.6966802731705</v>
      </c>
      <c r="L66" s="2" t="s">
        <v>350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101.1</v>
      </c>
      <c r="H67" s="3">
        <v>3.5500219429099</v>
      </c>
      <c r="I67" s="3">
        <v>3.0852516375341001</v>
      </c>
      <c r="J67" s="3">
        <v>10.235616438356001</v>
      </c>
      <c r="K67" s="3">
        <v>8.2691386768707993</v>
      </c>
      <c r="L67" s="2" t="s">
        <v>350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100.29</v>
      </c>
      <c r="H68" s="3">
        <v>1.8614346292165</v>
      </c>
      <c r="I68" s="3">
        <v>1.5971351167328001</v>
      </c>
      <c r="J68" s="3">
        <v>1.1835616438356</v>
      </c>
      <c r="K68" s="3">
        <v>1.1467568367890999</v>
      </c>
      <c r="L68" s="2" t="s">
        <v>350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103.1</v>
      </c>
      <c r="H69" s="3">
        <v>2.9185855144286998</v>
      </c>
      <c r="I69" s="3">
        <v>2.4893786094757999</v>
      </c>
      <c r="J69" s="3">
        <v>6.1863013698630001</v>
      </c>
      <c r="K69" s="3">
        <v>5.4186815607689001</v>
      </c>
      <c r="L69" s="2" t="s">
        <v>350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74.75</v>
      </c>
      <c r="H70" s="3">
        <v>4.0010889319491003</v>
      </c>
      <c r="I70" s="3">
        <v>3.7289482032559</v>
      </c>
      <c r="J70" s="3">
        <v>15.821917808219</v>
      </c>
      <c r="K70" s="3">
        <v>12.868303758046</v>
      </c>
      <c r="L70" s="2" t="s">
        <v>350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106.35</v>
      </c>
      <c r="H71" s="3">
        <v>2.7667665768892</v>
      </c>
      <c r="I71" s="3">
        <v>2.2787860453189999</v>
      </c>
      <c r="J71" s="3">
        <v>5.5232876712329002</v>
      </c>
      <c r="K71" s="3">
        <v>4.8073376525034002</v>
      </c>
      <c r="L71" s="2" t="s">
        <v>350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98.39</v>
      </c>
      <c r="H72" s="3">
        <v>1.8297818872397</v>
      </c>
      <c r="I72" s="3">
        <v>1.7154602806152</v>
      </c>
      <c r="J72" s="3">
        <v>1.6876712328767001</v>
      </c>
      <c r="K72" s="3">
        <v>1.6447382491700999</v>
      </c>
      <c r="L72" s="2" t="s">
        <v>350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93.4</v>
      </c>
      <c r="H73" s="3">
        <v>2.2970003219095001</v>
      </c>
      <c r="I73" s="3">
        <v>2.2213859860110001</v>
      </c>
      <c r="J73" s="3">
        <v>3.7753424657534</v>
      </c>
      <c r="K73" s="3">
        <v>3.6585199731746001</v>
      </c>
      <c r="L73" s="2" t="s">
        <v>350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105.84</v>
      </c>
      <c r="H74" s="3">
        <v>2.5089030338987</v>
      </c>
      <c r="I74" s="3">
        <v>2.038947612886</v>
      </c>
      <c r="J74" s="3">
        <v>4.6054794520547997</v>
      </c>
      <c r="K74" s="3">
        <v>4.1170507372353997</v>
      </c>
      <c r="L74" s="2" t="s">
        <v>350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101.6</v>
      </c>
      <c r="H75" s="3">
        <v>2.0320297511354002</v>
      </c>
      <c r="I75" s="3">
        <v>1.6932732855638</v>
      </c>
      <c r="J75" s="3">
        <v>2.4356164383561998</v>
      </c>
      <c r="K75" s="3">
        <v>2.3232824932852001</v>
      </c>
      <c r="L75" s="2" t="s">
        <v>350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103.65</v>
      </c>
      <c r="H76" s="3">
        <v>2.8248246483065</v>
      </c>
      <c r="I76" s="3">
        <v>2.3896055051501999</v>
      </c>
      <c r="J76" s="3">
        <v>5.7753424657533996</v>
      </c>
      <c r="K76" s="3">
        <v>5.1108679541216997</v>
      </c>
      <c r="L76" s="2" t="s">
        <v>350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101.70099999999999</v>
      </c>
      <c r="H77" s="3">
        <v>1.9347776236005001</v>
      </c>
      <c r="I77" s="3">
        <v>1.4691510775629</v>
      </c>
      <c r="J77" s="3">
        <v>0.93424657534247002</v>
      </c>
      <c r="K77" s="3">
        <v>0.90770674736255996</v>
      </c>
      <c r="L77" s="2" t="s">
        <v>350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101.66</v>
      </c>
      <c r="H78" s="3">
        <v>2.3851389338284998</v>
      </c>
      <c r="I78" s="3">
        <v>2.0349479242000998</v>
      </c>
      <c r="J78" s="3">
        <v>4.1041095890410997</v>
      </c>
      <c r="K78" s="3">
        <v>3.7759097481018</v>
      </c>
      <c r="L78" s="2" t="s">
        <v>350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97.74</v>
      </c>
      <c r="H79" s="3">
        <v>1.9449666666701</v>
      </c>
      <c r="I79" s="3">
        <v>1.8236041514248</v>
      </c>
      <c r="J79" s="3">
        <v>2.3534246575342999</v>
      </c>
      <c r="K79" s="3">
        <v>2.2850849634089001</v>
      </c>
      <c r="L79" s="2" t="s">
        <v>350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101.28</v>
      </c>
      <c r="H80" s="3">
        <v>2.2313224477448999</v>
      </c>
      <c r="I80" s="3">
        <v>1.8877867099618</v>
      </c>
      <c r="J80" s="3">
        <v>3.1041095890411001</v>
      </c>
      <c r="K80" s="3">
        <v>2.9243896248604</v>
      </c>
      <c r="L80" s="2" t="s">
        <v>350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105</v>
      </c>
      <c r="H81" s="3">
        <v>2.6588557889710001</v>
      </c>
      <c r="I81" s="3">
        <v>2.1775118149271</v>
      </c>
      <c r="J81" s="3">
        <v>5.1041095890410997</v>
      </c>
      <c r="K81" s="3">
        <v>4.5298498843777004</v>
      </c>
      <c r="L81" s="2" t="s">
        <v>350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94.99</v>
      </c>
      <c r="H82" s="3">
        <v>2.1421939105227001</v>
      </c>
      <c r="I82" s="3">
        <v>2.0561069872665998</v>
      </c>
      <c r="J82" s="3">
        <v>3.1863013698630001</v>
      </c>
      <c r="K82" s="3">
        <v>3.0983251495556998</v>
      </c>
      <c r="L82" s="2" t="s">
        <v>350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103.04</v>
      </c>
      <c r="H83" s="3">
        <v>2.0314137045198</v>
      </c>
      <c r="I83" s="3">
        <v>1.6043317532554999</v>
      </c>
      <c r="J83" s="3">
        <v>2.1835616438356</v>
      </c>
      <c r="K83" s="3">
        <v>2.0601420683443998</v>
      </c>
      <c r="L83" s="2" t="s">
        <v>350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102.56</v>
      </c>
      <c r="H84" s="3">
        <v>1.9242759131514999</v>
      </c>
      <c r="I84" s="3">
        <v>1.4489233758168001</v>
      </c>
      <c r="J84" s="3">
        <v>1.3534246575341999</v>
      </c>
      <c r="K84" s="3">
        <v>1.3006498785664999</v>
      </c>
      <c r="L84" s="2" t="s">
        <v>350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100.33</v>
      </c>
      <c r="H85" s="3">
        <v>1.7968132332030999</v>
      </c>
      <c r="I85" s="3">
        <v>1.4919083660465999</v>
      </c>
      <c r="J85" s="3">
        <v>0.52054794520547998</v>
      </c>
      <c r="K85" s="3">
        <v>0.51066826289347</v>
      </c>
      <c r="L85" s="2" t="s">
        <v>350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99.26</v>
      </c>
      <c r="H86" s="3">
        <v>4.3884696987776</v>
      </c>
      <c r="I86" s="3">
        <v>3.8372172405192999</v>
      </c>
      <c r="J86" s="3">
        <v>29.416438356164001</v>
      </c>
      <c r="K86" s="3">
        <v>16.136606564983001</v>
      </c>
      <c r="L86" s="2" t="s">
        <v>350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101.012</v>
      </c>
      <c r="H87" s="3">
        <v>1.9711998365437</v>
      </c>
      <c r="I87" s="3">
        <v>1.5409028639292</v>
      </c>
      <c r="J87" s="3">
        <v>0.68767123287670995</v>
      </c>
      <c r="K87" s="3">
        <v>0.66608661735301</v>
      </c>
      <c r="L87" s="2" t="s">
        <v>350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95</v>
      </c>
      <c r="H88" s="3">
        <v>2.0747240913048</v>
      </c>
      <c r="I88" s="3">
        <v>2.0360660499210002</v>
      </c>
      <c r="J88" s="3">
        <v>2.8520547945205998</v>
      </c>
      <c r="K88" s="3">
        <v>2.7846223298986001</v>
      </c>
      <c r="L88" s="2" t="s">
        <v>350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81.180000000000007</v>
      </c>
      <c r="H89" s="3">
        <v>3.590040658895</v>
      </c>
      <c r="I89" s="3">
        <v>3.380270987601</v>
      </c>
      <c r="J89" s="3">
        <v>10.819178082192</v>
      </c>
      <c r="K89" s="3">
        <v>9.5723848140724002</v>
      </c>
      <c r="L89" s="2" t="s">
        <v>350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98.41</v>
      </c>
      <c r="H90" s="3">
        <v>4.0254124916779004</v>
      </c>
      <c r="I90" s="3">
        <v>3.5269623209474998</v>
      </c>
      <c r="J90" s="3">
        <v>15.408219178082</v>
      </c>
      <c r="K90" s="3">
        <v>11.233000013334999</v>
      </c>
      <c r="L90" s="2" t="s">
        <v>350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99.775000000000006</v>
      </c>
      <c r="H91" s="3">
        <v>2.0188816102940002</v>
      </c>
      <c r="I91" s="3">
        <v>1.8575095001704001</v>
      </c>
      <c r="J91" s="3">
        <v>0.26849315068493002</v>
      </c>
      <c r="K91" s="3">
        <v>0.26320992571578</v>
      </c>
      <c r="L91" s="2" t="s">
        <v>350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9.8684931506849001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108.13</v>
      </c>
      <c r="H93" s="3">
        <v>2.1996778381133</v>
      </c>
      <c r="I93" s="3">
        <v>1.6287363848855001</v>
      </c>
      <c r="J93" s="3">
        <v>3.3178082191781</v>
      </c>
      <c r="K93" s="3">
        <v>3.0275910674782001</v>
      </c>
      <c r="L93" s="2" t="s">
        <v>350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102.96</v>
      </c>
      <c r="H94" s="3">
        <v>4.3611379332424001</v>
      </c>
      <c r="I94" s="3">
        <v>3.7984017575892</v>
      </c>
      <c r="J94" s="3">
        <v>28.416438356164001</v>
      </c>
      <c r="K94" s="3">
        <v>15.736018447409</v>
      </c>
      <c r="L94" s="2" t="s">
        <v>350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101.01</v>
      </c>
      <c r="H95" s="3">
        <v>3.1145399365644</v>
      </c>
      <c r="I95" s="3">
        <v>2.7049489273863001</v>
      </c>
      <c r="J95" s="3">
        <v>7.1890410958904001</v>
      </c>
      <c r="K95" s="3">
        <v>6.2695715765216002</v>
      </c>
      <c r="L95" s="2" t="s">
        <v>350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100.864</v>
      </c>
      <c r="H96" s="3">
        <v>1.9554253788717999</v>
      </c>
      <c r="I96" s="3">
        <v>1.5435860092763001</v>
      </c>
      <c r="J96" s="3">
        <v>0.72328767123287996</v>
      </c>
      <c r="K96" s="3">
        <v>0.70183596951159</v>
      </c>
      <c r="L96" s="2" t="s">
        <v>350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100.58</v>
      </c>
      <c r="H97" s="3">
        <v>2.0415620470643998</v>
      </c>
      <c r="I97" s="3">
        <v>1.5998900225221</v>
      </c>
      <c r="J97" s="3">
        <v>0.39178082191781</v>
      </c>
      <c r="K97" s="3">
        <v>0.38400342676270999</v>
      </c>
      <c r="L97" s="2" t="s">
        <v>350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99.954999999999998</v>
      </c>
      <c r="H98" s="3">
        <v>2.1324743964049002</v>
      </c>
      <c r="I98" s="3">
        <v>1.8981552926395</v>
      </c>
      <c r="J98" s="3">
        <v>0.14520547945206</v>
      </c>
      <c r="K98" s="3">
        <v>0.14218370634186001</v>
      </c>
      <c r="L98" s="2" t="s">
        <v>350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101.52</v>
      </c>
      <c r="H99" s="3">
        <v>1.9279325164184999</v>
      </c>
      <c r="I99" s="3">
        <v>1.540871692436</v>
      </c>
      <c r="J99" s="3">
        <v>1.3041095890411001</v>
      </c>
      <c r="K99" s="3">
        <v>1.2574475933136</v>
      </c>
      <c r="L99" s="2" t="s">
        <v>350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101.04</v>
      </c>
      <c r="H100" s="3">
        <v>2.9897386479776999</v>
      </c>
      <c r="I100" s="3">
        <v>2.5936173839530001</v>
      </c>
      <c r="J100" s="3">
        <v>6.5232876712329002</v>
      </c>
      <c r="K100" s="3">
        <v>5.6979197426199999</v>
      </c>
      <c r="L100" s="2" t="s">
        <v>350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101.02</v>
      </c>
      <c r="H101" s="3">
        <v>1.9769951757826001</v>
      </c>
      <c r="I101" s="3">
        <v>1.6526088762413</v>
      </c>
      <c r="J101" s="3">
        <v>1.8</v>
      </c>
      <c r="K101" s="3">
        <v>1.7285149153627</v>
      </c>
      <c r="L101" s="2" t="s">
        <v>350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103.56</v>
      </c>
      <c r="H102" s="3">
        <v>2.1311164628506001</v>
      </c>
      <c r="I102" s="3">
        <v>1.6987890971466999</v>
      </c>
      <c r="J102" s="3">
        <v>2.8986301369862999</v>
      </c>
      <c r="K102" s="3">
        <v>2.7254510814942998</v>
      </c>
      <c r="L102" s="2" t="s">
        <v>350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104.06</v>
      </c>
      <c r="H103" s="3">
        <v>2.8300923633938999</v>
      </c>
      <c r="I103" s="3">
        <v>2.3701881054360001</v>
      </c>
      <c r="J103" s="3">
        <v>4.8246575342466</v>
      </c>
      <c r="K103" s="3">
        <v>4.3222793831553998</v>
      </c>
      <c r="L103" s="2" t="s">
        <v>350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104.06</v>
      </c>
      <c r="H104" s="3">
        <v>2.9650217818537001</v>
      </c>
      <c r="I104" s="3">
        <v>2.4929603318810001</v>
      </c>
      <c r="J104" s="3">
        <v>4.8246575342466</v>
      </c>
      <c r="K104" s="3">
        <v>4.3174059799873996</v>
      </c>
      <c r="L104" s="2" t="s">
        <v>350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106.01</v>
      </c>
      <c r="H105" s="3">
        <v>2.5110239538007</v>
      </c>
      <c r="I105" s="3">
        <v>1.9798327318944</v>
      </c>
      <c r="J105" s="3">
        <v>3.4246575342466001</v>
      </c>
      <c r="K105" s="3">
        <v>3.1267807305609998</v>
      </c>
      <c r="L105" s="2" t="s">
        <v>350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106.01</v>
      </c>
      <c r="H106" s="3">
        <v>2.6489264773448</v>
      </c>
      <c r="I106" s="3">
        <v>2.1069767897937002</v>
      </c>
      <c r="J106" s="3">
        <v>3.4246575342466001</v>
      </c>
      <c r="K106" s="3">
        <v>3.1229207070416001</v>
      </c>
      <c r="L106" s="2" t="s">
        <v>350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103.57</v>
      </c>
      <c r="H107" s="3">
        <v>2.2211863026734999</v>
      </c>
      <c r="I107" s="3">
        <v>1.7326601811599001</v>
      </c>
      <c r="J107" s="3">
        <v>2.0958904109589001</v>
      </c>
      <c r="K107" s="3">
        <v>1.9680597516881999</v>
      </c>
      <c r="L107" s="2" t="s">
        <v>350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103.57</v>
      </c>
      <c r="H108" s="3">
        <v>2.4522084166467</v>
      </c>
      <c r="I108" s="3">
        <v>1.9494957469476</v>
      </c>
      <c r="J108" s="3">
        <v>2.0958904109589001</v>
      </c>
      <c r="K108" s="3">
        <v>1.9637431214595</v>
      </c>
      <c r="L108" s="2" t="s">
        <v>350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103.87</v>
      </c>
      <c r="H109" s="3">
        <v>2.8674005017822002</v>
      </c>
      <c r="I109" s="3">
        <v>2.4109670582880001</v>
      </c>
      <c r="J109" s="3">
        <v>5.0164383561644001</v>
      </c>
      <c r="K109" s="3">
        <v>4.4671863283317004</v>
      </c>
      <c r="L109" s="2" t="s">
        <v>350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103.87</v>
      </c>
      <c r="H110" s="3">
        <v>3.0154410933181999</v>
      </c>
      <c r="I110" s="3">
        <v>2.5450666762391001</v>
      </c>
      <c r="J110" s="3">
        <v>5.0164383561644001</v>
      </c>
      <c r="K110" s="3">
        <v>4.4617242777876998</v>
      </c>
      <c r="L110" s="2" t="s">
        <v>350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101.5</v>
      </c>
      <c r="H111" s="3">
        <v>4.7795275361938003</v>
      </c>
      <c r="I111" s="3">
        <v>4.451131703373</v>
      </c>
      <c r="J111" s="3">
        <v>31.038356164383998</v>
      </c>
      <c r="K111" s="3">
        <v>5.7140978046287003</v>
      </c>
      <c r="L111" s="2" t="s">
        <v>350</v>
      </c>
      <c r="M111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9B04-835C-3645-8521-12D3A7C50D18}">
  <dimension ref="A1:M111"/>
  <sheetViews>
    <sheetView workbookViewId="0">
      <selection activeCell="N18" sqref="N18"/>
    </sheetView>
  </sheetViews>
  <sheetFormatPr baseColWidth="10" defaultRowHeight="16" x14ac:dyDescent="0.2"/>
  <sheetData>
    <row r="1" spans="1:13" x14ac:dyDescent="0.2">
      <c r="A1" s="6" t="s">
        <v>220</v>
      </c>
      <c r="B1" s="6" t="s">
        <v>221</v>
      </c>
      <c r="C1" s="6" t="s">
        <v>222</v>
      </c>
      <c r="D1" s="6" t="s">
        <v>223</v>
      </c>
      <c r="E1" s="6" t="s">
        <v>224</v>
      </c>
      <c r="F1" s="6" t="s">
        <v>225</v>
      </c>
      <c r="G1" s="6" t="s">
        <v>226</v>
      </c>
      <c r="H1" s="6" t="s">
        <v>227</v>
      </c>
      <c r="I1" s="6" t="s">
        <v>228</v>
      </c>
      <c r="J1" s="6" t="s">
        <v>229</v>
      </c>
      <c r="K1" s="6" t="s">
        <v>230</v>
      </c>
      <c r="L1" s="6" t="s">
        <v>231</v>
      </c>
      <c r="M1" s="6"/>
    </row>
    <row r="2" spans="1:13" x14ac:dyDescent="0.2">
      <c r="A2" s="7" t="s">
        <v>4</v>
      </c>
      <c r="B2" s="7" t="s">
        <v>232</v>
      </c>
      <c r="C2" s="7" t="s">
        <v>233</v>
      </c>
      <c r="D2" s="7" t="s">
        <v>234</v>
      </c>
      <c r="E2" s="7">
        <v>48611</v>
      </c>
      <c r="F2" s="8">
        <v>2.875</v>
      </c>
      <c r="G2" s="8">
        <v>117.56</v>
      </c>
      <c r="H2" s="8">
        <v>3.19</v>
      </c>
      <c r="I2" s="8">
        <v>2.528</v>
      </c>
      <c r="J2" s="8">
        <v>7.7320000000000002</v>
      </c>
      <c r="K2" s="8">
        <v>6.194</v>
      </c>
      <c r="L2" s="7">
        <v>45785</v>
      </c>
      <c r="M2" s="9"/>
    </row>
    <row r="3" spans="1:13" x14ac:dyDescent="0.2">
      <c r="A3" s="7" t="s">
        <v>23</v>
      </c>
      <c r="B3" s="7" t="s">
        <v>236</v>
      </c>
      <c r="C3" s="7" t="s">
        <v>233</v>
      </c>
      <c r="D3" s="7" t="s">
        <v>234</v>
      </c>
      <c r="E3" s="7">
        <v>46539</v>
      </c>
      <c r="F3" s="8">
        <v>1.1000000000000001</v>
      </c>
      <c r="G3" s="8">
        <v>100.56</v>
      </c>
      <c r="H3" s="8">
        <v>1.93</v>
      </c>
      <c r="I3" s="8">
        <v>1.639</v>
      </c>
      <c r="J3" s="8">
        <v>2.0550000000000002</v>
      </c>
      <c r="K3" s="8">
        <v>1.9630000000000001</v>
      </c>
      <c r="L3" s="7">
        <v>45785</v>
      </c>
      <c r="M3" s="9"/>
    </row>
    <row r="4" spans="1:13" x14ac:dyDescent="0.2">
      <c r="A4" s="7" t="s">
        <v>27</v>
      </c>
      <c r="B4" s="7" t="s">
        <v>237</v>
      </c>
      <c r="C4" s="7" t="s">
        <v>233</v>
      </c>
      <c r="D4" s="7" t="s">
        <v>234</v>
      </c>
      <c r="E4" s="7">
        <v>46784</v>
      </c>
      <c r="F4" s="8">
        <v>1</v>
      </c>
      <c r="G4" s="8">
        <v>99.84</v>
      </c>
      <c r="H4" s="8">
        <v>2.069</v>
      </c>
      <c r="I4" s="8">
        <v>1.8120000000000001</v>
      </c>
      <c r="J4" s="8">
        <v>2.726</v>
      </c>
      <c r="K4" s="8">
        <v>2.5990000000000002</v>
      </c>
      <c r="L4" s="7">
        <v>45785</v>
      </c>
      <c r="M4" s="9"/>
    </row>
    <row r="5" spans="1:13" x14ac:dyDescent="0.2">
      <c r="A5" s="7" t="s">
        <v>32</v>
      </c>
      <c r="B5" s="7" t="s">
        <v>238</v>
      </c>
      <c r="C5" s="7" t="s">
        <v>233</v>
      </c>
      <c r="D5" s="7" t="s">
        <v>234</v>
      </c>
      <c r="E5" s="7">
        <v>47331</v>
      </c>
      <c r="F5" s="8">
        <v>1.5</v>
      </c>
      <c r="G5" s="8">
        <v>102.23</v>
      </c>
      <c r="H5" s="8">
        <v>2.4550000000000001</v>
      </c>
      <c r="I5" s="8">
        <v>2.081</v>
      </c>
      <c r="J5" s="8">
        <v>4.2249999999999996</v>
      </c>
      <c r="K5" s="8">
        <v>3.8759999999999999</v>
      </c>
      <c r="L5" s="7">
        <v>45785</v>
      </c>
      <c r="M5" s="9"/>
    </row>
    <row r="6" spans="1:13" x14ac:dyDescent="0.2">
      <c r="A6" s="7" t="s">
        <v>83</v>
      </c>
      <c r="B6" s="7" t="s">
        <v>239</v>
      </c>
      <c r="C6" s="7" t="s">
        <v>233</v>
      </c>
      <c r="D6" s="7" t="s">
        <v>234</v>
      </c>
      <c r="E6" s="7">
        <v>51044</v>
      </c>
      <c r="F6" s="8">
        <v>2.0750000000000002</v>
      </c>
      <c r="G6" s="8">
        <v>102.5</v>
      </c>
      <c r="H6" s="8">
        <v>3.9550000000000001</v>
      </c>
      <c r="I6" s="8">
        <v>3.4340000000000002</v>
      </c>
      <c r="J6" s="8">
        <v>14.397</v>
      </c>
      <c r="K6" s="8">
        <v>10.569000000000001</v>
      </c>
      <c r="L6" s="7">
        <v>45785</v>
      </c>
      <c r="M6" s="9"/>
    </row>
    <row r="7" spans="1:13" x14ac:dyDescent="0.2">
      <c r="A7" s="7" t="s">
        <v>49</v>
      </c>
      <c r="B7" s="7" t="s">
        <v>240</v>
      </c>
      <c r="C7" s="7" t="s">
        <v>233</v>
      </c>
      <c r="D7" s="7" t="s">
        <v>234</v>
      </c>
      <c r="E7" s="7">
        <v>48061</v>
      </c>
      <c r="F7" s="8">
        <v>0.3</v>
      </c>
      <c r="G7" s="8">
        <v>87.1</v>
      </c>
      <c r="H7" s="8">
        <v>2.899</v>
      </c>
      <c r="I7" s="8">
        <v>2.8170000000000002</v>
      </c>
      <c r="J7" s="8">
        <v>6.2249999999999996</v>
      </c>
      <c r="K7" s="8">
        <v>5.9260000000000002</v>
      </c>
      <c r="L7" s="7">
        <v>45785</v>
      </c>
      <c r="M7" s="9"/>
    </row>
    <row r="8" spans="1:13" x14ac:dyDescent="0.2">
      <c r="A8" s="7" t="s">
        <v>11</v>
      </c>
      <c r="B8" s="7" t="s">
        <v>241</v>
      </c>
      <c r="C8" s="7" t="s">
        <v>233</v>
      </c>
      <c r="D8" s="7" t="s">
        <v>234</v>
      </c>
      <c r="E8" s="7">
        <v>52841</v>
      </c>
      <c r="F8" s="8">
        <v>2.375</v>
      </c>
      <c r="G8" s="8">
        <v>108.58</v>
      </c>
      <c r="H8" s="8">
        <v>4.1399999999999997</v>
      </c>
      <c r="I8" s="8">
        <v>3.5640000000000001</v>
      </c>
      <c r="J8" s="8">
        <v>19.321000000000002</v>
      </c>
      <c r="K8" s="8">
        <v>12.516999999999999</v>
      </c>
      <c r="L8" s="7">
        <v>45785</v>
      </c>
      <c r="M8" s="9"/>
    </row>
    <row r="9" spans="1:13" x14ac:dyDescent="0.2">
      <c r="A9" s="7" t="s">
        <v>12</v>
      </c>
      <c r="B9" s="7" t="s">
        <v>242</v>
      </c>
      <c r="C9" s="7" t="s">
        <v>233</v>
      </c>
      <c r="D9" s="7" t="s">
        <v>234</v>
      </c>
      <c r="E9" s="7">
        <v>47543</v>
      </c>
      <c r="F9" s="8">
        <v>1.75</v>
      </c>
      <c r="G9" s="8">
        <v>104.45</v>
      </c>
      <c r="H9" s="8">
        <v>2.5249999999999999</v>
      </c>
      <c r="I9" s="8">
        <v>2.0910000000000002</v>
      </c>
      <c r="J9" s="8">
        <v>4.8049999999999997</v>
      </c>
      <c r="K9" s="8">
        <v>4.3369999999999997</v>
      </c>
      <c r="L9" s="7">
        <v>45785</v>
      </c>
      <c r="M9" s="9"/>
    </row>
    <row r="10" spans="1:13" x14ac:dyDescent="0.2">
      <c r="A10" s="7" t="s">
        <v>15</v>
      </c>
      <c r="B10" s="7" t="s">
        <v>243</v>
      </c>
      <c r="C10" s="7" t="s">
        <v>233</v>
      </c>
      <c r="D10" s="7" t="s">
        <v>234</v>
      </c>
      <c r="E10" s="7">
        <v>48274</v>
      </c>
      <c r="F10" s="8">
        <v>0.82499999999999996</v>
      </c>
      <c r="G10" s="8">
        <v>91.91</v>
      </c>
      <c r="H10" s="8">
        <v>2.992</v>
      </c>
      <c r="I10" s="8">
        <v>2.77</v>
      </c>
      <c r="J10" s="8">
        <v>6.8079999999999998</v>
      </c>
      <c r="K10" s="8">
        <v>6.2409999999999997</v>
      </c>
      <c r="L10" s="7">
        <v>45785</v>
      </c>
      <c r="M10" s="9"/>
    </row>
    <row r="11" spans="1:13" x14ac:dyDescent="0.2">
      <c r="A11" s="7" t="s">
        <v>18</v>
      </c>
      <c r="B11" s="7" t="s">
        <v>244</v>
      </c>
      <c r="C11" s="7" t="s">
        <v>233</v>
      </c>
      <c r="D11" s="7" t="s">
        <v>234</v>
      </c>
      <c r="E11" s="7">
        <v>46174</v>
      </c>
      <c r="F11" s="8">
        <v>0.8</v>
      </c>
      <c r="G11" s="8">
        <v>99.73</v>
      </c>
      <c r="H11" s="8">
        <v>1.8680000000000001</v>
      </c>
      <c r="I11" s="8">
        <v>1.6659999999999999</v>
      </c>
      <c r="J11" s="8">
        <v>1.0549999999999999</v>
      </c>
      <c r="K11" s="8">
        <v>1.024</v>
      </c>
      <c r="L11" s="7">
        <v>45785</v>
      </c>
      <c r="M11" s="9"/>
    </row>
    <row r="12" spans="1:13" x14ac:dyDescent="0.2">
      <c r="A12" s="7" t="s">
        <v>19</v>
      </c>
      <c r="B12" s="7" t="s">
        <v>245</v>
      </c>
      <c r="C12" s="7" t="s">
        <v>233</v>
      </c>
      <c r="D12" s="7" t="s">
        <v>234</v>
      </c>
      <c r="E12" s="7">
        <v>49919</v>
      </c>
      <c r="F12" s="8">
        <v>1.125</v>
      </c>
      <c r="G12" s="8">
        <v>87.54</v>
      </c>
      <c r="H12" s="8">
        <v>3.63</v>
      </c>
      <c r="I12" s="8">
        <v>3.32</v>
      </c>
      <c r="J12" s="8">
        <v>11.315</v>
      </c>
      <c r="K12" s="8">
        <v>9.5489999999999995</v>
      </c>
      <c r="L12" s="7">
        <v>45785</v>
      </c>
      <c r="M12" s="9"/>
    </row>
    <row r="13" spans="1:13" x14ac:dyDescent="0.2">
      <c r="A13" s="7" t="s">
        <v>24</v>
      </c>
      <c r="B13" s="7" t="s">
        <v>246</v>
      </c>
      <c r="C13" s="7" t="s">
        <v>233</v>
      </c>
      <c r="D13" s="7" t="s">
        <v>234</v>
      </c>
      <c r="E13" s="7">
        <v>54118</v>
      </c>
      <c r="F13" s="8">
        <v>1.7250000000000001</v>
      </c>
      <c r="G13" s="8">
        <v>89.16</v>
      </c>
      <c r="H13" s="8">
        <v>4.2329999999999997</v>
      </c>
      <c r="I13" s="8">
        <v>3.7589999999999999</v>
      </c>
      <c r="J13" s="8">
        <v>22.818999999999999</v>
      </c>
      <c r="K13" s="8">
        <v>14.78</v>
      </c>
      <c r="L13" s="7">
        <v>45785</v>
      </c>
      <c r="M13" s="9"/>
    </row>
    <row r="14" spans="1:13" x14ac:dyDescent="0.2">
      <c r="A14" s="7" t="s">
        <v>34</v>
      </c>
      <c r="B14" s="7" t="s">
        <v>247</v>
      </c>
      <c r="C14" s="7" t="s">
        <v>233</v>
      </c>
      <c r="D14" s="7" t="s">
        <v>234</v>
      </c>
      <c r="E14" s="7">
        <v>51196</v>
      </c>
      <c r="F14" s="8">
        <v>1.55</v>
      </c>
      <c r="G14" s="8">
        <v>90.95</v>
      </c>
      <c r="H14" s="8">
        <v>3.9460000000000002</v>
      </c>
      <c r="I14" s="8">
        <v>3.528</v>
      </c>
      <c r="J14" s="8">
        <v>14.814</v>
      </c>
      <c r="K14" s="8">
        <v>11.302</v>
      </c>
      <c r="L14" s="7">
        <v>45785</v>
      </c>
      <c r="M14" s="9"/>
    </row>
    <row r="15" spans="1:13" x14ac:dyDescent="0.2">
      <c r="A15" s="7" t="s">
        <v>50</v>
      </c>
      <c r="B15" s="7" t="s">
        <v>248</v>
      </c>
      <c r="C15" s="7" t="s">
        <v>233</v>
      </c>
      <c r="D15" s="7" t="s">
        <v>234</v>
      </c>
      <c r="E15" s="7">
        <v>46113</v>
      </c>
      <c r="F15" s="8">
        <v>0</v>
      </c>
      <c r="G15" s="8">
        <v>98.367000000000004</v>
      </c>
      <c r="H15" s="8">
        <v>1.845</v>
      </c>
      <c r="I15" s="8">
        <v>1.8320000000000001</v>
      </c>
      <c r="J15" s="8">
        <v>0.88800000000000001</v>
      </c>
      <c r="K15" s="8">
        <v>0.872</v>
      </c>
      <c r="L15" s="7">
        <v>45785</v>
      </c>
      <c r="M15" s="9"/>
    </row>
    <row r="16" spans="1:13" x14ac:dyDescent="0.2">
      <c r="A16" s="7" t="s">
        <v>51</v>
      </c>
      <c r="B16" s="7" t="s">
        <v>249</v>
      </c>
      <c r="C16" s="7" t="s">
        <v>233</v>
      </c>
      <c r="D16" s="7" t="s">
        <v>234</v>
      </c>
      <c r="E16" s="7">
        <v>62884</v>
      </c>
      <c r="F16" s="8">
        <v>1.075</v>
      </c>
      <c r="G16" s="8">
        <v>59.87</v>
      </c>
      <c r="H16" s="8">
        <v>4.1159999999999997</v>
      </c>
      <c r="I16" s="8">
        <v>3.7189999999999999</v>
      </c>
      <c r="J16" s="8">
        <v>46.835999999999999</v>
      </c>
      <c r="K16" s="8">
        <v>23.187999999999999</v>
      </c>
      <c r="L16" s="7">
        <v>45785</v>
      </c>
      <c r="M16" s="9"/>
    </row>
    <row r="17" spans="1:13" x14ac:dyDescent="0.2">
      <c r="A17" s="7" t="s">
        <v>62</v>
      </c>
      <c r="B17" s="7" t="s">
        <v>250</v>
      </c>
      <c r="C17" s="7" t="s">
        <v>233</v>
      </c>
      <c r="D17" s="7" t="s">
        <v>234</v>
      </c>
      <c r="E17" s="7">
        <v>50465</v>
      </c>
      <c r="F17" s="8">
        <v>1.625</v>
      </c>
      <c r="G17" s="8">
        <v>94.64</v>
      </c>
      <c r="H17" s="8">
        <v>3.8149999999999999</v>
      </c>
      <c r="I17" s="8">
        <v>3.3860000000000001</v>
      </c>
      <c r="J17" s="8">
        <v>12.811</v>
      </c>
      <c r="K17" s="8">
        <v>10.054</v>
      </c>
      <c r="L17" s="7">
        <v>45785</v>
      </c>
      <c r="M17" s="9"/>
    </row>
    <row r="18" spans="1:13" x14ac:dyDescent="0.2">
      <c r="A18" s="7" t="s">
        <v>58</v>
      </c>
      <c r="B18" s="7" t="s">
        <v>251</v>
      </c>
      <c r="C18" s="7" t="s">
        <v>233</v>
      </c>
      <c r="D18" s="7" t="s">
        <v>234</v>
      </c>
      <c r="E18" s="7">
        <v>46478</v>
      </c>
      <c r="F18" s="8">
        <v>0.55000000000000004</v>
      </c>
      <c r="G18" s="8">
        <v>98.49</v>
      </c>
      <c r="H18" s="8">
        <v>1.927</v>
      </c>
      <c r="I18" s="8">
        <v>1.7869999999999999</v>
      </c>
      <c r="J18" s="8">
        <v>1.8879999999999999</v>
      </c>
      <c r="K18" s="8">
        <v>1.8360000000000001</v>
      </c>
      <c r="L18" s="7">
        <v>45785</v>
      </c>
      <c r="M18" s="9"/>
    </row>
    <row r="19" spans="1:13" x14ac:dyDescent="0.2">
      <c r="A19" s="7" t="s">
        <v>86</v>
      </c>
      <c r="B19" s="7" t="s">
        <v>252</v>
      </c>
      <c r="C19" s="7" t="s">
        <v>233</v>
      </c>
      <c r="D19" s="7" t="s">
        <v>234</v>
      </c>
      <c r="E19" s="7">
        <v>47300</v>
      </c>
      <c r="F19" s="8">
        <v>1.675</v>
      </c>
      <c r="G19" s="8">
        <v>103.4</v>
      </c>
      <c r="H19" s="8">
        <v>2.492</v>
      </c>
      <c r="I19" s="8">
        <v>2.0739999999999998</v>
      </c>
      <c r="J19" s="8">
        <v>4.1399999999999997</v>
      </c>
      <c r="K19" s="8">
        <v>3.7690000000000001</v>
      </c>
      <c r="L19" s="7">
        <v>45785</v>
      </c>
      <c r="M19" s="9"/>
    </row>
    <row r="20" spans="1:13" x14ac:dyDescent="0.2">
      <c r="A20" s="7" t="s">
        <v>87</v>
      </c>
      <c r="B20" s="7" t="s">
        <v>253</v>
      </c>
      <c r="C20" s="7" t="s">
        <v>233</v>
      </c>
      <c r="D20" s="7" t="s">
        <v>234</v>
      </c>
      <c r="E20" s="7">
        <v>49126</v>
      </c>
      <c r="F20" s="8">
        <v>1.925</v>
      </c>
      <c r="G20" s="8">
        <v>103.6</v>
      </c>
      <c r="H20" s="8">
        <v>3.4129999999999998</v>
      </c>
      <c r="I20" s="8">
        <v>2.9329999999999998</v>
      </c>
      <c r="J20" s="8">
        <v>9.1419999999999995</v>
      </c>
      <c r="K20" s="8">
        <v>7.4690000000000003</v>
      </c>
      <c r="L20" s="7">
        <v>45785</v>
      </c>
      <c r="M20" s="9"/>
    </row>
    <row r="21" spans="1:13" x14ac:dyDescent="0.2">
      <c r="A21" s="7" t="s">
        <v>41</v>
      </c>
      <c r="B21" s="7" t="s">
        <v>254</v>
      </c>
      <c r="C21" s="7" t="s">
        <v>233</v>
      </c>
      <c r="D21" s="7" t="s">
        <v>234</v>
      </c>
      <c r="E21" s="7">
        <v>47818</v>
      </c>
      <c r="F21" s="8">
        <v>0.82499999999999996</v>
      </c>
      <c r="G21" s="8">
        <v>94.4</v>
      </c>
      <c r="H21" s="8">
        <v>2.7589999999999999</v>
      </c>
      <c r="I21" s="8">
        <v>2.5390000000000001</v>
      </c>
      <c r="J21" s="8">
        <v>5.5590000000000002</v>
      </c>
      <c r="K21" s="8">
        <v>5.1459999999999999</v>
      </c>
      <c r="L21" s="7">
        <v>45785</v>
      </c>
      <c r="M21" s="9"/>
    </row>
    <row r="22" spans="1:13" x14ac:dyDescent="0.2">
      <c r="A22" s="7" t="s">
        <v>53</v>
      </c>
      <c r="B22" s="7" t="s">
        <v>255</v>
      </c>
      <c r="C22" s="7" t="s">
        <v>233</v>
      </c>
      <c r="D22" s="7" t="s">
        <v>234</v>
      </c>
      <c r="E22" s="7">
        <v>48183</v>
      </c>
      <c r="F22" s="8">
        <v>0.47499999999999998</v>
      </c>
      <c r="G22" s="8">
        <v>88.22</v>
      </c>
      <c r="H22" s="8">
        <v>2.9590000000000001</v>
      </c>
      <c r="I22" s="8">
        <v>2.8290000000000002</v>
      </c>
      <c r="J22" s="8">
        <v>6.5590000000000002</v>
      </c>
      <c r="K22" s="8">
        <v>6.1470000000000002</v>
      </c>
      <c r="L22" s="7">
        <v>45785</v>
      </c>
      <c r="M22" s="9"/>
    </row>
    <row r="23" spans="1:13" x14ac:dyDescent="0.2">
      <c r="A23" s="7" t="s">
        <v>74</v>
      </c>
      <c r="B23" s="7" t="s">
        <v>256</v>
      </c>
      <c r="C23" s="7" t="s">
        <v>233</v>
      </c>
      <c r="D23" s="7" t="s">
        <v>234</v>
      </c>
      <c r="E23" s="7">
        <v>46966</v>
      </c>
      <c r="F23" s="8">
        <v>1.9</v>
      </c>
      <c r="G23" s="8">
        <v>104.82</v>
      </c>
      <c r="H23" s="8">
        <v>2.2530000000000001</v>
      </c>
      <c r="I23" s="8">
        <v>1.7869999999999999</v>
      </c>
      <c r="J23" s="8">
        <v>3.2250000000000001</v>
      </c>
      <c r="K23" s="8">
        <v>2.9740000000000002</v>
      </c>
      <c r="L23" s="7">
        <v>45785</v>
      </c>
      <c r="M23" s="9"/>
    </row>
    <row r="24" spans="1:13" x14ac:dyDescent="0.2">
      <c r="A24" s="7" t="s">
        <v>5</v>
      </c>
      <c r="B24" s="7" t="s">
        <v>257</v>
      </c>
      <c r="C24" s="7" t="s">
        <v>233</v>
      </c>
      <c r="D24" s="7" t="s">
        <v>234</v>
      </c>
      <c r="E24" s="7">
        <v>49157</v>
      </c>
      <c r="F24" s="8">
        <v>2.5</v>
      </c>
      <c r="G24" s="8">
        <v>112.88</v>
      </c>
      <c r="H24" s="8">
        <v>3.39</v>
      </c>
      <c r="I24" s="8">
        <v>2.798</v>
      </c>
      <c r="J24" s="8">
        <v>9.2270000000000003</v>
      </c>
      <c r="K24" s="8">
        <v>7.2869999999999999</v>
      </c>
      <c r="L24" s="7">
        <v>45785</v>
      </c>
      <c r="M24" s="9"/>
    </row>
    <row r="25" spans="1:13" x14ac:dyDescent="0.2">
      <c r="A25" s="7" t="s">
        <v>6</v>
      </c>
      <c r="B25" s="7" t="s">
        <v>258</v>
      </c>
      <c r="C25" s="7" t="s">
        <v>233</v>
      </c>
      <c r="D25" s="7" t="s">
        <v>234</v>
      </c>
      <c r="E25" s="7">
        <v>50072</v>
      </c>
      <c r="F25" s="8">
        <v>2</v>
      </c>
      <c r="G25" s="8">
        <v>103.71</v>
      </c>
      <c r="H25" s="8">
        <v>3.637</v>
      </c>
      <c r="I25" s="8">
        <v>3.14</v>
      </c>
      <c r="J25" s="8">
        <v>11.734</v>
      </c>
      <c r="K25" s="8">
        <v>9.1</v>
      </c>
      <c r="L25" s="7">
        <v>45785</v>
      </c>
      <c r="M25" s="9"/>
    </row>
    <row r="26" spans="1:13" x14ac:dyDescent="0.2">
      <c r="A26" s="7" t="s">
        <v>7</v>
      </c>
      <c r="B26" s="7" t="s">
        <v>259</v>
      </c>
      <c r="C26" s="7" t="s">
        <v>233</v>
      </c>
      <c r="D26" s="7" t="s">
        <v>234</v>
      </c>
      <c r="E26" s="7">
        <v>50983</v>
      </c>
      <c r="F26" s="8">
        <v>2.5</v>
      </c>
      <c r="G26" s="8">
        <v>112.37</v>
      </c>
      <c r="H26" s="8">
        <v>3.8959999999999999</v>
      </c>
      <c r="I26" s="8">
        <v>3.3039999999999998</v>
      </c>
      <c r="J26" s="8">
        <v>14.23</v>
      </c>
      <c r="K26" s="8">
        <v>10.083</v>
      </c>
      <c r="L26" s="7">
        <v>45785</v>
      </c>
      <c r="M26" s="9"/>
    </row>
    <row r="27" spans="1:13" x14ac:dyDescent="0.2">
      <c r="A27" s="7" t="s">
        <v>20</v>
      </c>
      <c r="B27" s="7" t="s">
        <v>260</v>
      </c>
      <c r="C27" s="7" t="s">
        <v>233</v>
      </c>
      <c r="D27" s="7" t="s">
        <v>234</v>
      </c>
      <c r="E27" s="7">
        <v>46357</v>
      </c>
      <c r="F27" s="8">
        <v>0.625</v>
      </c>
      <c r="G27" s="8">
        <v>99.07</v>
      </c>
      <c r="H27" s="8">
        <v>1.867</v>
      </c>
      <c r="I27" s="8">
        <v>1.708</v>
      </c>
      <c r="J27" s="8">
        <v>1.556</v>
      </c>
      <c r="K27" s="8">
        <v>1.5089999999999999</v>
      </c>
      <c r="L27" s="7">
        <v>45785</v>
      </c>
      <c r="M27" s="9"/>
    </row>
    <row r="28" spans="1:13" x14ac:dyDescent="0.2">
      <c r="A28" s="7" t="s">
        <v>28</v>
      </c>
      <c r="B28" s="7" t="s">
        <v>261</v>
      </c>
      <c r="C28" s="7" t="s">
        <v>233</v>
      </c>
      <c r="D28" s="7" t="s">
        <v>234</v>
      </c>
      <c r="E28" s="7">
        <v>47088</v>
      </c>
      <c r="F28" s="8">
        <v>1.4</v>
      </c>
      <c r="G28" s="8">
        <v>101.93</v>
      </c>
      <c r="H28" s="8">
        <v>2.242</v>
      </c>
      <c r="I28" s="8">
        <v>1.8879999999999999</v>
      </c>
      <c r="J28" s="8">
        <v>3.5590000000000002</v>
      </c>
      <c r="K28" s="8">
        <v>3.2989999999999999</v>
      </c>
      <c r="L28" s="7">
        <v>45785</v>
      </c>
      <c r="M28" s="9"/>
    </row>
    <row r="29" spans="1:13" x14ac:dyDescent="0.2">
      <c r="A29" s="7" t="s">
        <v>43</v>
      </c>
      <c r="B29" s="7" t="s">
        <v>262</v>
      </c>
      <c r="C29" s="7" t="s">
        <v>233</v>
      </c>
      <c r="D29" s="7" t="s">
        <v>234</v>
      </c>
      <c r="E29" s="7">
        <v>46054</v>
      </c>
      <c r="F29" s="8">
        <v>0.25</v>
      </c>
      <c r="G29" s="8">
        <v>98.998999999999995</v>
      </c>
      <c r="H29" s="8">
        <v>1.8640000000000001</v>
      </c>
      <c r="I29" s="8">
        <v>1.794</v>
      </c>
      <c r="J29" s="8">
        <v>0.72599999999999998</v>
      </c>
      <c r="K29" s="8">
        <v>0.71399999999999997</v>
      </c>
      <c r="L29" s="7">
        <v>45785</v>
      </c>
      <c r="M29" s="9"/>
    </row>
    <row r="30" spans="1:13" x14ac:dyDescent="0.2">
      <c r="A30" s="7" t="s">
        <v>54</v>
      </c>
      <c r="B30" s="7" t="s">
        <v>263</v>
      </c>
      <c r="C30" s="7" t="s">
        <v>233</v>
      </c>
      <c r="D30" s="7" t="s">
        <v>234</v>
      </c>
      <c r="E30" s="7">
        <v>46235</v>
      </c>
      <c r="F30" s="8">
        <v>0</v>
      </c>
      <c r="G30" s="8">
        <v>97.83</v>
      </c>
      <c r="H30" s="8">
        <v>1.804</v>
      </c>
      <c r="I30" s="8">
        <v>1.8009999999999999</v>
      </c>
      <c r="J30" s="8">
        <v>1.222</v>
      </c>
      <c r="K30" s="8">
        <v>1.206</v>
      </c>
      <c r="L30" s="7">
        <v>45785</v>
      </c>
      <c r="M30" s="9"/>
    </row>
    <row r="31" spans="1:13" x14ac:dyDescent="0.2">
      <c r="A31" s="7" t="s">
        <v>92</v>
      </c>
      <c r="B31" s="7" t="s">
        <v>264</v>
      </c>
      <c r="C31" s="7" t="s">
        <v>233</v>
      </c>
      <c r="D31" s="7" t="s">
        <v>234</v>
      </c>
      <c r="E31" s="7">
        <v>49341</v>
      </c>
      <c r="F31" s="8">
        <v>1.925</v>
      </c>
      <c r="G31" s="8">
        <v>103.1</v>
      </c>
      <c r="H31" s="8">
        <v>3.4980000000000002</v>
      </c>
      <c r="I31" s="8">
        <v>3.0179999999999998</v>
      </c>
      <c r="J31" s="8">
        <v>9.7319999999999993</v>
      </c>
      <c r="K31" s="8">
        <v>7.8789999999999996</v>
      </c>
      <c r="L31" s="7">
        <v>45785</v>
      </c>
      <c r="M31" s="9"/>
    </row>
    <row r="32" spans="1:13" x14ac:dyDescent="0.2">
      <c r="A32" s="7" t="s">
        <v>8</v>
      </c>
      <c r="B32" s="7" t="s">
        <v>265</v>
      </c>
      <c r="C32" s="7" t="s">
        <v>233</v>
      </c>
      <c r="D32" s="7" t="s">
        <v>234</v>
      </c>
      <c r="E32" s="7">
        <v>51380</v>
      </c>
      <c r="F32" s="8">
        <v>2.5</v>
      </c>
      <c r="G32" s="8">
        <v>111.97</v>
      </c>
      <c r="H32" s="8">
        <v>3.984</v>
      </c>
      <c r="I32" s="8">
        <v>3.39</v>
      </c>
      <c r="J32" s="8">
        <v>15.318</v>
      </c>
      <c r="K32" s="8">
        <v>10.643000000000001</v>
      </c>
      <c r="L32" s="7">
        <v>45785</v>
      </c>
      <c r="M32" s="9"/>
    </row>
    <row r="33" spans="1:13" x14ac:dyDescent="0.2">
      <c r="A33" s="7" t="s">
        <v>9</v>
      </c>
      <c r="B33" s="7" t="s">
        <v>266</v>
      </c>
      <c r="C33" s="7" t="s">
        <v>233</v>
      </c>
      <c r="D33" s="7" t="s">
        <v>234</v>
      </c>
      <c r="E33" s="7">
        <v>46082</v>
      </c>
      <c r="F33" s="8">
        <v>2.25</v>
      </c>
      <c r="G33" s="8">
        <v>102.024</v>
      </c>
      <c r="H33" s="8">
        <v>1.925</v>
      </c>
      <c r="I33" s="8">
        <v>1.3779999999999999</v>
      </c>
      <c r="J33" s="8">
        <v>0.80300000000000005</v>
      </c>
      <c r="K33" s="8">
        <v>0.78</v>
      </c>
      <c r="L33" s="7">
        <v>45785</v>
      </c>
      <c r="M33" s="9"/>
    </row>
    <row r="34" spans="1:13" x14ac:dyDescent="0.2">
      <c r="A34" s="7" t="s">
        <v>13</v>
      </c>
      <c r="B34" s="7" t="s">
        <v>267</v>
      </c>
      <c r="C34" s="7" t="s">
        <v>233</v>
      </c>
      <c r="D34" s="7" t="s">
        <v>234</v>
      </c>
      <c r="E34" s="7">
        <v>53571</v>
      </c>
      <c r="F34" s="8">
        <v>1.625</v>
      </c>
      <c r="G34" s="8">
        <v>87.31</v>
      </c>
      <c r="H34" s="8">
        <v>4.1920000000000002</v>
      </c>
      <c r="I34" s="8">
        <v>3.7410000000000001</v>
      </c>
      <c r="J34" s="8">
        <v>21.321000000000002</v>
      </c>
      <c r="K34" s="8">
        <v>14.367000000000001</v>
      </c>
      <c r="L34" s="7">
        <v>45785</v>
      </c>
      <c r="M34" s="9"/>
    </row>
    <row r="35" spans="1:13" x14ac:dyDescent="0.2">
      <c r="A35" s="7" t="s">
        <v>16</v>
      </c>
      <c r="B35" s="7" t="s">
        <v>268</v>
      </c>
      <c r="C35" s="7" t="s">
        <v>233</v>
      </c>
      <c r="D35" s="7" t="s">
        <v>234</v>
      </c>
      <c r="E35" s="7">
        <v>45992</v>
      </c>
      <c r="F35" s="8">
        <v>1</v>
      </c>
      <c r="G35" s="8">
        <v>100.051</v>
      </c>
      <c r="H35" s="8">
        <v>1.877</v>
      </c>
      <c r="I35" s="8">
        <v>1.631</v>
      </c>
      <c r="J35" s="8">
        <v>0.55600000000000005</v>
      </c>
      <c r="K35" s="8">
        <v>0.54100000000000004</v>
      </c>
      <c r="L35" s="7">
        <v>45785</v>
      </c>
      <c r="M35" s="9"/>
    </row>
    <row r="36" spans="1:13" x14ac:dyDescent="0.2">
      <c r="A36" s="7" t="s">
        <v>21</v>
      </c>
      <c r="B36" s="7" t="s">
        <v>269</v>
      </c>
      <c r="C36" s="7" t="s">
        <v>233</v>
      </c>
      <c r="D36" s="7" t="s">
        <v>234</v>
      </c>
      <c r="E36" s="7">
        <v>61057</v>
      </c>
      <c r="F36" s="8">
        <v>1.4</v>
      </c>
      <c r="G36" s="8">
        <v>71.5</v>
      </c>
      <c r="H36" s="8">
        <v>4.3099999999999996</v>
      </c>
      <c r="I36" s="8">
        <v>3.8540000000000001</v>
      </c>
      <c r="J36" s="8">
        <v>41.83</v>
      </c>
      <c r="K36" s="8">
        <v>20.611000000000001</v>
      </c>
      <c r="L36" s="7">
        <v>45785</v>
      </c>
      <c r="M36" s="9"/>
    </row>
    <row r="37" spans="1:13" x14ac:dyDescent="0.2">
      <c r="A37" s="7" t="s">
        <v>22</v>
      </c>
      <c r="B37" s="7" t="s">
        <v>270</v>
      </c>
      <c r="C37" s="7" t="s">
        <v>233</v>
      </c>
      <c r="D37" s="7" t="s">
        <v>234</v>
      </c>
      <c r="E37" s="7">
        <v>48823</v>
      </c>
      <c r="F37" s="8">
        <v>1.2250000000000001</v>
      </c>
      <c r="G37" s="8">
        <v>94.4</v>
      </c>
      <c r="H37" s="8">
        <v>3.2469999999999999</v>
      </c>
      <c r="I37" s="8">
        <v>2.9209999999999998</v>
      </c>
      <c r="J37" s="8">
        <v>8.3119999999999994</v>
      </c>
      <c r="K37" s="8">
        <v>7.2709999999999999</v>
      </c>
      <c r="L37" s="7">
        <v>45785</v>
      </c>
      <c r="M37" s="9"/>
    </row>
    <row r="38" spans="1:13" x14ac:dyDescent="0.2">
      <c r="A38" s="7" t="s">
        <v>26</v>
      </c>
      <c r="B38" s="7" t="s">
        <v>271</v>
      </c>
      <c r="C38" s="7" t="s">
        <v>233</v>
      </c>
      <c r="D38" s="7" t="s">
        <v>234</v>
      </c>
      <c r="E38" s="7">
        <v>50649</v>
      </c>
      <c r="F38" s="8">
        <v>1.4750000000000001</v>
      </c>
      <c r="G38" s="8">
        <v>91.23</v>
      </c>
      <c r="H38" s="8">
        <v>3.8279999999999998</v>
      </c>
      <c r="I38" s="8">
        <v>3.4319999999999999</v>
      </c>
      <c r="J38" s="8">
        <v>13.315</v>
      </c>
      <c r="K38" s="8">
        <v>10.512</v>
      </c>
      <c r="L38" s="7">
        <v>45785</v>
      </c>
      <c r="M38" s="9"/>
    </row>
    <row r="39" spans="1:13" x14ac:dyDescent="0.2">
      <c r="A39" s="7" t="s">
        <v>30</v>
      </c>
      <c r="B39" s="7" t="s">
        <v>272</v>
      </c>
      <c r="C39" s="7" t="s">
        <v>233</v>
      </c>
      <c r="D39" s="7" t="s">
        <v>234</v>
      </c>
      <c r="E39" s="7">
        <v>49369</v>
      </c>
      <c r="F39" s="8">
        <v>1.675</v>
      </c>
      <c r="G39" s="8">
        <v>99.27</v>
      </c>
      <c r="H39" s="8">
        <v>3.4660000000000002</v>
      </c>
      <c r="I39" s="8">
        <v>3.0369999999999999</v>
      </c>
      <c r="J39" s="8">
        <v>9.8079999999999998</v>
      </c>
      <c r="K39" s="8">
        <v>8.1010000000000009</v>
      </c>
      <c r="L39" s="7">
        <v>45785</v>
      </c>
      <c r="M39" s="9"/>
    </row>
    <row r="40" spans="1:13" x14ac:dyDescent="0.2">
      <c r="A40" s="7" t="s">
        <v>31</v>
      </c>
      <c r="B40" s="7" t="s">
        <v>273</v>
      </c>
      <c r="C40" s="7" t="s">
        <v>233</v>
      </c>
      <c r="D40" s="7" t="s">
        <v>234</v>
      </c>
      <c r="E40" s="7">
        <v>54667</v>
      </c>
      <c r="F40" s="8">
        <v>1.925</v>
      </c>
      <c r="G40" s="8">
        <v>94.41</v>
      </c>
      <c r="H40" s="8">
        <v>4.2610000000000001</v>
      </c>
      <c r="I40" s="8">
        <v>3.7509999999999999</v>
      </c>
      <c r="J40" s="8">
        <v>24.323</v>
      </c>
      <c r="K40" s="8">
        <v>14.978</v>
      </c>
      <c r="L40" s="7">
        <v>45785</v>
      </c>
      <c r="M40" s="9"/>
    </row>
    <row r="41" spans="1:13" x14ac:dyDescent="0.2">
      <c r="A41" s="7" t="s">
        <v>35</v>
      </c>
      <c r="B41" s="7" t="s">
        <v>274</v>
      </c>
      <c r="C41" s="7" t="s">
        <v>233</v>
      </c>
      <c r="D41" s="7" t="s">
        <v>234</v>
      </c>
      <c r="E41" s="7">
        <v>47574</v>
      </c>
      <c r="F41" s="8">
        <v>0.67500000000000004</v>
      </c>
      <c r="G41" s="8">
        <v>94.45</v>
      </c>
      <c r="H41" s="8">
        <v>2.58</v>
      </c>
      <c r="I41" s="8">
        <v>2.4039999999999999</v>
      </c>
      <c r="J41" s="8">
        <v>4.8899999999999997</v>
      </c>
      <c r="K41" s="8">
        <v>4.6180000000000003</v>
      </c>
      <c r="L41" s="7">
        <v>45785</v>
      </c>
      <c r="M41" s="9"/>
    </row>
    <row r="42" spans="1:13" x14ac:dyDescent="0.2">
      <c r="A42" s="7" t="s">
        <v>37</v>
      </c>
      <c r="B42" s="7" t="s">
        <v>275</v>
      </c>
      <c r="C42" s="7" t="s">
        <v>233</v>
      </c>
      <c r="D42" s="7" t="s">
        <v>234</v>
      </c>
      <c r="E42" s="7">
        <v>55032</v>
      </c>
      <c r="F42" s="8">
        <v>1.2250000000000001</v>
      </c>
      <c r="G42" s="8">
        <v>72.75</v>
      </c>
      <c r="H42" s="8">
        <v>4.2519999999999998</v>
      </c>
      <c r="I42" s="8">
        <v>3.8679999999999999</v>
      </c>
      <c r="J42" s="8">
        <v>25.323</v>
      </c>
      <c r="K42" s="8">
        <v>16.885000000000002</v>
      </c>
      <c r="L42" s="7">
        <v>45785</v>
      </c>
      <c r="M42" s="9"/>
    </row>
    <row r="43" spans="1:13" x14ac:dyDescent="0.2">
      <c r="A43" s="7" t="s">
        <v>46</v>
      </c>
      <c r="B43" s="7" t="s">
        <v>276</v>
      </c>
      <c r="C43" s="7" t="s">
        <v>233</v>
      </c>
      <c r="D43" s="7" t="s">
        <v>234</v>
      </c>
      <c r="E43" s="7">
        <v>55397</v>
      </c>
      <c r="F43" s="8">
        <v>0.85</v>
      </c>
      <c r="G43" s="8">
        <v>61.09</v>
      </c>
      <c r="H43" s="8">
        <v>4.1820000000000004</v>
      </c>
      <c r="I43" s="8">
        <v>3.8849999999999998</v>
      </c>
      <c r="J43" s="8">
        <v>26.323</v>
      </c>
      <c r="K43" s="8">
        <v>18.686</v>
      </c>
      <c r="L43" s="7">
        <v>45785</v>
      </c>
      <c r="M43" s="9"/>
    </row>
    <row r="44" spans="1:13" x14ac:dyDescent="0.2">
      <c r="A44" s="7" t="s">
        <v>68</v>
      </c>
      <c r="B44" s="7" t="s">
        <v>277</v>
      </c>
      <c r="C44" s="7" t="s">
        <v>233</v>
      </c>
      <c r="D44" s="7" t="s">
        <v>234</v>
      </c>
      <c r="E44" s="7">
        <v>52475</v>
      </c>
      <c r="F44" s="8">
        <v>2.2250000000000001</v>
      </c>
      <c r="G44" s="8">
        <v>104.26</v>
      </c>
      <c r="H44" s="8">
        <v>4.1550000000000002</v>
      </c>
      <c r="I44" s="8">
        <v>3.6019999999999999</v>
      </c>
      <c r="J44" s="8">
        <v>18.318000000000001</v>
      </c>
      <c r="K44" s="8">
        <v>12.236000000000001</v>
      </c>
      <c r="L44" s="7">
        <v>45785</v>
      </c>
      <c r="M44" s="9"/>
    </row>
    <row r="45" spans="1:13" x14ac:dyDescent="0.2">
      <c r="A45" s="7" t="s">
        <v>77</v>
      </c>
      <c r="B45" s="7" t="s">
        <v>278</v>
      </c>
      <c r="C45" s="7" t="s">
        <v>233</v>
      </c>
      <c r="D45" s="7" t="s">
        <v>234</v>
      </c>
      <c r="E45" s="7">
        <v>49004</v>
      </c>
      <c r="F45" s="8">
        <v>2.1</v>
      </c>
      <c r="G45" s="8">
        <v>106.58</v>
      </c>
      <c r="H45" s="8">
        <v>3.3570000000000002</v>
      </c>
      <c r="I45" s="8">
        <v>2.8439999999999999</v>
      </c>
      <c r="J45" s="8">
        <v>8.8079999999999998</v>
      </c>
      <c r="K45" s="8">
        <v>7.2069999999999999</v>
      </c>
      <c r="L45" s="7">
        <v>45785</v>
      </c>
      <c r="M45" s="9"/>
    </row>
    <row r="46" spans="1:13" x14ac:dyDescent="0.2">
      <c r="A46" s="7" t="s">
        <v>45</v>
      </c>
      <c r="B46" s="7" t="s">
        <v>279</v>
      </c>
      <c r="C46" s="7" t="s">
        <v>233</v>
      </c>
      <c r="D46" s="7" t="s">
        <v>234</v>
      </c>
      <c r="E46" s="7">
        <v>47939</v>
      </c>
      <c r="F46" s="8">
        <v>0.45</v>
      </c>
      <c r="G46" s="8">
        <v>89.66</v>
      </c>
      <c r="H46" s="8">
        <v>2.8370000000000002</v>
      </c>
      <c r="I46" s="8">
        <v>2.7160000000000002</v>
      </c>
      <c r="J46" s="8">
        <v>5.89</v>
      </c>
      <c r="K46" s="8">
        <v>5.5759999999999996</v>
      </c>
      <c r="L46" s="7">
        <v>45785</v>
      </c>
      <c r="M46" s="9"/>
    </row>
    <row r="47" spans="1:13" x14ac:dyDescent="0.2">
      <c r="A47" s="7" t="s">
        <v>55</v>
      </c>
      <c r="B47" s="7" t="s">
        <v>280</v>
      </c>
      <c r="C47" s="7" t="s">
        <v>233</v>
      </c>
      <c r="D47" s="7" t="s">
        <v>234</v>
      </c>
      <c r="E47" s="7">
        <v>48366</v>
      </c>
      <c r="F47" s="8">
        <v>0.47499999999999998</v>
      </c>
      <c r="G47" s="8">
        <v>86.88</v>
      </c>
      <c r="H47" s="8">
        <v>3.05</v>
      </c>
      <c r="I47" s="8">
        <v>2.91</v>
      </c>
      <c r="J47" s="8">
        <v>7.06</v>
      </c>
      <c r="K47" s="8">
        <v>6.5919999999999996</v>
      </c>
      <c r="L47" s="7">
        <v>45785</v>
      </c>
      <c r="M47" s="9"/>
    </row>
    <row r="48" spans="1:13" x14ac:dyDescent="0.2">
      <c r="A48" s="7" t="s">
        <v>65</v>
      </c>
      <c r="B48" s="7" t="s">
        <v>281</v>
      </c>
      <c r="C48" s="7" t="s">
        <v>233</v>
      </c>
      <c r="D48" s="7" t="s">
        <v>234</v>
      </c>
      <c r="E48" s="7">
        <v>48700</v>
      </c>
      <c r="F48" s="8">
        <v>2.2000000000000002</v>
      </c>
      <c r="G48" s="8">
        <v>108.46</v>
      </c>
      <c r="H48" s="8">
        <v>3.2109999999999999</v>
      </c>
      <c r="I48" s="8">
        <v>2.6789999999999998</v>
      </c>
      <c r="J48" s="8">
        <v>7.9749999999999996</v>
      </c>
      <c r="K48" s="8">
        <v>6.65</v>
      </c>
      <c r="L48" s="7">
        <v>45785</v>
      </c>
      <c r="M48" s="9"/>
    </row>
    <row r="49" spans="1:13" x14ac:dyDescent="0.2">
      <c r="A49" s="7" t="s">
        <v>0</v>
      </c>
      <c r="B49" s="7" t="s">
        <v>282</v>
      </c>
      <c r="C49" s="7" t="s">
        <v>233</v>
      </c>
      <c r="D49" s="7" t="s">
        <v>234</v>
      </c>
      <c r="E49" s="7">
        <v>46327</v>
      </c>
      <c r="F49" s="8">
        <v>3.625</v>
      </c>
      <c r="G49" s="8">
        <v>107.82</v>
      </c>
      <c r="H49" s="8">
        <v>1.833</v>
      </c>
      <c r="I49" s="8">
        <v>0.96899999999999997</v>
      </c>
      <c r="J49" s="8">
        <v>1.474</v>
      </c>
      <c r="K49" s="8">
        <v>1.401</v>
      </c>
      <c r="L49" s="7">
        <v>45785</v>
      </c>
      <c r="M49" s="9"/>
    </row>
    <row r="50" spans="1:13" x14ac:dyDescent="0.2">
      <c r="A50" s="7" t="s">
        <v>1</v>
      </c>
      <c r="B50" s="7" t="s">
        <v>283</v>
      </c>
      <c r="C50" s="7" t="s">
        <v>233</v>
      </c>
      <c r="D50" s="7" t="s">
        <v>234</v>
      </c>
      <c r="E50" s="7">
        <v>46692</v>
      </c>
      <c r="F50" s="8">
        <v>3.25</v>
      </c>
      <c r="G50" s="8">
        <v>110.72</v>
      </c>
      <c r="H50" s="8">
        <v>2.0350000000000001</v>
      </c>
      <c r="I50" s="8">
        <v>1.2669999999999999</v>
      </c>
      <c r="J50" s="8">
        <v>2.4740000000000002</v>
      </c>
      <c r="K50" s="8">
        <v>2.2839999999999998</v>
      </c>
      <c r="L50" s="7">
        <v>45785</v>
      </c>
      <c r="M50" s="9"/>
    </row>
    <row r="51" spans="1:13" x14ac:dyDescent="0.2">
      <c r="A51" s="7" t="s">
        <v>2</v>
      </c>
      <c r="B51" s="7" t="s">
        <v>284</v>
      </c>
      <c r="C51" s="7" t="s">
        <v>233</v>
      </c>
      <c r="D51" s="7" t="s">
        <v>234</v>
      </c>
      <c r="E51" s="7">
        <v>47423</v>
      </c>
      <c r="F51" s="8">
        <v>2.625</v>
      </c>
      <c r="G51" s="8">
        <v>111.87</v>
      </c>
      <c r="H51" s="8">
        <v>2.4420000000000002</v>
      </c>
      <c r="I51" s="8">
        <v>1.8220000000000001</v>
      </c>
      <c r="J51" s="8">
        <v>4.4770000000000003</v>
      </c>
      <c r="K51" s="8">
        <v>3.9740000000000002</v>
      </c>
      <c r="L51" s="7">
        <v>45785</v>
      </c>
      <c r="M51" s="9"/>
    </row>
    <row r="52" spans="1:13" x14ac:dyDescent="0.2">
      <c r="A52" s="7" t="s">
        <v>3</v>
      </c>
      <c r="B52" s="7" t="s">
        <v>285</v>
      </c>
      <c r="C52" s="7" t="s">
        <v>233</v>
      </c>
      <c r="D52" s="7" t="s">
        <v>234</v>
      </c>
      <c r="E52" s="7">
        <v>47969</v>
      </c>
      <c r="F52" s="8">
        <v>3</v>
      </c>
      <c r="G52" s="8">
        <v>117.55</v>
      </c>
      <c r="H52" s="8">
        <v>2.8050000000000002</v>
      </c>
      <c r="I52" s="8">
        <v>2.1150000000000002</v>
      </c>
      <c r="J52" s="8">
        <v>5.9729999999999999</v>
      </c>
      <c r="K52" s="8">
        <v>5.0410000000000004</v>
      </c>
      <c r="L52" s="7">
        <v>45785</v>
      </c>
      <c r="M52" s="9"/>
    </row>
    <row r="53" spans="1:13" x14ac:dyDescent="0.2">
      <c r="A53" s="7" t="s">
        <v>14</v>
      </c>
      <c r="B53" s="7" t="s">
        <v>286</v>
      </c>
      <c r="C53" s="7" t="s">
        <v>233</v>
      </c>
      <c r="D53" s="7" t="s">
        <v>234</v>
      </c>
      <c r="E53" s="7">
        <v>45809</v>
      </c>
      <c r="F53" s="8">
        <v>0.75</v>
      </c>
      <c r="G53" s="8">
        <v>99.957999999999998</v>
      </c>
      <c r="H53" s="8">
        <v>2.12</v>
      </c>
      <c r="I53" s="8">
        <v>1.946</v>
      </c>
      <c r="J53" s="8">
        <v>5.5E-2</v>
      </c>
      <c r="K53" s="8">
        <v>5.6000000000000001E-2</v>
      </c>
      <c r="L53" s="7">
        <v>45785</v>
      </c>
      <c r="M53" s="9"/>
    </row>
    <row r="54" spans="1:13" x14ac:dyDescent="0.2">
      <c r="A54" s="7" t="s">
        <v>39</v>
      </c>
      <c r="B54" s="7" t="s">
        <v>287</v>
      </c>
      <c r="C54" s="7" t="s">
        <v>233</v>
      </c>
      <c r="D54" s="7" t="s">
        <v>234</v>
      </c>
      <c r="E54" s="7">
        <v>47696</v>
      </c>
      <c r="F54" s="8">
        <v>0.47499999999999998</v>
      </c>
      <c r="G54" s="8">
        <v>91.68</v>
      </c>
      <c r="H54" s="8">
        <v>2.6840000000000002</v>
      </c>
      <c r="I54" s="8">
        <v>2.5529999999999999</v>
      </c>
      <c r="J54" s="8">
        <v>5.2249999999999996</v>
      </c>
      <c r="K54" s="8">
        <v>4.9560000000000004</v>
      </c>
      <c r="L54" s="7">
        <v>45785</v>
      </c>
      <c r="M54" s="9"/>
    </row>
    <row r="55" spans="1:13" x14ac:dyDescent="0.2">
      <c r="A55" s="7" t="s">
        <v>72</v>
      </c>
      <c r="B55" s="7" t="s">
        <v>288</v>
      </c>
      <c r="C55" s="7" t="s">
        <v>233</v>
      </c>
      <c r="D55" s="7" t="s">
        <v>234</v>
      </c>
      <c r="E55" s="7">
        <v>48884</v>
      </c>
      <c r="F55" s="8">
        <v>2.1749999999999998</v>
      </c>
      <c r="G55" s="8">
        <v>107.88</v>
      </c>
      <c r="H55" s="8">
        <v>3.077</v>
      </c>
      <c r="I55" s="8">
        <v>2.573</v>
      </c>
      <c r="J55" s="8">
        <v>8.4789999999999992</v>
      </c>
      <c r="K55" s="8">
        <v>7.0179999999999998</v>
      </c>
      <c r="L55" s="7">
        <v>45785</v>
      </c>
      <c r="M55" s="9"/>
    </row>
    <row r="56" spans="1:13" x14ac:dyDescent="0.2">
      <c r="A56" s="7" t="s">
        <v>160</v>
      </c>
      <c r="B56" s="7" t="s">
        <v>289</v>
      </c>
      <c r="C56" s="7" t="s">
        <v>233</v>
      </c>
      <c r="D56" s="7" t="s">
        <v>234</v>
      </c>
      <c r="E56" s="7">
        <v>49583</v>
      </c>
      <c r="F56" s="8">
        <v>1.4950000000000001</v>
      </c>
      <c r="G56" s="8">
        <v>100.31</v>
      </c>
      <c r="H56" s="8">
        <v>3.593</v>
      </c>
      <c r="I56" s="8">
        <v>3.137</v>
      </c>
      <c r="J56" s="8">
        <v>10.395</v>
      </c>
      <c r="K56" s="8">
        <v>8.4540000000000006</v>
      </c>
      <c r="L56" s="7">
        <v>45785</v>
      </c>
      <c r="M56" s="9"/>
    </row>
    <row r="57" spans="1:13" x14ac:dyDescent="0.2">
      <c r="A57" s="7" t="s">
        <v>93</v>
      </c>
      <c r="B57" s="7" t="s">
        <v>290</v>
      </c>
      <c r="C57" s="7" t="s">
        <v>233</v>
      </c>
      <c r="D57" s="7" t="s">
        <v>234</v>
      </c>
      <c r="E57" s="7">
        <v>47392</v>
      </c>
      <c r="F57" s="8">
        <v>1.5</v>
      </c>
      <c r="G57" s="8">
        <v>101.94</v>
      </c>
      <c r="H57" s="8">
        <v>2.5430000000000001</v>
      </c>
      <c r="I57" s="8">
        <v>2.1629999999999998</v>
      </c>
      <c r="J57" s="8">
        <v>4.3920000000000003</v>
      </c>
      <c r="K57" s="8">
        <v>4.0350000000000001</v>
      </c>
      <c r="L57" s="7">
        <v>45785</v>
      </c>
      <c r="M57" s="9"/>
    </row>
    <row r="58" spans="1:13" x14ac:dyDescent="0.2">
      <c r="A58" s="7" t="s">
        <v>80</v>
      </c>
      <c r="B58" s="7" t="s">
        <v>291</v>
      </c>
      <c r="C58" s="7" t="s">
        <v>233</v>
      </c>
      <c r="D58" s="7" t="s">
        <v>234</v>
      </c>
      <c r="E58" s="7">
        <v>47150</v>
      </c>
      <c r="F58" s="8">
        <v>2.0499999999999998</v>
      </c>
      <c r="G58" s="8">
        <v>106.09</v>
      </c>
      <c r="H58" s="8">
        <v>2.391</v>
      </c>
      <c r="I58" s="8">
        <v>1.8660000000000001</v>
      </c>
      <c r="J58" s="8">
        <v>3.7290000000000001</v>
      </c>
      <c r="K58" s="8">
        <v>3.387</v>
      </c>
      <c r="L58" s="7">
        <v>45785</v>
      </c>
      <c r="M58" s="9"/>
    </row>
    <row r="59" spans="1:13" x14ac:dyDescent="0.2">
      <c r="A59" s="7" t="s">
        <v>100</v>
      </c>
      <c r="B59" s="7" t="s">
        <v>292</v>
      </c>
      <c r="C59" s="7" t="s">
        <v>233</v>
      </c>
      <c r="D59" s="7" t="s">
        <v>234</v>
      </c>
      <c r="E59" s="7">
        <v>47665</v>
      </c>
      <c r="F59" s="8">
        <v>0.97799999999999998</v>
      </c>
      <c r="G59" s="8">
        <v>101.17</v>
      </c>
      <c r="H59" s="8">
        <v>2.722</v>
      </c>
      <c r="I59" s="8">
        <v>2.351</v>
      </c>
      <c r="J59" s="8">
        <v>5.14</v>
      </c>
      <c r="K59" s="8">
        <v>4.6559999999999997</v>
      </c>
      <c r="L59" s="7">
        <v>45785</v>
      </c>
      <c r="M59" s="9"/>
    </row>
    <row r="60" spans="1:13" x14ac:dyDescent="0.2">
      <c r="A60" s="7" t="s">
        <v>60</v>
      </c>
      <c r="B60" s="7" t="s">
        <v>293</v>
      </c>
      <c r="C60" s="7" t="s">
        <v>233</v>
      </c>
      <c r="D60" s="7" t="s">
        <v>234</v>
      </c>
      <c r="E60" s="7">
        <v>48549</v>
      </c>
      <c r="F60" s="8">
        <v>1.25</v>
      </c>
      <c r="G60" s="8">
        <v>95.91</v>
      </c>
      <c r="H60" s="8">
        <v>3.133</v>
      </c>
      <c r="I60" s="8">
        <v>2.7850000000000001</v>
      </c>
      <c r="J60" s="8">
        <v>7.5620000000000003</v>
      </c>
      <c r="K60" s="8">
        <v>6.6340000000000003</v>
      </c>
      <c r="L60" s="7">
        <v>45785</v>
      </c>
      <c r="M60" s="9"/>
    </row>
    <row r="61" spans="1:13" x14ac:dyDescent="0.2">
      <c r="A61" s="7" t="s">
        <v>25</v>
      </c>
      <c r="B61" s="7" t="s">
        <v>294</v>
      </c>
      <c r="C61" s="7" t="s">
        <v>233</v>
      </c>
      <c r="D61" s="7" t="s">
        <v>234</v>
      </c>
      <c r="E61" s="7">
        <v>46600</v>
      </c>
      <c r="F61" s="8">
        <v>1.0249999999999999</v>
      </c>
      <c r="G61" s="8">
        <v>100.19</v>
      </c>
      <c r="H61" s="8">
        <v>1.97</v>
      </c>
      <c r="I61" s="8">
        <v>1.7030000000000001</v>
      </c>
      <c r="J61" s="8">
        <v>2.222</v>
      </c>
      <c r="K61" s="8">
        <v>2.133</v>
      </c>
      <c r="L61" s="7">
        <v>45785</v>
      </c>
      <c r="M61" s="9"/>
    </row>
    <row r="62" spans="1:13" x14ac:dyDescent="0.2">
      <c r="A62" s="7" t="s">
        <v>63</v>
      </c>
      <c r="B62" s="7" t="s">
        <v>295</v>
      </c>
      <c r="C62" s="7" t="s">
        <v>233</v>
      </c>
      <c r="D62" s="7" t="s">
        <v>234</v>
      </c>
      <c r="E62" s="7">
        <v>46722</v>
      </c>
      <c r="F62" s="8">
        <v>1.325</v>
      </c>
      <c r="G62" s="8">
        <v>101.43</v>
      </c>
      <c r="H62" s="8">
        <v>2.0819999999999999</v>
      </c>
      <c r="I62" s="8">
        <v>1.742</v>
      </c>
      <c r="J62" s="8">
        <v>2.556</v>
      </c>
      <c r="K62" s="8">
        <v>2.411</v>
      </c>
      <c r="L62" s="7">
        <v>45785</v>
      </c>
      <c r="M62" s="9"/>
    </row>
    <row r="63" spans="1:13" x14ac:dyDescent="0.2">
      <c r="A63" s="7" t="s">
        <v>17</v>
      </c>
      <c r="B63" s="7" t="s">
        <v>296</v>
      </c>
      <c r="C63" s="7" t="s">
        <v>233</v>
      </c>
      <c r="D63" s="7" t="s">
        <v>234</v>
      </c>
      <c r="E63" s="7">
        <v>53752</v>
      </c>
      <c r="F63" s="8">
        <v>1.35</v>
      </c>
      <c r="G63" s="8">
        <v>79.48</v>
      </c>
      <c r="H63" s="8">
        <v>4.1779999999999999</v>
      </c>
      <c r="I63" s="8">
        <v>3.78</v>
      </c>
      <c r="J63" s="8">
        <v>21.815999999999999</v>
      </c>
      <c r="K63" s="8">
        <v>15.138</v>
      </c>
      <c r="L63" s="7">
        <v>45785</v>
      </c>
      <c r="M63" s="9"/>
    </row>
    <row r="64" spans="1:13" x14ac:dyDescent="0.2">
      <c r="A64" s="7" t="s">
        <v>47</v>
      </c>
      <c r="B64" s="7" t="s">
        <v>297</v>
      </c>
      <c r="C64" s="7" t="s">
        <v>233</v>
      </c>
      <c r="D64" s="7" t="s">
        <v>234</v>
      </c>
      <c r="E64" s="7">
        <v>50100</v>
      </c>
      <c r="F64" s="8">
        <v>0.47499999999999998</v>
      </c>
      <c r="G64" s="8">
        <v>74.13</v>
      </c>
      <c r="H64" s="8">
        <v>3.7010000000000001</v>
      </c>
      <c r="I64" s="8">
        <v>3.5550000000000002</v>
      </c>
      <c r="J64" s="8">
        <v>11.811</v>
      </c>
      <c r="K64" s="8">
        <v>10.651999999999999</v>
      </c>
      <c r="L64" s="7">
        <v>45785</v>
      </c>
      <c r="M64" s="9"/>
    </row>
    <row r="65" spans="1:13" x14ac:dyDescent="0.2">
      <c r="A65" s="7" t="s">
        <v>57</v>
      </c>
      <c r="B65" s="7" t="s">
        <v>298</v>
      </c>
      <c r="C65" s="7" t="s">
        <v>233</v>
      </c>
      <c r="D65" s="7" t="s">
        <v>234</v>
      </c>
      <c r="E65" s="7">
        <v>55763</v>
      </c>
      <c r="F65" s="8">
        <v>1.075</v>
      </c>
      <c r="G65" s="8">
        <v>66.69</v>
      </c>
      <c r="H65" s="8">
        <v>4.2560000000000002</v>
      </c>
      <c r="I65" s="8">
        <v>3.9009999999999998</v>
      </c>
      <c r="J65" s="8">
        <v>27.326000000000001</v>
      </c>
      <c r="K65" s="8">
        <v>18.143999999999998</v>
      </c>
      <c r="L65" s="7">
        <v>45785</v>
      </c>
      <c r="M65" s="9"/>
    </row>
    <row r="66" spans="1:13" x14ac:dyDescent="0.2">
      <c r="A66" s="7" t="s">
        <v>81</v>
      </c>
      <c r="B66" s="7" t="s">
        <v>299</v>
      </c>
      <c r="C66" s="7" t="s">
        <v>233</v>
      </c>
      <c r="D66" s="7" t="s">
        <v>234</v>
      </c>
      <c r="E66" s="7">
        <v>46433</v>
      </c>
      <c r="F66" s="8">
        <v>1.4750000000000001</v>
      </c>
      <c r="G66" s="8">
        <v>101.66</v>
      </c>
      <c r="H66" s="8">
        <v>1.9930000000000001</v>
      </c>
      <c r="I66" s="8">
        <v>1.619</v>
      </c>
      <c r="J66" s="8">
        <v>1.764</v>
      </c>
      <c r="K66" s="8">
        <v>1.6879999999999999</v>
      </c>
      <c r="L66" s="7">
        <v>45785</v>
      </c>
      <c r="M66" s="9"/>
    </row>
    <row r="67" spans="1:13" x14ac:dyDescent="0.2">
      <c r="A67" s="7" t="s">
        <v>97</v>
      </c>
      <c r="B67" s="7" t="s">
        <v>300</v>
      </c>
      <c r="C67" s="7" t="s">
        <v>233</v>
      </c>
      <c r="D67" s="7" t="s">
        <v>234</v>
      </c>
      <c r="E67" s="7">
        <v>49522</v>
      </c>
      <c r="F67" s="8">
        <v>1.825</v>
      </c>
      <c r="G67" s="8">
        <v>100.95</v>
      </c>
      <c r="H67" s="8">
        <v>3.5680000000000001</v>
      </c>
      <c r="I67" s="8">
        <v>3.1030000000000002</v>
      </c>
      <c r="J67" s="8">
        <v>10.227</v>
      </c>
      <c r="K67" s="8">
        <v>8.2579999999999991</v>
      </c>
      <c r="L67" s="7">
        <v>45785</v>
      </c>
      <c r="M67" s="9"/>
    </row>
    <row r="68" spans="1:13" x14ac:dyDescent="0.2">
      <c r="A68" s="7" t="s">
        <v>33</v>
      </c>
      <c r="B68" s="7" t="s">
        <v>301</v>
      </c>
      <c r="C68" s="7" t="s">
        <v>233</v>
      </c>
      <c r="D68" s="7" t="s">
        <v>234</v>
      </c>
      <c r="E68" s="7">
        <v>46218</v>
      </c>
      <c r="F68" s="8">
        <v>1.05</v>
      </c>
      <c r="G68" s="8">
        <v>100.25</v>
      </c>
      <c r="H68" s="8">
        <v>1.8939999999999999</v>
      </c>
      <c r="I68" s="8">
        <v>1.63</v>
      </c>
      <c r="J68" s="8">
        <v>1.175</v>
      </c>
      <c r="K68" s="8">
        <v>1.1379999999999999</v>
      </c>
      <c r="L68" s="7">
        <v>45785</v>
      </c>
      <c r="M68" s="9"/>
    </row>
    <row r="69" spans="1:13" x14ac:dyDescent="0.2">
      <c r="A69" s="7" t="s">
        <v>89</v>
      </c>
      <c r="B69" s="7" t="s">
        <v>302</v>
      </c>
      <c r="C69" s="7" t="s">
        <v>233</v>
      </c>
      <c r="D69" s="7" t="s">
        <v>234</v>
      </c>
      <c r="E69" s="7">
        <v>48044</v>
      </c>
      <c r="F69" s="8">
        <v>1.7250000000000001</v>
      </c>
      <c r="G69" s="8">
        <v>102.97</v>
      </c>
      <c r="H69" s="8">
        <v>2.9409999999999998</v>
      </c>
      <c r="I69" s="8">
        <v>2.5110000000000001</v>
      </c>
      <c r="J69" s="8">
        <v>6.1779999999999999</v>
      </c>
      <c r="K69" s="8">
        <v>5.4089999999999998</v>
      </c>
      <c r="L69" s="7">
        <v>45785</v>
      </c>
      <c r="M69" s="9"/>
    </row>
    <row r="70" spans="1:13" x14ac:dyDescent="0.2">
      <c r="A70" s="7" t="s">
        <v>44</v>
      </c>
      <c r="B70" s="7" t="s">
        <v>303</v>
      </c>
      <c r="C70" s="7" t="s">
        <v>233</v>
      </c>
      <c r="D70" s="7" t="s">
        <v>234</v>
      </c>
      <c r="E70" s="7">
        <v>51561</v>
      </c>
      <c r="F70" s="8">
        <v>0.9</v>
      </c>
      <c r="G70" s="8">
        <v>74.53</v>
      </c>
      <c r="H70" s="8">
        <v>4.0250000000000004</v>
      </c>
      <c r="I70" s="8">
        <v>3.7519999999999998</v>
      </c>
      <c r="J70" s="8">
        <v>15.814</v>
      </c>
      <c r="K70" s="8">
        <v>12.853</v>
      </c>
      <c r="L70" s="7">
        <v>45785</v>
      </c>
      <c r="M70" s="9"/>
    </row>
    <row r="71" spans="1:13" x14ac:dyDescent="0.2">
      <c r="A71" s="7" t="s">
        <v>78</v>
      </c>
      <c r="B71" s="7" t="s">
        <v>304</v>
      </c>
      <c r="C71" s="7" t="s">
        <v>233</v>
      </c>
      <c r="D71" s="7" t="s">
        <v>234</v>
      </c>
      <c r="E71" s="7">
        <v>47802</v>
      </c>
      <c r="F71" s="8">
        <v>2</v>
      </c>
      <c r="G71" s="8">
        <v>106.23</v>
      </c>
      <c r="H71" s="8">
        <v>2.7879999999999998</v>
      </c>
      <c r="I71" s="8">
        <v>2.2999999999999998</v>
      </c>
      <c r="J71" s="8">
        <v>5.5149999999999997</v>
      </c>
      <c r="K71" s="8">
        <v>4.798</v>
      </c>
      <c r="L71" s="7">
        <v>45785</v>
      </c>
      <c r="M71" s="9"/>
    </row>
    <row r="72" spans="1:13" x14ac:dyDescent="0.2">
      <c r="A72" s="7" t="s">
        <v>36</v>
      </c>
      <c r="B72" s="7" t="s">
        <v>305</v>
      </c>
      <c r="C72" s="7" t="s">
        <v>233</v>
      </c>
      <c r="D72" s="7" t="s">
        <v>234</v>
      </c>
      <c r="E72" s="7">
        <v>46402</v>
      </c>
      <c r="F72" s="8">
        <v>0.42499999999999999</v>
      </c>
      <c r="G72" s="8">
        <v>98.39</v>
      </c>
      <c r="H72" s="8">
        <v>1.835</v>
      </c>
      <c r="I72" s="8">
        <v>1.72</v>
      </c>
      <c r="J72" s="8">
        <v>1.679</v>
      </c>
      <c r="K72" s="8">
        <v>1.637</v>
      </c>
      <c r="L72" s="7">
        <v>45785</v>
      </c>
      <c r="M72" s="9"/>
    </row>
    <row r="73" spans="1:13" x14ac:dyDescent="0.2">
      <c r="A73" s="7" t="s">
        <v>56</v>
      </c>
      <c r="B73" s="7" t="s">
        <v>306</v>
      </c>
      <c r="C73" s="7" t="s">
        <v>233</v>
      </c>
      <c r="D73" s="7" t="s">
        <v>234</v>
      </c>
      <c r="E73" s="7">
        <v>47164</v>
      </c>
      <c r="F73" s="8">
        <v>0.22500000000000001</v>
      </c>
      <c r="G73" s="8">
        <v>93.33</v>
      </c>
      <c r="H73" s="8">
        <v>2.3220000000000001</v>
      </c>
      <c r="I73" s="8">
        <v>2.246</v>
      </c>
      <c r="J73" s="8">
        <v>3.7669999999999999</v>
      </c>
      <c r="K73" s="8">
        <v>3.65</v>
      </c>
      <c r="L73" s="7">
        <v>45785</v>
      </c>
      <c r="M73" s="9"/>
    </row>
    <row r="74" spans="1:13" x14ac:dyDescent="0.2">
      <c r="A74" s="7" t="s">
        <v>66</v>
      </c>
      <c r="B74" s="7" t="s">
        <v>307</v>
      </c>
      <c r="C74" s="7" t="s">
        <v>233</v>
      </c>
      <c r="D74" s="7" t="s">
        <v>234</v>
      </c>
      <c r="E74" s="7">
        <v>47467</v>
      </c>
      <c r="F74" s="8">
        <v>1.925</v>
      </c>
      <c r="G74" s="8">
        <v>105.7</v>
      </c>
      <c r="H74" s="8">
        <v>2.5379999999999998</v>
      </c>
      <c r="I74" s="8">
        <v>2.0680000000000001</v>
      </c>
      <c r="J74" s="8">
        <v>4.5970000000000004</v>
      </c>
      <c r="K74" s="8">
        <v>4.1079999999999997</v>
      </c>
      <c r="L74" s="7">
        <v>45785</v>
      </c>
      <c r="M74" s="9"/>
    </row>
    <row r="75" spans="1:13" x14ac:dyDescent="0.2">
      <c r="A75" s="7" t="s">
        <v>96</v>
      </c>
      <c r="B75" s="7" t="s">
        <v>308</v>
      </c>
      <c r="C75" s="7" t="s">
        <v>233</v>
      </c>
      <c r="D75" s="7" t="s">
        <v>234</v>
      </c>
      <c r="E75" s="7">
        <v>46675</v>
      </c>
      <c r="F75" s="8">
        <v>1.35</v>
      </c>
      <c r="G75" s="8">
        <v>101.45</v>
      </c>
      <c r="H75" s="8">
        <v>2.093</v>
      </c>
      <c r="I75" s="8">
        <v>1.754</v>
      </c>
      <c r="J75" s="8">
        <v>2.427</v>
      </c>
      <c r="K75" s="8">
        <v>2.3140000000000001</v>
      </c>
      <c r="L75" s="7">
        <v>45785</v>
      </c>
      <c r="M75" s="9"/>
    </row>
    <row r="76" spans="1:13" x14ac:dyDescent="0.2">
      <c r="A76" s="7" t="s">
        <v>82</v>
      </c>
      <c r="B76" s="7" t="s">
        <v>309</v>
      </c>
      <c r="C76" s="7" t="s">
        <v>233</v>
      </c>
      <c r="D76" s="7" t="s">
        <v>234</v>
      </c>
      <c r="E76" s="7">
        <v>47894</v>
      </c>
      <c r="F76" s="8">
        <v>1.75</v>
      </c>
      <c r="G76" s="8">
        <v>103.52</v>
      </c>
      <c r="H76" s="8">
        <v>2.8479999999999999</v>
      </c>
      <c r="I76" s="8">
        <v>2.4129999999999998</v>
      </c>
      <c r="J76" s="8">
        <v>5.7670000000000003</v>
      </c>
      <c r="K76" s="8">
        <v>5.101</v>
      </c>
      <c r="L76" s="7">
        <v>45785</v>
      </c>
      <c r="M76" s="9"/>
    </row>
    <row r="77" spans="1:13" x14ac:dyDescent="0.2">
      <c r="A77" s="7" t="s">
        <v>70</v>
      </c>
      <c r="B77" s="7" t="s">
        <v>310</v>
      </c>
      <c r="C77" s="7" t="s">
        <v>233</v>
      </c>
      <c r="D77" s="7" t="s">
        <v>234</v>
      </c>
      <c r="E77" s="7">
        <v>46127</v>
      </c>
      <c r="F77" s="8">
        <v>1.9</v>
      </c>
      <c r="G77" s="8">
        <v>101.69499999999999</v>
      </c>
      <c r="H77" s="8">
        <v>1.925</v>
      </c>
      <c r="I77" s="8">
        <v>1.46</v>
      </c>
      <c r="J77" s="8">
        <v>0.92600000000000005</v>
      </c>
      <c r="K77" s="8">
        <v>0.9</v>
      </c>
      <c r="L77" s="7">
        <v>45785</v>
      </c>
      <c r="M77" s="9"/>
    </row>
    <row r="78" spans="1:13" x14ac:dyDescent="0.2">
      <c r="A78" s="7" t="s">
        <v>61</v>
      </c>
      <c r="B78" s="7" t="s">
        <v>311</v>
      </c>
      <c r="C78" s="7" t="s">
        <v>233</v>
      </c>
      <c r="D78" s="7" t="s">
        <v>234</v>
      </c>
      <c r="E78" s="7">
        <v>47284</v>
      </c>
      <c r="F78" s="8">
        <v>1.4</v>
      </c>
      <c r="G78" s="8">
        <v>101.52</v>
      </c>
      <c r="H78" s="8">
        <v>2.42</v>
      </c>
      <c r="I78" s="8">
        <v>2.0699999999999998</v>
      </c>
      <c r="J78" s="8">
        <v>4.0960000000000001</v>
      </c>
      <c r="K78" s="8">
        <v>3.766</v>
      </c>
      <c r="L78" s="7">
        <v>45785</v>
      </c>
      <c r="M78" s="9"/>
    </row>
    <row r="79" spans="1:13" x14ac:dyDescent="0.2">
      <c r="A79" s="7" t="s">
        <v>42</v>
      </c>
      <c r="B79" s="7" t="s">
        <v>312</v>
      </c>
      <c r="C79" s="7" t="s">
        <v>233</v>
      </c>
      <c r="D79" s="7" t="s">
        <v>234</v>
      </c>
      <c r="E79" s="7">
        <v>46645</v>
      </c>
      <c r="F79" s="8">
        <v>0.47499999999999998</v>
      </c>
      <c r="G79" s="8">
        <v>97.67</v>
      </c>
      <c r="H79" s="8">
        <v>1.98</v>
      </c>
      <c r="I79" s="8">
        <v>1.8580000000000001</v>
      </c>
      <c r="J79" s="8">
        <v>2.3450000000000002</v>
      </c>
      <c r="K79" s="8">
        <v>2.2759999999999998</v>
      </c>
      <c r="L79" s="7">
        <v>45785</v>
      </c>
      <c r="M79" s="9"/>
    </row>
    <row r="80" spans="1:13" x14ac:dyDescent="0.2">
      <c r="A80" s="7" t="s">
        <v>101</v>
      </c>
      <c r="B80" s="7" t="s">
        <v>313</v>
      </c>
      <c r="C80" s="7" t="s">
        <v>233</v>
      </c>
      <c r="D80" s="7" t="s">
        <v>234</v>
      </c>
      <c r="E80" s="7">
        <v>46919</v>
      </c>
      <c r="F80" s="8">
        <v>0.65500000000000003</v>
      </c>
      <c r="G80" s="8">
        <v>101.28</v>
      </c>
      <c r="H80" s="8">
        <v>2.23</v>
      </c>
      <c r="I80" s="8">
        <v>1.887</v>
      </c>
      <c r="J80" s="8">
        <v>3.0960000000000001</v>
      </c>
      <c r="K80" s="8">
        <v>2.9159999999999999</v>
      </c>
      <c r="L80" s="7">
        <v>45785</v>
      </c>
      <c r="M80" s="9"/>
    </row>
    <row r="81" spans="1:13" x14ac:dyDescent="0.2">
      <c r="A81" s="7" t="s">
        <v>71</v>
      </c>
      <c r="B81" s="7" t="s">
        <v>314</v>
      </c>
      <c r="C81" s="7" t="s">
        <v>233</v>
      </c>
      <c r="D81" s="7" t="s">
        <v>234</v>
      </c>
      <c r="E81" s="7">
        <v>47649</v>
      </c>
      <c r="F81" s="8">
        <v>1.85</v>
      </c>
      <c r="G81" s="8">
        <v>104.89</v>
      </c>
      <c r="H81" s="8">
        <v>2.68</v>
      </c>
      <c r="I81" s="8">
        <v>2.198</v>
      </c>
      <c r="J81" s="8">
        <v>5.0960000000000001</v>
      </c>
      <c r="K81" s="8">
        <v>4.5209999999999999</v>
      </c>
      <c r="L81" s="7">
        <v>45785</v>
      </c>
      <c r="M81" s="9"/>
    </row>
    <row r="82" spans="1:13" x14ac:dyDescent="0.2">
      <c r="A82" s="7" t="s">
        <v>52</v>
      </c>
      <c r="B82" s="7" t="s">
        <v>315</v>
      </c>
      <c r="C82" s="7" t="s">
        <v>233</v>
      </c>
      <c r="D82" s="7" t="s">
        <v>234</v>
      </c>
      <c r="E82" s="7">
        <v>46949</v>
      </c>
      <c r="F82" s="8">
        <v>0.25</v>
      </c>
      <c r="G82" s="8">
        <v>94.86</v>
      </c>
      <c r="H82" s="8">
        <v>2.1909999999999998</v>
      </c>
      <c r="I82" s="8">
        <v>2.105</v>
      </c>
      <c r="J82" s="8">
        <v>3.1779999999999999</v>
      </c>
      <c r="K82" s="8">
        <v>3.089</v>
      </c>
      <c r="L82" s="7">
        <v>45785</v>
      </c>
      <c r="M82" s="9"/>
    </row>
    <row r="83" spans="1:13" x14ac:dyDescent="0.2">
      <c r="A83" s="7" t="s">
        <v>90</v>
      </c>
      <c r="B83" s="7" t="s">
        <v>316</v>
      </c>
      <c r="C83" s="7" t="s">
        <v>233</v>
      </c>
      <c r="D83" s="7" t="s">
        <v>234</v>
      </c>
      <c r="E83" s="7">
        <v>46583</v>
      </c>
      <c r="F83" s="8">
        <v>1.7250000000000001</v>
      </c>
      <c r="G83" s="8">
        <v>103.04</v>
      </c>
      <c r="H83" s="8">
        <v>2.0259999999999998</v>
      </c>
      <c r="I83" s="8">
        <v>1.599</v>
      </c>
      <c r="J83" s="8">
        <v>2.1749999999999998</v>
      </c>
      <c r="K83" s="8">
        <v>2.052</v>
      </c>
      <c r="L83" s="7">
        <v>45785</v>
      </c>
      <c r="M83" s="9"/>
    </row>
    <row r="84" spans="1:13" x14ac:dyDescent="0.2">
      <c r="A84" s="7" t="s">
        <v>75</v>
      </c>
      <c r="B84" s="7" t="s">
        <v>317</v>
      </c>
      <c r="C84" s="7" t="s">
        <v>233</v>
      </c>
      <c r="D84" s="7" t="s">
        <v>234</v>
      </c>
      <c r="E84" s="7">
        <v>46280</v>
      </c>
      <c r="F84" s="8">
        <v>1.925</v>
      </c>
      <c r="G84" s="8">
        <v>102.5</v>
      </c>
      <c r="H84" s="8">
        <v>1.958</v>
      </c>
      <c r="I84" s="8">
        <v>1.482</v>
      </c>
      <c r="J84" s="8">
        <v>1.345</v>
      </c>
      <c r="K84" s="8">
        <v>1.292</v>
      </c>
      <c r="L84" s="7">
        <v>45785</v>
      </c>
      <c r="M84" s="9"/>
    </row>
    <row r="85" spans="1:13" x14ac:dyDescent="0.2">
      <c r="A85" s="7" t="s">
        <v>29</v>
      </c>
      <c r="B85" s="7" t="s">
        <v>318</v>
      </c>
      <c r="C85" s="7" t="s">
        <v>233</v>
      </c>
      <c r="D85" s="7" t="s">
        <v>234</v>
      </c>
      <c r="E85" s="7">
        <v>45976</v>
      </c>
      <c r="F85" s="8">
        <v>1.25</v>
      </c>
      <c r="G85" s="8">
        <v>100.27200000000001</v>
      </c>
      <c r="H85" s="8">
        <v>1.897</v>
      </c>
      <c r="I85" s="8">
        <v>1.5920000000000001</v>
      </c>
      <c r="J85" s="8">
        <v>0.51200000000000001</v>
      </c>
      <c r="K85" s="8">
        <v>0.502</v>
      </c>
      <c r="L85" s="7">
        <v>45785</v>
      </c>
      <c r="M85" s="9"/>
    </row>
    <row r="86" spans="1:13" x14ac:dyDescent="0.2">
      <c r="A86" s="7" t="s">
        <v>94</v>
      </c>
      <c r="B86" s="7" t="s">
        <v>319</v>
      </c>
      <c r="C86" s="7" t="s">
        <v>233</v>
      </c>
      <c r="D86" s="7" t="s">
        <v>234</v>
      </c>
      <c r="E86" s="7">
        <v>56523</v>
      </c>
      <c r="F86" s="8">
        <v>2.15</v>
      </c>
      <c r="G86" s="8">
        <v>98.8</v>
      </c>
      <c r="H86" s="8">
        <v>4.4169999999999998</v>
      </c>
      <c r="I86" s="8">
        <v>3.8639999999999999</v>
      </c>
      <c r="J86" s="8">
        <v>29.408000000000001</v>
      </c>
      <c r="K86" s="8">
        <v>16.094999999999999</v>
      </c>
      <c r="L86" s="7">
        <v>45785</v>
      </c>
      <c r="M86" s="9"/>
    </row>
    <row r="87" spans="1:13" x14ac:dyDescent="0.2">
      <c r="A87" s="7" t="s">
        <v>64</v>
      </c>
      <c r="B87" s="7" t="s">
        <v>320</v>
      </c>
      <c r="C87" s="7" t="s">
        <v>233</v>
      </c>
      <c r="D87" s="7" t="s">
        <v>234</v>
      </c>
      <c r="E87" s="7">
        <v>46037</v>
      </c>
      <c r="F87" s="8">
        <v>1.75</v>
      </c>
      <c r="G87" s="8">
        <v>100.995</v>
      </c>
      <c r="H87" s="8">
        <v>1.978</v>
      </c>
      <c r="I87" s="8">
        <v>1.548</v>
      </c>
      <c r="J87" s="8">
        <v>0.67900000000000005</v>
      </c>
      <c r="K87" s="8">
        <v>0.65800000000000003</v>
      </c>
      <c r="L87" s="7">
        <v>45785</v>
      </c>
      <c r="M87" s="9"/>
    </row>
    <row r="88" spans="1:13" x14ac:dyDescent="0.2">
      <c r="A88" s="7" t="s">
        <v>48</v>
      </c>
      <c r="B88" s="7" t="s">
        <v>321</v>
      </c>
      <c r="C88" s="7" t="s">
        <v>233</v>
      </c>
      <c r="D88" s="7" t="s">
        <v>234</v>
      </c>
      <c r="E88" s="7">
        <v>46827</v>
      </c>
      <c r="F88" s="8">
        <v>0.125</v>
      </c>
      <c r="G88" s="8">
        <v>94.98</v>
      </c>
      <c r="H88" s="8">
        <v>2.0880000000000001</v>
      </c>
      <c r="I88" s="8">
        <v>2.0489999999999999</v>
      </c>
      <c r="J88" s="8">
        <v>2.8439999999999999</v>
      </c>
      <c r="K88" s="8">
        <v>2.7759999999999998</v>
      </c>
      <c r="L88" s="7">
        <v>45785</v>
      </c>
      <c r="M88" s="9"/>
    </row>
    <row r="89" spans="1:13" x14ac:dyDescent="0.2">
      <c r="A89" s="7" t="s">
        <v>38</v>
      </c>
      <c r="B89" s="7" t="s">
        <v>322</v>
      </c>
      <c r="C89" s="7" t="s">
        <v>233</v>
      </c>
      <c r="D89" s="7" t="s">
        <v>234</v>
      </c>
      <c r="E89" s="7">
        <v>49735</v>
      </c>
      <c r="F89" s="8">
        <v>0.72499999999999998</v>
      </c>
      <c r="G89" s="8">
        <v>81.099999999999994</v>
      </c>
      <c r="H89" s="8">
        <v>3.6019999999999999</v>
      </c>
      <c r="I89" s="8">
        <v>3.3919999999999999</v>
      </c>
      <c r="J89" s="8">
        <v>10.811</v>
      </c>
      <c r="K89" s="8">
        <v>9.5630000000000006</v>
      </c>
      <c r="L89" s="7">
        <v>45785</v>
      </c>
      <c r="M89" s="9"/>
    </row>
    <row r="90" spans="1:13" x14ac:dyDescent="0.2">
      <c r="A90" s="7" t="s">
        <v>99</v>
      </c>
      <c r="B90" s="7" t="s">
        <v>323</v>
      </c>
      <c r="C90" s="7" t="s">
        <v>233</v>
      </c>
      <c r="D90" s="7" t="s">
        <v>234</v>
      </c>
      <c r="E90" s="7">
        <v>51410</v>
      </c>
      <c r="F90" s="8">
        <v>1.925</v>
      </c>
      <c r="G90" s="8">
        <v>98.1</v>
      </c>
      <c r="H90" s="8">
        <v>4.0529999999999999</v>
      </c>
      <c r="I90" s="8">
        <v>3.5539999999999998</v>
      </c>
      <c r="J90" s="8">
        <v>15.4</v>
      </c>
      <c r="K90" s="8">
        <v>11.215</v>
      </c>
      <c r="L90" s="7">
        <v>45785</v>
      </c>
      <c r="M90" s="9"/>
    </row>
    <row r="91" spans="1:13" x14ac:dyDescent="0.2">
      <c r="A91" s="7" t="s">
        <v>59</v>
      </c>
      <c r="B91" s="7" t="s">
        <v>324</v>
      </c>
      <c r="C91" s="7" t="s">
        <v>233</v>
      </c>
      <c r="D91" s="7" t="s">
        <v>234</v>
      </c>
      <c r="E91" s="7">
        <v>45884</v>
      </c>
      <c r="F91" s="8">
        <v>0.6</v>
      </c>
      <c r="G91" s="8">
        <v>99.78</v>
      </c>
      <c r="H91" s="8">
        <v>2.0259999999999998</v>
      </c>
      <c r="I91" s="8">
        <v>1.8640000000000001</v>
      </c>
      <c r="J91" s="8">
        <v>0.26</v>
      </c>
      <c r="K91" s="8">
        <v>0.255</v>
      </c>
      <c r="L91" s="7">
        <v>45785</v>
      </c>
      <c r="M91" s="9"/>
    </row>
    <row r="92" spans="1:13" x14ac:dyDescent="0.2">
      <c r="A92" s="7" t="s">
        <v>197</v>
      </c>
      <c r="B92" s="7" t="s">
        <v>325</v>
      </c>
      <c r="C92" s="7" t="s">
        <v>233</v>
      </c>
      <c r="D92" s="7" t="s">
        <v>234</v>
      </c>
      <c r="E92" s="7">
        <v>49388</v>
      </c>
      <c r="F92" s="8">
        <v>2.125</v>
      </c>
      <c r="G92" s="8">
        <v>0</v>
      </c>
      <c r="H92" s="8">
        <v>0</v>
      </c>
      <c r="I92" s="8">
        <v>0</v>
      </c>
      <c r="J92" s="8">
        <v>9.86</v>
      </c>
      <c r="K92" s="8">
        <v>0</v>
      </c>
      <c r="L92" s="7">
        <v>45805</v>
      </c>
      <c r="M92" s="9"/>
    </row>
    <row r="93" spans="1:13" x14ac:dyDescent="0.2">
      <c r="A93" s="7" t="s">
        <v>10</v>
      </c>
      <c r="B93" s="7" t="s">
        <v>327</v>
      </c>
      <c r="C93" s="7" t="s">
        <v>233</v>
      </c>
      <c r="D93" s="7" t="s">
        <v>234</v>
      </c>
      <c r="E93" s="7">
        <v>46997</v>
      </c>
      <c r="F93" s="8">
        <v>2.375</v>
      </c>
      <c r="G93" s="8">
        <v>107.98</v>
      </c>
      <c r="H93" s="8">
        <v>2.2389999999999999</v>
      </c>
      <c r="I93" s="8">
        <v>1.6679999999999999</v>
      </c>
      <c r="J93" s="8">
        <v>3.31</v>
      </c>
      <c r="K93" s="8">
        <v>3.0179999999999998</v>
      </c>
      <c r="L93" s="7">
        <v>45785</v>
      </c>
      <c r="M93" s="9"/>
    </row>
    <row r="94" spans="1:13" x14ac:dyDescent="0.2">
      <c r="A94" s="7" t="s">
        <v>69</v>
      </c>
      <c r="B94" s="7" t="s">
        <v>328</v>
      </c>
      <c r="C94" s="7" t="s">
        <v>233</v>
      </c>
      <c r="D94" s="7" t="s">
        <v>234</v>
      </c>
      <c r="E94" s="7">
        <v>56158</v>
      </c>
      <c r="F94" s="8">
        <v>2.25</v>
      </c>
      <c r="G94" s="8">
        <v>102.68</v>
      </c>
      <c r="H94" s="8">
        <v>4.3780000000000001</v>
      </c>
      <c r="I94" s="8">
        <v>3.8149999999999999</v>
      </c>
      <c r="J94" s="8">
        <v>28.408000000000001</v>
      </c>
      <c r="K94" s="8">
        <v>15.709</v>
      </c>
      <c r="L94" s="7">
        <v>45785</v>
      </c>
      <c r="M94" s="9"/>
    </row>
    <row r="95" spans="1:13" x14ac:dyDescent="0.2">
      <c r="A95" s="7" t="s">
        <v>201</v>
      </c>
      <c r="B95" s="7" t="s">
        <v>329</v>
      </c>
      <c r="C95" s="7" t="s">
        <v>233</v>
      </c>
      <c r="D95" s="7" t="s">
        <v>234</v>
      </c>
      <c r="E95" s="7">
        <v>48410</v>
      </c>
      <c r="F95" s="8">
        <v>0.72699999999999998</v>
      </c>
      <c r="G95" s="8">
        <v>100.87</v>
      </c>
      <c r="H95" s="8">
        <v>3.1360000000000001</v>
      </c>
      <c r="I95" s="8">
        <v>2.726</v>
      </c>
      <c r="J95" s="8">
        <v>7.181</v>
      </c>
      <c r="K95" s="8">
        <v>6.26</v>
      </c>
      <c r="L95" s="7">
        <v>45785</v>
      </c>
      <c r="M95" s="9"/>
    </row>
    <row r="96" spans="1:13" x14ac:dyDescent="0.2">
      <c r="A96" s="7" t="s">
        <v>85</v>
      </c>
      <c r="B96" s="7" t="s">
        <v>330</v>
      </c>
      <c r="C96" s="7" t="s">
        <v>233</v>
      </c>
      <c r="D96" s="7" t="s">
        <v>234</v>
      </c>
      <c r="E96" s="7">
        <v>46050</v>
      </c>
      <c r="F96" s="8">
        <v>1.6</v>
      </c>
      <c r="G96" s="8">
        <v>100.848</v>
      </c>
      <c r="H96" s="8">
        <v>1.964</v>
      </c>
      <c r="I96" s="8">
        <v>1.552</v>
      </c>
      <c r="J96" s="8">
        <v>0.71499999999999997</v>
      </c>
      <c r="K96" s="8">
        <v>0.69399999999999995</v>
      </c>
      <c r="L96" s="7">
        <v>45785</v>
      </c>
      <c r="M96" s="9"/>
    </row>
    <row r="97" spans="1:13" x14ac:dyDescent="0.2">
      <c r="A97" s="7" t="s">
        <v>76</v>
      </c>
      <c r="B97" s="7" t="s">
        <v>331</v>
      </c>
      <c r="C97" s="7" t="s">
        <v>233</v>
      </c>
      <c r="D97" s="7" t="s">
        <v>234</v>
      </c>
      <c r="E97" s="7">
        <v>45929</v>
      </c>
      <c r="F97" s="8">
        <v>1.8</v>
      </c>
      <c r="G97" s="8">
        <v>100.569</v>
      </c>
      <c r="H97" s="8">
        <v>2.0379999999999998</v>
      </c>
      <c r="I97" s="8">
        <v>1.597</v>
      </c>
      <c r="J97" s="8">
        <v>0.38400000000000001</v>
      </c>
      <c r="K97" s="8">
        <v>0.376</v>
      </c>
      <c r="L97" s="7">
        <v>45785</v>
      </c>
      <c r="M97" s="9"/>
    </row>
    <row r="98" spans="1:13" x14ac:dyDescent="0.2">
      <c r="A98" s="7" t="s">
        <v>40</v>
      </c>
      <c r="B98" s="7" t="s">
        <v>332</v>
      </c>
      <c r="C98" s="7" t="s">
        <v>233</v>
      </c>
      <c r="D98" s="7" t="s">
        <v>234</v>
      </c>
      <c r="E98" s="7">
        <v>45839</v>
      </c>
      <c r="F98" s="8">
        <v>0.92500000000000004</v>
      </c>
      <c r="G98" s="8">
        <v>99.965000000000003</v>
      </c>
      <c r="H98" s="8">
        <v>2.0790000000000002</v>
      </c>
      <c r="I98" s="8">
        <v>1.8440000000000001</v>
      </c>
      <c r="J98" s="8">
        <v>0.13700000000000001</v>
      </c>
      <c r="K98" s="8">
        <v>0.13400000000000001</v>
      </c>
      <c r="L98" s="7">
        <v>45785</v>
      </c>
      <c r="M98" s="9"/>
    </row>
    <row r="99" spans="1:13" x14ac:dyDescent="0.2">
      <c r="A99" s="7" t="s">
        <v>91</v>
      </c>
      <c r="B99" s="7" t="s">
        <v>333</v>
      </c>
      <c r="C99" s="7" t="s">
        <v>233</v>
      </c>
      <c r="D99" s="7" t="s">
        <v>234</v>
      </c>
      <c r="E99" s="7">
        <v>46262</v>
      </c>
      <c r="F99" s="8">
        <v>1.55</v>
      </c>
      <c r="G99" s="8">
        <v>101.47</v>
      </c>
      <c r="H99" s="8">
        <v>1.96</v>
      </c>
      <c r="I99" s="8">
        <v>1.5720000000000001</v>
      </c>
      <c r="J99" s="8">
        <v>1.296</v>
      </c>
      <c r="K99" s="8">
        <v>1.2490000000000001</v>
      </c>
      <c r="L99" s="7">
        <v>45785</v>
      </c>
      <c r="M99" s="9"/>
    </row>
    <row r="100" spans="1:13" x14ac:dyDescent="0.2">
      <c r="A100" s="7" t="s">
        <v>95</v>
      </c>
      <c r="B100" s="7" t="s">
        <v>334</v>
      </c>
      <c r="C100" s="7" t="s">
        <v>233</v>
      </c>
      <c r="D100" s="7" t="s">
        <v>234</v>
      </c>
      <c r="E100" s="7">
        <v>48167</v>
      </c>
      <c r="F100" s="8">
        <v>1.575</v>
      </c>
      <c r="G100" s="8">
        <v>100.91</v>
      </c>
      <c r="H100" s="8">
        <v>3.012</v>
      </c>
      <c r="I100" s="8">
        <v>2.6150000000000002</v>
      </c>
      <c r="J100" s="8">
        <v>6.5149999999999997</v>
      </c>
      <c r="K100" s="8">
        <v>5.6879999999999997</v>
      </c>
      <c r="L100" s="7">
        <v>45785</v>
      </c>
      <c r="M100" s="9"/>
    </row>
    <row r="101" spans="1:13" x14ac:dyDescent="0.2">
      <c r="A101" s="7" t="s">
        <v>98</v>
      </c>
      <c r="B101" s="7" t="s">
        <v>335</v>
      </c>
      <c r="C101" s="7" t="s">
        <v>233</v>
      </c>
      <c r="D101" s="7" t="s">
        <v>234</v>
      </c>
      <c r="E101" s="7">
        <v>46443</v>
      </c>
      <c r="F101" s="8">
        <v>1.2749999999999999</v>
      </c>
      <c r="G101" s="8">
        <v>100.97</v>
      </c>
      <c r="H101" s="8">
        <v>2.0030000000000001</v>
      </c>
      <c r="I101" s="8">
        <v>1.6779999999999999</v>
      </c>
      <c r="J101" s="8">
        <v>1.792</v>
      </c>
      <c r="K101" s="8">
        <v>1.72</v>
      </c>
      <c r="L101" s="7">
        <v>45785</v>
      </c>
      <c r="M101" s="9"/>
    </row>
    <row r="102" spans="1:13" x14ac:dyDescent="0.2">
      <c r="A102" s="7" t="s">
        <v>67</v>
      </c>
      <c r="B102" s="7" t="s">
        <v>336</v>
      </c>
      <c r="C102" s="7" t="s">
        <v>233</v>
      </c>
      <c r="D102" s="7" t="s">
        <v>234</v>
      </c>
      <c r="E102" s="7">
        <v>46844</v>
      </c>
      <c r="F102" s="8">
        <v>1.7</v>
      </c>
      <c r="G102" s="8">
        <v>103.46</v>
      </c>
      <c r="H102" s="8">
        <v>2.1629999999999998</v>
      </c>
      <c r="I102" s="8">
        <v>1.73</v>
      </c>
      <c r="J102" s="8">
        <v>2.89</v>
      </c>
      <c r="K102" s="8">
        <v>2.7160000000000002</v>
      </c>
      <c r="L102" s="7">
        <v>45785</v>
      </c>
      <c r="M102" s="9"/>
    </row>
    <row r="103" spans="1:13" x14ac:dyDescent="0.2">
      <c r="A103" s="7" t="s">
        <v>84</v>
      </c>
      <c r="B103" s="7" t="s">
        <v>337</v>
      </c>
      <c r="C103" s="7" t="s">
        <v>233</v>
      </c>
      <c r="D103" s="7" t="s">
        <v>234</v>
      </c>
      <c r="E103" s="7">
        <v>47547</v>
      </c>
      <c r="F103" s="8">
        <v>0.81299999999999994</v>
      </c>
      <c r="G103" s="8">
        <v>104.02</v>
      </c>
      <c r="H103" s="8">
        <v>2.8380000000000001</v>
      </c>
      <c r="I103" s="8">
        <v>2.3780000000000001</v>
      </c>
      <c r="J103" s="8">
        <v>4.8159999999999998</v>
      </c>
      <c r="K103" s="8">
        <v>4.3140000000000001</v>
      </c>
      <c r="L103" s="7">
        <v>45785</v>
      </c>
      <c r="M103" s="9"/>
    </row>
    <row r="104" spans="1:13" x14ac:dyDescent="0.2">
      <c r="A104" s="7" t="s">
        <v>211</v>
      </c>
      <c r="B104" s="7" t="s">
        <v>338</v>
      </c>
      <c r="C104" s="7" t="s">
        <v>233</v>
      </c>
      <c r="D104" s="7" t="s">
        <v>234</v>
      </c>
      <c r="E104" s="7">
        <v>47547</v>
      </c>
      <c r="F104" s="8">
        <v>0.81299999999999994</v>
      </c>
      <c r="G104" s="8">
        <v>104.02</v>
      </c>
      <c r="H104" s="8">
        <v>2.9740000000000002</v>
      </c>
      <c r="I104" s="8">
        <v>2.5009999999999999</v>
      </c>
      <c r="J104" s="8">
        <v>4.8159999999999998</v>
      </c>
      <c r="K104" s="8">
        <v>4.3090000000000002</v>
      </c>
      <c r="L104" s="7">
        <v>45785</v>
      </c>
      <c r="M104" s="9"/>
    </row>
    <row r="105" spans="1:13" x14ac:dyDescent="0.2">
      <c r="A105" s="7" t="s">
        <v>79</v>
      </c>
      <c r="B105" s="7" t="s">
        <v>339</v>
      </c>
      <c r="C105" s="7" t="s">
        <v>233</v>
      </c>
      <c r="D105" s="7" t="s">
        <v>234</v>
      </c>
      <c r="E105" s="7">
        <v>47036</v>
      </c>
      <c r="F105" s="8">
        <v>1.0249999999999999</v>
      </c>
      <c r="G105" s="8">
        <v>105.91</v>
      </c>
      <c r="H105" s="8">
        <v>2.5379999999999998</v>
      </c>
      <c r="I105" s="8">
        <v>2.0059999999999998</v>
      </c>
      <c r="J105" s="8">
        <v>3.4159999999999999</v>
      </c>
      <c r="K105" s="8">
        <v>3.1179999999999999</v>
      </c>
      <c r="L105" s="7">
        <v>45785</v>
      </c>
      <c r="M105" s="9"/>
    </row>
    <row r="106" spans="1:13" x14ac:dyDescent="0.2">
      <c r="A106" s="7" t="s">
        <v>213</v>
      </c>
      <c r="B106" s="7" t="s">
        <v>340</v>
      </c>
      <c r="C106" s="7" t="s">
        <v>233</v>
      </c>
      <c r="D106" s="7" t="s">
        <v>234</v>
      </c>
      <c r="E106" s="7">
        <v>47036</v>
      </c>
      <c r="F106" s="8">
        <v>1.0249999999999999</v>
      </c>
      <c r="G106" s="8">
        <v>105.91</v>
      </c>
      <c r="H106" s="8">
        <v>2.6760000000000002</v>
      </c>
      <c r="I106" s="8">
        <v>2.133</v>
      </c>
      <c r="J106" s="8">
        <v>3.4159999999999999</v>
      </c>
      <c r="K106" s="8">
        <v>3.1139999999999999</v>
      </c>
      <c r="L106" s="7">
        <v>45785</v>
      </c>
      <c r="M106" s="9"/>
    </row>
    <row r="107" spans="1:13" x14ac:dyDescent="0.2">
      <c r="A107" s="7" t="s">
        <v>73</v>
      </c>
      <c r="B107" s="7" t="s">
        <v>341</v>
      </c>
      <c r="C107" s="7" t="s">
        <v>233</v>
      </c>
      <c r="D107" s="7" t="s">
        <v>234</v>
      </c>
      <c r="E107" s="7">
        <v>46551</v>
      </c>
      <c r="F107" s="8">
        <v>1.625</v>
      </c>
      <c r="G107" s="8">
        <v>103.53</v>
      </c>
      <c r="H107" s="8">
        <v>2.2370000000000001</v>
      </c>
      <c r="I107" s="8">
        <v>1.748</v>
      </c>
      <c r="J107" s="8">
        <v>2.0880000000000001</v>
      </c>
      <c r="K107" s="8">
        <v>1.96</v>
      </c>
      <c r="L107" s="7">
        <v>45785</v>
      </c>
      <c r="M107" s="9"/>
    </row>
    <row r="108" spans="1:13" x14ac:dyDescent="0.2">
      <c r="A108" s="7" t="s">
        <v>215</v>
      </c>
      <c r="B108" s="7" t="s">
        <v>342</v>
      </c>
      <c r="C108" s="7" t="s">
        <v>233</v>
      </c>
      <c r="D108" s="7" t="s">
        <v>234</v>
      </c>
      <c r="E108" s="7">
        <v>46551</v>
      </c>
      <c r="F108" s="8">
        <v>1.625</v>
      </c>
      <c r="G108" s="8">
        <v>103.53</v>
      </c>
      <c r="H108" s="8">
        <v>2.4689999999999999</v>
      </c>
      <c r="I108" s="8">
        <v>1.966</v>
      </c>
      <c r="J108" s="8">
        <v>2.0880000000000001</v>
      </c>
      <c r="K108" s="8">
        <v>1.9550000000000001</v>
      </c>
      <c r="L108" s="7">
        <v>45785</v>
      </c>
      <c r="M108" s="9"/>
    </row>
    <row r="109" spans="1:13" x14ac:dyDescent="0.2">
      <c r="A109" s="7" t="s">
        <v>88</v>
      </c>
      <c r="B109" s="7" t="s">
        <v>343</v>
      </c>
      <c r="C109" s="7" t="s">
        <v>233</v>
      </c>
      <c r="D109" s="7" t="s">
        <v>234</v>
      </c>
      <c r="E109" s="7">
        <v>47617</v>
      </c>
      <c r="F109" s="8">
        <v>0.83799999999999997</v>
      </c>
      <c r="G109" s="8">
        <v>103.78</v>
      </c>
      <c r="H109" s="8">
        <v>2.8860000000000001</v>
      </c>
      <c r="I109" s="8">
        <v>2.4289999999999998</v>
      </c>
      <c r="J109" s="8">
        <v>5.008</v>
      </c>
      <c r="K109" s="8">
        <v>4.4580000000000002</v>
      </c>
      <c r="L109" s="7">
        <v>45785</v>
      </c>
      <c r="M109" s="9"/>
    </row>
    <row r="110" spans="1:13" x14ac:dyDescent="0.2">
      <c r="A110" s="7" t="s">
        <v>217</v>
      </c>
      <c r="B110" s="7" t="s">
        <v>344</v>
      </c>
      <c r="C110" s="7" t="s">
        <v>233</v>
      </c>
      <c r="D110" s="7" t="s">
        <v>234</v>
      </c>
      <c r="E110" s="7">
        <v>47617</v>
      </c>
      <c r="F110" s="8">
        <v>0.83799999999999997</v>
      </c>
      <c r="G110" s="8">
        <v>103.78</v>
      </c>
      <c r="H110" s="8">
        <v>3.0339999999999998</v>
      </c>
      <c r="I110" s="8">
        <v>2.5630000000000002</v>
      </c>
      <c r="J110" s="8">
        <v>5.008</v>
      </c>
      <c r="K110" s="8">
        <v>4.4530000000000003</v>
      </c>
      <c r="L110" s="7">
        <v>45785</v>
      </c>
      <c r="M110" s="9"/>
    </row>
    <row r="111" spans="1:13" x14ac:dyDescent="0.2">
      <c r="A111" s="7" t="s">
        <v>218</v>
      </c>
      <c r="B111" s="7" t="s">
        <v>345</v>
      </c>
      <c r="C111" s="7" t="s">
        <v>233</v>
      </c>
      <c r="D111" s="7" t="s">
        <v>234</v>
      </c>
      <c r="E111" s="7">
        <v>57115</v>
      </c>
      <c r="F111" s="8">
        <v>1.2749999999999999</v>
      </c>
      <c r="G111" s="8">
        <v>101.45</v>
      </c>
      <c r="H111" s="8">
        <v>4.782</v>
      </c>
      <c r="I111" s="8">
        <v>4.4530000000000003</v>
      </c>
      <c r="J111" s="8">
        <v>31.03</v>
      </c>
      <c r="K111" s="8">
        <v>5.7119999999999997</v>
      </c>
      <c r="L111" s="7">
        <v>45785</v>
      </c>
      <c r="M111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F98F-E03E-4347-85BB-F604C60709E9}">
  <dimension ref="A1:M111"/>
  <sheetViews>
    <sheetView workbookViewId="0">
      <selection activeCell="R20" sqref="R20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117.32</v>
      </c>
      <c r="H2" s="3">
        <v>3.2219950448599999</v>
      </c>
      <c r="I2" s="3">
        <v>2.5592151157870999</v>
      </c>
      <c r="J2" s="3">
        <v>7.7287671232877004</v>
      </c>
      <c r="K2" s="3">
        <v>6.1881989886928999</v>
      </c>
      <c r="L2" s="2" t="s">
        <v>351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</v>
      </c>
      <c r="H3" s="3">
        <v>1.9596082447087999</v>
      </c>
      <c r="I3" s="3">
        <v>1.6683691529572</v>
      </c>
      <c r="J3" s="3">
        <v>2.0520547945205001</v>
      </c>
      <c r="K3" s="3">
        <v>1.9600851675952</v>
      </c>
      <c r="L3" s="2" t="s">
        <v>351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99.77</v>
      </c>
      <c r="H4" s="3">
        <v>2.0959691048</v>
      </c>
      <c r="I4" s="3">
        <v>1.838699035836</v>
      </c>
      <c r="J4" s="3">
        <v>2.7232876712328999</v>
      </c>
      <c r="K4" s="3">
        <v>2.5954793238834002</v>
      </c>
      <c r="L4" s="2" t="s">
        <v>351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102.25</v>
      </c>
      <c r="H5" s="3">
        <v>2.4494414687780002</v>
      </c>
      <c r="I5" s="3">
        <v>2.0753286895084999</v>
      </c>
      <c r="J5" s="3">
        <v>4.2219178082192004</v>
      </c>
      <c r="K5" s="3">
        <v>3.8738550568773999</v>
      </c>
      <c r="L5" s="2" t="s">
        <v>351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102.1</v>
      </c>
      <c r="H6" s="3">
        <v>3.9919821193598</v>
      </c>
      <c r="I6" s="3">
        <v>3.4690286350705999</v>
      </c>
      <c r="J6" s="3">
        <v>14.394520547945</v>
      </c>
      <c r="K6" s="3">
        <v>10.554848482581001</v>
      </c>
      <c r="L6" s="2" t="s">
        <v>351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86.94</v>
      </c>
      <c r="H7" s="3">
        <v>2.9308985727974002</v>
      </c>
      <c r="I7" s="3">
        <v>2.8484211972621001</v>
      </c>
      <c r="J7" s="3">
        <v>6.2219178082192004</v>
      </c>
      <c r="K7" s="3">
        <v>5.9217509870383003</v>
      </c>
      <c r="L7" s="2" t="s">
        <v>351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108.15</v>
      </c>
      <c r="H8" s="3">
        <v>4.1717718981753</v>
      </c>
      <c r="I8" s="3">
        <v>3.5940235516315</v>
      </c>
      <c r="J8" s="3">
        <v>19.317808219178001</v>
      </c>
      <c r="K8" s="3">
        <v>12.496943349974</v>
      </c>
      <c r="L8" s="2" t="s">
        <v>351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104.28</v>
      </c>
      <c r="H9" s="3">
        <v>2.5622128129719002</v>
      </c>
      <c r="I9" s="3">
        <v>2.1275431176398998</v>
      </c>
      <c r="J9" s="3">
        <v>4.8027397260273998</v>
      </c>
      <c r="K9" s="3">
        <v>4.3319583877575001</v>
      </c>
      <c r="L9" s="2" t="s">
        <v>351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91.66</v>
      </c>
      <c r="H10" s="3">
        <v>3.0360503372536001</v>
      </c>
      <c r="I10" s="3">
        <v>2.8141121944001002</v>
      </c>
      <c r="J10" s="3">
        <v>6.8054794520547999</v>
      </c>
      <c r="K10" s="3">
        <v>6.2348221886520996</v>
      </c>
      <c r="L10" s="2" t="s">
        <v>351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99.75</v>
      </c>
      <c r="H11" s="3">
        <v>1.8493387870069999</v>
      </c>
      <c r="I11" s="3">
        <v>1.6472822127014</v>
      </c>
      <c r="J11" s="3">
        <v>1.0520547945206</v>
      </c>
      <c r="K11" s="3">
        <v>1.0213038989612999</v>
      </c>
      <c r="L11" s="2" t="s">
        <v>351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87.34</v>
      </c>
      <c r="H12" s="3">
        <v>3.6543433583101002</v>
      </c>
      <c r="I12" s="3">
        <v>3.3434024930483002</v>
      </c>
      <c r="J12" s="3">
        <v>11.312328767123001</v>
      </c>
      <c r="K12" s="3">
        <v>9.5418026007607004</v>
      </c>
      <c r="L12" s="2" t="s">
        <v>351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88.85</v>
      </c>
      <c r="H13" s="3">
        <v>4.2565854064159998</v>
      </c>
      <c r="I13" s="3">
        <v>3.7809650642118</v>
      </c>
      <c r="J13" s="3">
        <v>22.816438356163999</v>
      </c>
      <c r="K13" s="3">
        <v>14.75957417517</v>
      </c>
      <c r="L13" s="2" t="s">
        <v>351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90.65</v>
      </c>
      <c r="H14" s="3">
        <v>3.9754087944124001</v>
      </c>
      <c r="I14" s="3">
        <v>3.5559977612320002</v>
      </c>
      <c r="J14" s="3">
        <v>14.81095890411</v>
      </c>
      <c r="K14" s="3">
        <v>11.290472930721</v>
      </c>
      <c r="L14" s="2" t="s">
        <v>351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98.343999999999994</v>
      </c>
      <c r="H15" s="3">
        <v>1.8767760050711999</v>
      </c>
      <c r="I15" s="3">
        <v>1.8640681347359001</v>
      </c>
      <c r="J15" s="3">
        <v>0.88493150684930999</v>
      </c>
      <c r="K15" s="3">
        <v>0.86884159440874997</v>
      </c>
      <c r="L15" s="2" t="s">
        <v>351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59.46</v>
      </c>
      <c r="H16" s="3">
        <v>4.1457867944171003</v>
      </c>
      <c r="I16" s="3">
        <v>3.7458366830562002</v>
      </c>
      <c r="J16" s="3">
        <v>46.832876712329004</v>
      </c>
      <c r="K16" s="3">
        <v>23.100489286131001</v>
      </c>
      <c r="L16" s="2" t="s">
        <v>351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94.29</v>
      </c>
      <c r="H17" s="3">
        <v>3.8517950854488001</v>
      </c>
      <c r="I17" s="3">
        <v>3.4220598159023998</v>
      </c>
      <c r="J17" s="3">
        <v>12.808219178082</v>
      </c>
      <c r="K17" s="3">
        <v>10.042243978975</v>
      </c>
      <c r="L17" s="2" t="s">
        <v>351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98.45</v>
      </c>
      <c r="H18" s="3">
        <v>1.9507711199111</v>
      </c>
      <c r="I18" s="3">
        <v>1.8106264435665</v>
      </c>
      <c r="J18" s="3">
        <v>1.8849315068493</v>
      </c>
      <c r="K18" s="3">
        <v>1.8326872203719999</v>
      </c>
      <c r="L18" s="2" t="s">
        <v>351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103.27</v>
      </c>
      <c r="H19" s="3">
        <v>2.5248535138830999</v>
      </c>
      <c r="I19" s="3">
        <v>2.1058415595889</v>
      </c>
      <c r="J19" s="3">
        <v>4.1369863013699</v>
      </c>
      <c r="K19" s="3">
        <v>3.7653076344555001</v>
      </c>
      <c r="L19" s="2" t="s">
        <v>351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103.33</v>
      </c>
      <c r="H20" s="3">
        <v>3.4473864001260002</v>
      </c>
      <c r="I20" s="3">
        <v>2.9663072788677001</v>
      </c>
      <c r="J20" s="3">
        <v>9.1397260273973</v>
      </c>
      <c r="K20" s="3">
        <v>7.4621207923714001</v>
      </c>
      <c r="L20" s="2" t="s">
        <v>351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94.26</v>
      </c>
      <c r="H21" s="3">
        <v>2.7882750003051999</v>
      </c>
      <c r="I21" s="3">
        <v>2.5676595918251</v>
      </c>
      <c r="J21" s="3">
        <v>5.5561643835616001</v>
      </c>
      <c r="K21" s="3">
        <v>5.1416759533749996</v>
      </c>
      <c r="L21" s="2" t="s">
        <v>351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88.02</v>
      </c>
      <c r="H22" s="3">
        <v>2.9961644834650998</v>
      </c>
      <c r="I22" s="3">
        <v>2.8661607106525002</v>
      </c>
      <c r="J22" s="3">
        <v>6.5561643835616001</v>
      </c>
      <c r="K22" s="3">
        <v>6.1418734589442003</v>
      </c>
      <c r="L22" s="2" t="s">
        <v>351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104.76</v>
      </c>
      <c r="H23" s="3">
        <v>2.2705779693966002</v>
      </c>
      <c r="I23" s="3">
        <v>1.804264641227</v>
      </c>
      <c r="J23" s="3">
        <v>3.2219178082191999</v>
      </c>
      <c r="K23" s="3">
        <v>2.9704547608999001</v>
      </c>
      <c r="L23" s="2" t="s">
        <v>351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112.57</v>
      </c>
      <c r="H24" s="3">
        <v>3.4270457623062001</v>
      </c>
      <c r="I24" s="3">
        <v>2.8336190484388002</v>
      </c>
      <c r="J24" s="3">
        <v>9.2246575342465995</v>
      </c>
      <c r="K24" s="3">
        <v>7.2787750854011</v>
      </c>
      <c r="L24" s="2" t="s">
        <v>351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103.41</v>
      </c>
      <c r="H25" s="3">
        <v>3.6687123474407</v>
      </c>
      <c r="I25" s="3">
        <v>3.1708348669795998</v>
      </c>
      <c r="J25" s="3">
        <v>11.731506849315</v>
      </c>
      <c r="K25" s="3">
        <v>9.0911371011968996</v>
      </c>
      <c r="L25" s="2" t="s">
        <v>351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112.01</v>
      </c>
      <c r="H26" s="3">
        <v>3.9274441086845</v>
      </c>
      <c r="I26" s="3">
        <v>3.3345340073055998</v>
      </c>
      <c r="J26" s="3">
        <v>14.227397260274</v>
      </c>
      <c r="K26" s="3">
        <v>10.070352523602001</v>
      </c>
      <c r="L26" s="2" t="s">
        <v>351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99.09</v>
      </c>
      <c r="H27" s="3">
        <v>1.8542723134768</v>
      </c>
      <c r="I27" s="3">
        <v>1.6958482560832</v>
      </c>
      <c r="J27" s="3">
        <v>1.5534246575343</v>
      </c>
      <c r="K27" s="3">
        <v>1.5068016559257</v>
      </c>
      <c r="L27" s="2" t="s">
        <v>351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101.82</v>
      </c>
      <c r="H28" s="3">
        <v>2.2739275301266999</v>
      </c>
      <c r="I28" s="3">
        <v>1.9197531069936999</v>
      </c>
      <c r="J28" s="3">
        <v>3.5561643835616001</v>
      </c>
      <c r="K28" s="3">
        <v>3.2952424570207999</v>
      </c>
      <c r="L28" s="2" t="s">
        <v>351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98.988</v>
      </c>
      <c r="H29" s="3">
        <v>1.8842570060201</v>
      </c>
      <c r="I29" s="3">
        <v>1.8140919650501</v>
      </c>
      <c r="J29" s="3">
        <v>0.72328767123287996</v>
      </c>
      <c r="K29" s="3">
        <v>0.71150855344834996</v>
      </c>
      <c r="L29" s="2" t="s">
        <v>351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97.85</v>
      </c>
      <c r="H30" s="3">
        <v>1.7905825076826001</v>
      </c>
      <c r="I30" s="3">
        <v>1.7884603137631001</v>
      </c>
      <c r="J30" s="3">
        <v>1.2191780821917999</v>
      </c>
      <c r="K30" s="3">
        <v>1.203114771599</v>
      </c>
      <c r="L30" s="2" t="s">
        <v>351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102.82</v>
      </c>
      <c r="H31" s="3">
        <v>3.5324869771423</v>
      </c>
      <c r="I31" s="3">
        <v>3.0517475448132001</v>
      </c>
      <c r="J31" s="3">
        <v>9.7287671232876995</v>
      </c>
      <c r="K31" s="3">
        <v>7.8707797527221999</v>
      </c>
      <c r="L31" s="2" t="s">
        <v>351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111.52</v>
      </c>
      <c r="H32" s="3">
        <v>4.0217100119487998</v>
      </c>
      <c r="I32" s="3">
        <v>3.4259786381185</v>
      </c>
      <c r="J32" s="3">
        <v>15.315068493150999</v>
      </c>
      <c r="K32" s="3">
        <v>10.626709902369999</v>
      </c>
      <c r="L32" s="2" t="s">
        <v>351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101.979</v>
      </c>
      <c r="H33" s="3">
        <v>1.9716280203180001</v>
      </c>
      <c r="I33" s="3">
        <v>1.4247584203342001</v>
      </c>
      <c r="J33" s="3">
        <v>0.8</v>
      </c>
      <c r="K33" s="3">
        <v>0.7767777811337</v>
      </c>
      <c r="L33" s="2" t="s">
        <v>351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86.93</v>
      </c>
      <c r="H34" s="3">
        <v>4.2223039626137</v>
      </c>
      <c r="I34" s="3">
        <v>3.7699005277828999</v>
      </c>
      <c r="J34" s="3">
        <v>21.317808219178001</v>
      </c>
      <c r="K34" s="3">
        <v>14.344958261118</v>
      </c>
      <c r="L34" s="2" t="s">
        <v>351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100.05800000000001</v>
      </c>
      <c r="H35" s="3">
        <v>1.8638906929525001</v>
      </c>
      <c r="I35" s="3">
        <v>1.6179794614212</v>
      </c>
      <c r="J35" s="3">
        <v>0.55342465753424996</v>
      </c>
      <c r="K35" s="3">
        <v>0.53855326330200004</v>
      </c>
      <c r="L35" s="2" t="s">
        <v>351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71.099999999999994</v>
      </c>
      <c r="H36" s="3">
        <v>4.3366643279631996</v>
      </c>
      <c r="I36" s="3">
        <v>3.8790495066202002</v>
      </c>
      <c r="J36" s="3">
        <v>41.827397260273997</v>
      </c>
      <c r="K36" s="3">
        <v>20.547178998206999</v>
      </c>
      <c r="L36" s="2" t="s">
        <v>351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94.18</v>
      </c>
      <c r="H37" s="3">
        <v>3.2786878663389998</v>
      </c>
      <c r="I37" s="3">
        <v>2.9531186115843999</v>
      </c>
      <c r="J37" s="3">
        <v>8.3095890410959008</v>
      </c>
      <c r="K37" s="3">
        <v>7.2652427437028999</v>
      </c>
      <c r="L37" s="2" t="s">
        <v>351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90.98</v>
      </c>
      <c r="H38" s="3">
        <v>3.8542580208141</v>
      </c>
      <c r="I38" s="3">
        <v>3.4570649000502001</v>
      </c>
      <c r="J38" s="3">
        <v>13.312328767123001</v>
      </c>
      <c r="K38" s="3">
        <v>10.502303867757</v>
      </c>
      <c r="L38" s="2" t="s">
        <v>351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99.02</v>
      </c>
      <c r="H39" s="3">
        <v>3.4967867006410001</v>
      </c>
      <c r="I39" s="3">
        <v>3.0671323324978998</v>
      </c>
      <c r="J39" s="3">
        <v>9.8054794520548008</v>
      </c>
      <c r="K39" s="3">
        <v>8.0932991701223003</v>
      </c>
      <c r="L39" s="2" t="s">
        <v>351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</v>
      </c>
      <c r="H40" s="3">
        <v>4.2896121253338997</v>
      </c>
      <c r="I40" s="3">
        <v>3.7782181427175998</v>
      </c>
      <c r="J40" s="3">
        <v>24.320547945205998</v>
      </c>
      <c r="K40" s="3">
        <v>14.951358041888</v>
      </c>
      <c r="L40" s="2" t="s">
        <v>351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94.32</v>
      </c>
      <c r="H41" s="3">
        <v>2.6107568923487001</v>
      </c>
      <c r="I41" s="3">
        <v>2.4342973628614</v>
      </c>
      <c r="J41" s="3">
        <v>4.8876712328767002</v>
      </c>
      <c r="K41" s="3">
        <v>4.6134207339340003</v>
      </c>
      <c r="L41" s="2" t="s">
        <v>351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72.3</v>
      </c>
      <c r="H42" s="3">
        <v>4.2883874031940996</v>
      </c>
      <c r="I42" s="3">
        <v>3.9033552577704</v>
      </c>
      <c r="J42" s="3">
        <v>25.320547945205998</v>
      </c>
      <c r="K42" s="3">
        <v>16.849490265619998</v>
      </c>
      <c r="L42" s="2" t="s">
        <v>351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60.71</v>
      </c>
      <c r="H43" s="3">
        <v>4.2155777782861996</v>
      </c>
      <c r="I43" s="3">
        <v>3.9175122757419998</v>
      </c>
      <c r="J43" s="3">
        <v>26.320547945205998</v>
      </c>
      <c r="K43" s="3">
        <v>18.651596346816</v>
      </c>
      <c r="L43" s="2" t="s">
        <v>351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103.81</v>
      </c>
      <c r="H44" s="3">
        <v>4.1901297576585996</v>
      </c>
      <c r="I44" s="3">
        <v>3.6354838597718002</v>
      </c>
      <c r="J44" s="3">
        <v>18.315068493150999</v>
      </c>
      <c r="K44" s="3">
        <v>12.215764573686</v>
      </c>
      <c r="L44" s="2" t="s">
        <v>351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106.27</v>
      </c>
      <c r="H45" s="3">
        <v>3.3968594287971001</v>
      </c>
      <c r="I45" s="3">
        <v>2.8826321483567998</v>
      </c>
      <c r="J45" s="3">
        <v>8.8054794520548008</v>
      </c>
      <c r="K45" s="3">
        <v>7.1995545888177999</v>
      </c>
      <c r="L45" s="2" t="s">
        <v>351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89.5</v>
      </c>
      <c r="H46" s="3">
        <v>2.8695701978155999</v>
      </c>
      <c r="I46" s="3">
        <v>2.7483255961983</v>
      </c>
      <c r="J46" s="3">
        <v>5.8876712328767002</v>
      </c>
      <c r="K46" s="3">
        <v>5.5713463143187996</v>
      </c>
      <c r="L46" s="2" t="s">
        <v>351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86.72</v>
      </c>
      <c r="H47" s="3">
        <v>3.0786492561916998</v>
      </c>
      <c r="I47" s="3">
        <v>2.9386686776038</v>
      </c>
      <c r="J47" s="3">
        <v>7.0575342465753002</v>
      </c>
      <c r="K47" s="3">
        <v>6.5867412860755001</v>
      </c>
      <c r="L47" s="2" t="s">
        <v>351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108.17</v>
      </c>
      <c r="H48" s="3">
        <v>3.2510194880838998</v>
      </c>
      <c r="I48" s="3">
        <v>2.7184057566472002</v>
      </c>
      <c r="J48" s="3">
        <v>7.9726027397259998</v>
      </c>
      <c r="K48" s="3">
        <v>6.6432445902742998</v>
      </c>
      <c r="L48" s="2" t="s">
        <v>351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107.76</v>
      </c>
      <c r="H49" s="3">
        <v>1.8628785393747</v>
      </c>
      <c r="I49" s="3">
        <v>0.99835241625005999</v>
      </c>
      <c r="J49" s="3">
        <v>1.4712328767123</v>
      </c>
      <c r="K49" s="3">
        <v>1.3983047784897999</v>
      </c>
      <c r="L49" s="2" t="s">
        <v>351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110.66</v>
      </c>
      <c r="H50" s="3">
        <v>2.0538215997178999</v>
      </c>
      <c r="I50" s="3">
        <v>1.2860592774651001</v>
      </c>
      <c r="J50" s="3">
        <v>2.4712328767123002</v>
      </c>
      <c r="K50" s="3">
        <v>2.2810819800026998</v>
      </c>
      <c r="L50" s="2" t="s">
        <v>351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111.69</v>
      </c>
      <c r="H51" s="3">
        <v>2.4811130985609999</v>
      </c>
      <c r="I51" s="3">
        <v>1.8599132175468001</v>
      </c>
      <c r="J51" s="3">
        <v>4.4739726027396998</v>
      </c>
      <c r="K51" s="3">
        <v>3.9695616659844002</v>
      </c>
      <c r="L51" s="2" t="s">
        <v>351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117.38</v>
      </c>
      <c r="H52" s="3">
        <v>2.8321405404840001</v>
      </c>
      <c r="I52" s="3">
        <v>2.1417478649874999</v>
      </c>
      <c r="J52" s="3">
        <v>5.9698630136985997</v>
      </c>
      <c r="K52" s="3">
        <v>5.0365235880533996</v>
      </c>
      <c r="L52" s="2" t="s">
        <v>351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99.959000000000003</v>
      </c>
      <c r="H53" s="3">
        <v>2.1339412326459</v>
      </c>
      <c r="I53" s="3">
        <v>1.9604613734866001</v>
      </c>
      <c r="J53" s="3">
        <v>5.2054794520548002E-2</v>
      </c>
      <c r="K53" s="3">
        <v>5.3651161735835999E-2</v>
      </c>
      <c r="L53" s="2" t="s">
        <v>351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91.55</v>
      </c>
      <c r="H54" s="3">
        <v>2.7133625741855001</v>
      </c>
      <c r="I54" s="3">
        <v>2.5818680286615998</v>
      </c>
      <c r="J54" s="3">
        <v>5.2219178082192004</v>
      </c>
      <c r="K54" s="3">
        <v>4.9517035116816004</v>
      </c>
      <c r="L54" s="2" t="s">
        <v>351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107.59</v>
      </c>
      <c r="H55" s="3">
        <v>3.1154479830602999</v>
      </c>
      <c r="I55" s="3">
        <v>2.6102595619455999</v>
      </c>
      <c r="J55" s="3">
        <v>8.4767123287670998</v>
      </c>
      <c r="K55" s="3">
        <v>7.0104896816759998</v>
      </c>
      <c r="L55" s="2" t="s">
        <v>351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99.99</v>
      </c>
      <c r="H56" s="3">
        <v>3.6312142745823999</v>
      </c>
      <c r="I56" s="3">
        <v>3.1738962491386999</v>
      </c>
      <c r="J56" s="3">
        <v>10.391780821917999</v>
      </c>
      <c r="K56" s="3">
        <v>8.4452779124332995</v>
      </c>
      <c r="L56" s="2" t="s">
        <v>351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101.81</v>
      </c>
      <c r="H57" s="3">
        <v>2.5746533521327999</v>
      </c>
      <c r="I57" s="3">
        <v>2.1935252851140001</v>
      </c>
      <c r="J57" s="3">
        <v>4.3890410958904003</v>
      </c>
      <c r="K57" s="3">
        <v>4.0310197860764996</v>
      </c>
      <c r="L57" s="2" t="s">
        <v>351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105.96</v>
      </c>
      <c r="H58" s="3">
        <v>2.4260328831186002</v>
      </c>
      <c r="I58" s="3">
        <v>1.8998486100222001</v>
      </c>
      <c r="J58" s="3">
        <v>3.7260273972603</v>
      </c>
      <c r="K58" s="3">
        <v>3.3832665630941001</v>
      </c>
      <c r="L58" s="2" t="s">
        <v>351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100.97</v>
      </c>
      <c r="H59" s="3">
        <v>2.7637819362712999</v>
      </c>
      <c r="I59" s="3">
        <v>2.3925717910822</v>
      </c>
      <c r="J59" s="3">
        <v>5.1369863013699</v>
      </c>
      <c r="K59" s="3">
        <v>4.6511018259150996</v>
      </c>
      <c r="L59" s="2" t="s">
        <v>351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95.69</v>
      </c>
      <c r="H60" s="3">
        <v>3.1673208487165998</v>
      </c>
      <c r="I60" s="3">
        <v>2.8189586453083</v>
      </c>
      <c r="J60" s="3">
        <v>7.5589041095890002</v>
      </c>
      <c r="K60" s="3">
        <v>6.6281377526645002</v>
      </c>
      <c r="L60" s="2" t="s">
        <v>351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100.16</v>
      </c>
      <c r="H61" s="3">
        <v>1.9842927649968001</v>
      </c>
      <c r="I61" s="3">
        <v>1.7164318837671999</v>
      </c>
      <c r="J61" s="3">
        <v>2.2191780821917999</v>
      </c>
      <c r="K61" s="3">
        <v>2.1295527712647999</v>
      </c>
      <c r="L61" s="2" t="s">
        <v>351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101.38</v>
      </c>
      <c r="H62" s="3">
        <v>2.1015356343919001</v>
      </c>
      <c r="I62" s="3">
        <v>1.7619286259508</v>
      </c>
      <c r="J62" s="3">
        <v>2.5534246575342001</v>
      </c>
      <c r="K62" s="3">
        <v>2.4073607261465999</v>
      </c>
      <c r="L62" s="2" t="s">
        <v>351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79.08</v>
      </c>
      <c r="H63" s="3">
        <v>4.2107973775175003</v>
      </c>
      <c r="I63" s="3">
        <v>3.8115749620278998</v>
      </c>
      <c r="J63" s="3">
        <v>21.813698630137001</v>
      </c>
      <c r="K63" s="3">
        <v>15.113363915074</v>
      </c>
      <c r="L63" s="2" t="s">
        <v>351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73.930000000000007</v>
      </c>
      <c r="H64" s="3">
        <v>3.7266733495336002</v>
      </c>
      <c r="I64" s="3">
        <v>3.5802635971128001</v>
      </c>
      <c r="J64" s="3">
        <v>11.808219178082</v>
      </c>
      <c r="K64" s="3">
        <v>10.645109637179001</v>
      </c>
      <c r="L64" s="2" t="s">
        <v>351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66.290000000000006</v>
      </c>
      <c r="H65" s="3">
        <v>4.2888891361455004</v>
      </c>
      <c r="I65" s="3">
        <v>3.9327241331941001</v>
      </c>
      <c r="J65" s="3">
        <v>27.323287671233</v>
      </c>
      <c r="K65" s="3">
        <v>18.106216300717001</v>
      </c>
      <c r="L65" s="2" t="s">
        <v>351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101.64</v>
      </c>
      <c r="H66" s="3">
        <v>2.0034703725087999</v>
      </c>
      <c r="I66" s="3">
        <v>1.6289849121522</v>
      </c>
      <c r="J66" s="3">
        <v>1.7616438356163999</v>
      </c>
      <c r="K66" s="3">
        <v>1.6851524058969001</v>
      </c>
      <c r="L66" s="2" t="s">
        <v>351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100.66</v>
      </c>
      <c r="H67" s="3">
        <v>3.6021804851669001</v>
      </c>
      <c r="I67" s="3">
        <v>3.1361350308464999</v>
      </c>
      <c r="J67" s="3">
        <v>10.224657534246999</v>
      </c>
      <c r="K67" s="3">
        <v>8.2500342404908995</v>
      </c>
      <c r="L67" s="2" t="s">
        <v>351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100.22</v>
      </c>
      <c r="H68" s="3">
        <v>1.9200622208908</v>
      </c>
      <c r="I68" s="3">
        <v>1.6555731812028001</v>
      </c>
      <c r="J68" s="3">
        <v>1.1726027397259999</v>
      </c>
      <c r="K68" s="3">
        <v>1.1353375914126</v>
      </c>
      <c r="L68" s="2" t="s">
        <v>351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102.79</v>
      </c>
      <c r="H69" s="3">
        <v>2.9727495487412998</v>
      </c>
      <c r="I69" s="3">
        <v>2.5427025614569998</v>
      </c>
      <c r="J69" s="3">
        <v>6.1753424657534</v>
      </c>
      <c r="K69" s="3">
        <v>5.4040608669664998</v>
      </c>
      <c r="L69" s="2" t="s">
        <v>351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74.180000000000007</v>
      </c>
      <c r="H70" s="3">
        <v>4.0617003429325997</v>
      </c>
      <c r="I70" s="3">
        <v>3.7882437496932</v>
      </c>
      <c r="J70" s="3">
        <v>15.81095890411</v>
      </c>
      <c r="K70" s="3">
        <v>12.838531167851</v>
      </c>
      <c r="L70" s="2" t="s">
        <v>351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106.07</v>
      </c>
      <c r="H71" s="3">
        <v>2.8184678882810998</v>
      </c>
      <c r="I71" s="3">
        <v>2.3296261113096</v>
      </c>
      <c r="J71" s="3">
        <v>5.5123287671233001</v>
      </c>
      <c r="K71" s="3">
        <v>4.7933196554112998</v>
      </c>
      <c r="L71" s="2" t="s">
        <v>351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98.34</v>
      </c>
      <c r="H72" s="3">
        <v>1.8671468485675999</v>
      </c>
      <c r="I72" s="3">
        <v>1.7527823639969999</v>
      </c>
      <c r="J72" s="3">
        <v>1.6767123287671</v>
      </c>
      <c r="K72" s="3">
        <v>1.6333715637013999</v>
      </c>
      <c r="L72" s="2" t="s">
        <v>351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93.25</v>
      </c>
      <c r="H73" s="3">
        <v>2.3463888202613998</v>
      </c>
      <c r="I73" s="3">
        <v>2.2707372450104999</v>
      </c>
      <c r="J73" s="3">
        <v>3.7643835616437999</v>
      </c>
      <c r="K73" s="3">
        <v>3.6460083752863999</v>
      </c>
      <c r="L73" s="2" t="s">
        <v>351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105.51</v>
      </c>
      <c r="H74" s="3">
        <v>2.5808839350783002</v>
      </c>
      <c r="I74" s="3">
        <v>2.1099175840402</v>
      </c>
      <c r="J74" s="3">
        <v>4.5945205479451996</v>
      </c>
      <c r="K74" s="3">
        <v>4.1027261240768</v>
      </c>
      <c r="L74" s="2" t="s">
        <v>351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</v>
      </c>
      <c r="H75" s="3">
        <v>2.1140946714862001</v>
      </c>
      <c r="I75" s="3">
        <v>1.7748103636959001</v>
      </c>
      <c r="J75" s="3">
        <v>2.4246575342466001</v>
      </c>
      <c r="K75" s="3">
        <v>2.3106094573684999</v>
      </c>
      <c r="L75" s="2" t="s">
        <v>351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103.35</v>
      </c>
      <c r="H76" s="3">
        <v>2.8799463654514001</v>
      </c>
      <c r="I76" s="3">
        <v>2.4439066618904999</v>
      </c>
      <c r="J76" s="3">
        <v>5.7643835616438004</v>
      </c>
      <c r="K76" s="3">
        <v>5.0965556513115002</v>
      </c>
      <c r="L76" s="2" t="s">
        <v>351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101.669</v>
      </c>
      <c r="H77" s="3">
        <v>1.947704709878</v>
      </c>
      <c r="I77" s="3">
        <v>1.4820910478111</v>
      </c>
      <c r="J77" s="3">
        <v>0.92328767123288003</v>
      </c>
      <c r="K77" s="3">
        <v>0.89683937303199002</v>
      </c>
      <c r="L77" s="2" t="s">
        <v>351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101.38</v>
      </c>
      <c r="H78" s="3">
        <v>2.4565120927508999</v>
      </c>
      <c r="I78" s="3">
        <v>2.1056409501804998</v>
      </c>
      <c r="J78" s="3">
        <v>4.0931506849314996</v>
      </c>
      <c r="K78" s="3">
        <v>3.7621585791998</v>
      </c>
      <c r="L78" s="2" t="s">
        <v>351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97.61</v>
      </c>
      <c r="H79" s="3">
        <v>2.0080573720780999</v>
      </c>
      <c r="I79" s="3">
        <v>1.8865598231362</v>
      </c>
      <c r="J79" s="3">
        <v>2.3424657534247002</v>
      </c>
      <c r="K79" s="3">
        <v>2.2729070189709999</v>
      </c>
      <c r="L79" s="2" t="s">
        <v>351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101.16</v>
      </c>
      <c r="H80" s="3">
        <v>2.2703241760713002</v>
      </c>
      <c r="I80" s="3">
        <v>1.9265001182717001</v>
      </c>
      <c r="J80" s="3">
        <v>3.0931506849315</v>
      </c>
      <c r="K80" s="3">
        <v>2.9124765925106999</v>
      </c>
      <c r="L80" s="2" t="s">
        <v>351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104.72</v>
      </c>
      <c r="H81" s="3">
        <v>2.7150361084341998</v>
      </c>
      <c r="I81" s="3">
        <v>2.2328945728888998</v>
      </c>
      <c r="J81" s="3">
        <v>5.0931506849314996</v>
      </c>
      <c r="K81" s="3">
        <v>4.5159475372718001</v>
      </c>
      <c r="L81" s="2" t="s">
        <v>351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94.99</v>
      </c>
      <c r="H82" s="3">
        <v>2.1478382102659999</v>
      </c>
      <c r="I82" s="3">
        <v>2.0617594024174002</v>
      </c>
      <c r="J82" s="3">
        <v>3.1753424657534</v>
      </c>
      <c r="K82" s="3">
        <v>3.0874223132986001</v>
      </c>
      <c r="L82" s="2" t="s">
        <v>351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102.97</v>
      </c>
      <c r="H83" s="3">
        <v>2.0571078725855001</v>
      </c>
      <c r="I83" s="3">
        <v>1.6298177421447</v>
      </c>
      <c r="J83" s="3">
        <v>2.1726027397259999</v>
      </c>
      <c r="K83" s="3">
        <v>2.0488567542316001</v>
      </c>
      <c r="L83" s="2" t="s">
        <v>351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102.46</v>
      </c>
      <c r="H84" s="3">
        <v>1.9842099770768999</v>
      </c>
      <c r="I84" s="3">
        <v>1.5084196562833001</v>
      </c>
      <c r="J84" s="3">
        <v>1.3424657534247</v>
      </c>
      <c r="K84" s="3">
        <v>1.2891269190034</v>
      </c>
      <c r="L84" s="2" t="s">
        <v>351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100.26600000000001</v>
      </c>
      <c r="H85" s="3">
        <v>1.9056407530841999</v>
      </c>
      <c r="I85" s="3">
        <v>1.6007629116805999</v>
      </c>
      <c r="J85" s="3">
        <v>0.50958904109588998</v>
      </c>
      <c r="K85" s="3">
        <v>0.49936870217856999</v>
      </c>
      <c r="L85" s="2" t="s">
        <v>351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98.35</v>
      </c>
      <c r="H86" s="3">
        <v>4.4454134786955999</v>
      </c>
      <c r="I86" s="3">
        <v>3.8904712636514001</v>
      </c>
      <c r="J86" s="3">
        <v>29.405479452055001</v>
      </c>
      <c r="K86" s="3">
        <v>16.059542964047001</v>
      </c>
      <c r="L86" s="2" t="s">
        <v>351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100.98</v>
      </c>
      <c r="H87" s="3">
        <v>1.9937597026859</v>
      </c>
      <c r="I87" s="3">
        <v>1.5635237765151999</v>
      </c>
      <c r="J87" s="3">
        <v>0.67671232876711995</v>
      </c>
      <c r="K87" s="3">
        <v>0.65519181019880002</v>
      </c>
      <c r="L87" s="2" t="s">
        <v>351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94.83</v>
      </c>
      <c r="H88" s="3">
        <v>2.1463724119521999</v>
      </c>
      <c r="I88" s="3">
        <v>2.1076852807650002</v>
      </c>
      <c r="J88" s="3">
        <v>2.8410958904110002</v>
      </c>
      <c r="K88" s="3">
        <v>2.7719283321847001</v>
      </c>
      <c r="L88" s="2" t="s">
        <v>351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80.86</v>
      </c>
      <c r="H89" s="3">
        <v>3.6332344853790999</v>
      </c>
      <c r="I89" s="3">
        <v>3.4229672771027002</v>
      </c>
      <c r="J89" s="3">
        <v>10.808219178082</v>
      </c>
      <c r="K89" s="3">
        <v>9.5554466705733994</v>
      </c>
      <c r="L89" s="2" t="s">
        <v>351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97.78</v>
      </c>
      <c r="H90" s="3">
        <v>4.0824947487004</v>
      </c>
      <c r="I90" s="3">
        <v>3.5819770273548999</v>
      </c>
      <c r="J90" s="3">
        <v>15.397260273973</v>
      </c>
      <c r="K90" s="3">
        <v>11.202675477593001</v>
      </c>
      <c r="L90" s="2" t="s">
        <v>351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99.778000000000006</v>
      </c>
      <c r="H91" s="3">
        <v>2.0422184350314998</v>
      </c>
      <c r="I91" s="3">
        <v>1.8809253470089</v>
      </c>
      <c r="J91" s="3">
        <v>0.25753424657534002</v>
      </c>
      <c r="K91" s="3">
        <v>0.25240832768902999</v>
      </c>
      <c r="L91" s="2" t="s">
        <v>351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9.8575342465753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107.88</v>
      </c>
      <c r="H93" s="3">
        <v>2.2679756466644001</v>
      </c>
      <c r="I93" s="3">
        <v>1.6960698716267999</v>
      </c>
      <c r="J93" s="3">
        <v>3.3068493150684999</v>
      </c>
      <c r="K93" s="3">
        <v>3.0145671051590002</v>
      </c>
      <c r="L93" s="2" t="s">
        <v>351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102.02</v>
      </c>
      <c r="H94" s="3">
        <v>4.4192384917803</v>
      </c>
      <c r="I94" s="3">
        <v>3.8527945817890998</v>
      </c>
      <c r="J94" s="3">
        <v>28.405479452055001</v>
      </c>
      <c r="K94" s="3">
        <v>15.661887205887</v>
      </c>
      <c r="L94" s="2" t="s">
        <v>351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100.65</v>
      </c>
      <c r="H95" s="3">
        <v>3.1712136933569002</v>
      </c>
      <c r="I95" s="3">
        <v>2.7606918486049001</v>
      </c>
      <c r="J95" s="3">
        <v>7.1780821917808</v>
      </c>
      <c r="K95" s="3">
        <v>6.2539530573548001</v>
      </c>
      <c r="L95" s="2" t="s">
        <v>351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100.818</v>
      </c>
      <c r="H96" s="3">
        <v>2.0006997964511002</v>
      </c>
      <c r="I96" s="3">
        <v>1.5888611292604999</v>
      </c>
      <c r="J96" s="3">
        <v>0.71232876712328996</v>
      </c>
      <c r="K96" s="3">
        <v>0.69077914027467002</v>
      </c>
      <c r="L96" s="2" t="s">
        <v>351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100.554</v>
      </c>
      <c r="H97" s="3">
        <v>2.0663679862312998</v>
      </c>
      <c r="I97" s="3">
        <v>1.6248572073797001</v>
      </c>
      <c r="J97" s="3">
        <v>0.38082191780822</v>
      </c>
      <c r="K97" s="3">
        <v>0.37317094450843002</v>
      </c>
      <c r="L97" s="2" t="s">
        <v>351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99.956999999999994</v>
      </c>
      <c r="H98" s="3">
        <v>2.142135790682</v>
      </c>
      <c r="I98" s="3">
        <v>1.9080388938912001</v>
      </c>
      <c r="J98" s="3">
        <v>0.13424657534247</v>
      </c>
      <c r="K98" s="3">
        <v>0.13143982533178999</v>
      </c>
      <c r="L98" s="2" t="s">
        <v>351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101.44</v>
      </c>
      <c r="H99" s="3">
        <v>1.9806756928761</v>
      </c>
      <c r="I99" s="3">
        <v>1.5933485574163</v>
      </c>
      <c r="J99" s="3">
        <v>1.2931506849315</v>
      </c>
      <c r="K99" s="3">
        <v>1.2460419717738001</v>
      </c>
      <c r="L99" s="2" t="s">
        <v>351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100.72</v>
      </c>
      <c r="H100" s="3">
        <v>3.0443964306194999</v>
      </c>
      <c r="I100" s="3">
        <v>2.6474527730931001</v>
      </c>
      <c r="J100" s="3">
        <v>6.5123287671233001</v>
      </c>
      <c r="K100" s="3">
        <v>5.6829283628132004</v>
      </c>
      <c r="L100" s="2" t="s">
        <v>351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100.93</v>
      </c>
      <c r="H101" s="3">
        <v>2.0249576479592002</v>
      </c>
      <c r="I101" s="3">
        <v>1.7003394705082999</v>
      </c>
      <c r="J101" s="3">
        <v>1.7890410958903999</v>
      </c>
      <c r="K101" s="3">
        <v>1.7169414229497</v>
      </c>
      <c r="L101" s="2" t="s">
        <v>351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103.38</v>
      </c>
      <c r="H102" s="3">
        <v>2.1903213425837</v>
      </c>
      <c r="I102" s="3">
        <v>1.7574674262351999</v>
      </c>
      <c r="J102" s="3">
        <v>2.8876712328766998</v>
      </c>
      <c r="K102" s="3">
        <v>2.7130299197096002</v>
      </c>
      <c r="L102" s="2" t="s">
        <v>351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103.85</v>
      </c>
      <c r="H103" s="3">
        <v>2.8759480303161</v>
      </c>
      <c r="I103" s="3">
        <v>2.4152525536713001</v>
      </c>
      <c r="J103" s="3">
        <v>4.8136986301369999</v>
      </c>
      <c r="K103" s="3">
        <v>4.3092373859500004</v>
      </c>
      <c r="L103" s="2" t="s">
        <v>351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103.85</v>
      </c>
      <c r="H104" s="3">
        <v>3.0112630389159998</v>
      </c>
      <c r="I104" s="3">
        <v>2.5384150153617</v>
      </c>
      <c r="J104" s="3">
        <v>4.8136986301369999</v>
      </c>
      <c r="K104" s="3">
        <v>4.3043644149002001</v>
      </c>
      <c r="L104" s="2" t="s">
        <v>351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105.77</v>
      </c>
      <c r="H105" s="3">
        <v>2.5786595063753999</v>
      </c>
      <c r="I105" s="3">
        <v>2.0464704679607002</v>
      </c>
      <c r="J105" s="3">
        <v>3.413698630137</v>
      </c>
      <c r="K105" s="3">
        <v>3.1137507868340002</v>
      </c>
      <c r="L105" s="2" t="s">
        <v>351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105.77</v>
      </c>
      <c r="H106" s="3">
        <v>2.7171193273298</v>
      </c>
      <c r="I106" s="3">
        <v>2.1741786378526</v>
      </c>
      <c r="J106" s="3">
        <v>3.413698630137</v>
      </c>
      <c r="K106" s="3">
        <v>3.1098922516569001</v>
      </c>
      <c r="L106" s="2" t="s">
        <v>351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103.49</v>
      </c>
      <c r="H107" s="3">
        <v>2.2550711545955999</v>
      </c>
      <c r="I107" s="3">
        <v>1.7657399498165001</v>
      </c>
      <c r="J107" s="3">
        <v>2.0849315068493</v>
      </c>
      <c r="K107" s="3">
        <v>1.9566515651794001</v>
      </c>
      <c r="L107" s="2" t="s">
        <v>351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103.49</v>
      </c>
      <c r="H108" s="3">
        <v>2.4874349031973999</v>
      </c>
      <c r="I108" s="3">
        <v>1.9839216895353</v>
      </c>
      <c r="J108" s="3">
        <v>2.0849315068493</v>
      </c>
      <c r="K108" s="3">
        <v>1.9523351158819999</v>
      </c>
      <c r="L108" s="2" t="s">
        <v>351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103.59</v>
      </c>
      <c r="H109" s="3">
        <v>2.9263956445791002</v>
      </c>
      <c r="I109" s="3">
        <v>2.4690381108092998</v>
      </c>
      <c r="J109" s="3">
        <v>5.0054794520548</v>
      </c>
      <c r="K109" s="3">
        <v>4.4532826499873002</v>
      </c>
      <c r="L109" s="2" t="s">
        <v>351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103.59</v>
      </c>
      <c r="H110" s="3">
        <v>3.0748627474253998</v>
      </c>
      <c r="I110" s="3">
        <v>2.6035684844218001</v>
      </c>
      <c r="J110" s="3">
        <v>5.0054794520548</v>
      </c>
      <c r="K110" s="3">
        <v>4.4478221728058998</v>
      </c>
      <c r="L110" s="2" t="s">
        <v>351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100.75</v>
      </c>
      <c r="H111" s="3">
        <v>4.8153432137137999</v>
      </c>
      <c r="I111" s="3">
        <v>4.4853764813419996</v>
      </c>
      <c r="J111" s="3">
        <v>31.027397260274</v>
      </c>
      <c r="K111" s="3">
        <v>5.7017219174573999</v>
      </c>
      <c r="L111" s="2" t="s">
        <v>351</v>
      </c>
      <c r="M111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8313-06EF-714E-A662-01064E843DFE}">
  <dimension ref="A1:M111"/>
  <sheetViews>
    <sheetView workbookViewId="0">
      <selection sqref="A1:XFD1048576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116.74</v>
      </c>
      <c r="H2" s="3">
        <v>3.3003222137910999</v>
      </c>
      <c r="I2" s="3">
        <v>2.6353999186778001</v>
      </c>
      <c r="J2" s="3">
        <v>7.7260273972603004</v>
      </c>
      <c r="K2" s="3">
        <v>6.1769758219442004</v>
      </c>
      <c r="L2" s="2" t="s">
        <v>352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100.29</v>
      </c>
      <c r="H3" s="3">
        <v>2.0651541877077002</v>
      </c>
      <c r="I3" s="3">
        <v>1.7735492180004</v>
      </c>
      <c r="J3" s="3">
        <v>2.0493150684931001</v>
      </c>
      <c r="K3" s="3">
        <v>1.9552951764738999</v>
      </c>
      <c r="L3" s="2" t="s">
        <v>352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99.47</v>
      </c>
      <c r="H4" s="3">
        <v>2.2115971197838999</v>
      </c>
      <c r="I4" s="3">
        <v>1.95378197186</v>
      </c>
      <c r="J4" s="3">
        <v>2.7205479452054999</v>
      </c>
      <c r="K4" s="3">
        <v>2.5897187845582001</v>
      </c>
      <c r="L4" s="2" t="s">
        <v>352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101.84</v>
      </c>
      <c r="H5" s="3">
        <v>2.5520750967503001</v>
      </c>
      <c r="I5" s="3">
        <v>2.1769126237798999</v>
      </c>
      <c r="J5" s="3">
        <v>4.2191780821918003</v>
      </c>
      <c r="K5" s="3">
        <v>3.8666622184896999</v>
      </c>
      <c r="L5" s="2" t="s">
        <v>352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101.61</v>
      </c>
      <c r="H6" s="3">
        <v>4.0373537683405001</v>
      </c>
      <c r="I6" s="3">
        <v>3.5127738342447001</v>
      </c>
      <c r="J6" s="3">
        <v>14.391780821917999</v>
      </c>
      <c r="K6" s="3">
        <v>10.538258092901</v>
      </c>
      <c r="L6" s="2" t="s">
        <v>352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86.51</v>
      </c>
      <c r="H7" s="3">
        <v>3.0155549657036</v>
      </c>
      <c r="I7" s="3">
        <v>2.9328183339409</v>
      </c>
      <c r="J7" s="3">
        <v>6.2191780821918003</v>
      </c>
      <c r="K7" s="3">
        <v>5.9138099402390996</v>
      </c>
      <c r="L7" s="2" t="s">
        <v>352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107.6</v>
      </c>
      <c r="H8" s="3">
        <v>4.2122059225759996</v>
      </c>
      <c r="I8" s="3">
        <v>3.6325559980149</v>
      </c>
      <c r="J8" s="3">
        <v>19.315068493150999</v>
      </c>
      <c r="K8" s="3">
        <v>12.472237872612</v>
      </c>
      <c r="L8" s="2" t="s">
        <v>352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103.84</v>
      </c>
      <c r="H9" s="3">
        <v>2.6587893150955</v>
      </c>
      <c r="I9" s="3">
        <v>2.2229146426291999</v>
      </c>
      <c r="J9" s="3">
        <v>4.8</v>
      </c>
      <c r="K9" s="3">
        <v>4.3242768595649004</v>
      </c>
      <c r="L9" s="2" t="s">
        <v>352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91.23</v>
      </c>
      <c r="H10" s="3">
        <v>3.1117976540858998</v>
      </c>
      <c r="I10" s="3">
        <v>2.8892284854399999</v>
      </c>
      <c r="J10" s="3">
        <v>6.8027397260273998</v>
      </c>
      <c r="K10" s="3">
        <v>6.2264430032993996</v>
      </c>
      <c r="L10" s="2" t="s">
        <v>352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99.62</v>
      </c>
      <c r="H11" s="3">
        <v>1.9771574103859</v>
      </c>
      <c r="I11" s="3">
        <v>1.7747805346558001</v>
      </c>
      <c r="J11" s="3">
        <v>1.0493150684932</v>
      </c>
      <c r="K11" s="3">
        <v>1.0173252107541999</v>
      </c>
      <c r="L11" s="2" t="s">
        <v>352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86.82</v>
      </c>
      <c r="H12" s="3">
        <v>3.7169561944609999</v>
      </c>
      <c r="I12" s="3">
        <v>3.4048831272864</v>
      </c>
      <c r="J12" s="3">
        <v>11.309589041096</v>
      </c>
      <c r="K12" s="3">
        <v>9.5281515082974</v>
      </c>
      <c r="L12" s="2" t="s">
        <v>352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88.36</v>
      </c>
      <c r="H13" s="3">
        <v>4.2938693215733004</v>
      </c>
      <c r="I13" s="3">
        <v>3.8164648111530002</v>
      </c>
      <c r="J13" s="3">
        <v>22.813698630137001</v>
      </c>
      <c r="K13" s="3">
        <v>14.729068837419</v>
      </c>
      <c r="L13" s="2" t="s">
        <v>352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90.15</v>
      </c>
      <c r="H14" s="3">
        <v>4.0242347933409999</v>
      </c>
      <c r="I14" s="3">
        <v>3.6033400453761999</v>
      </c>
      <c r="J14" s="3">
        <v>14.808219178082</v>
      </c>
      <c r="K14" s="3">
        <v>11.272518971389999</v>
      </c>
      <c r="L14" s="2" t="s">
        <v>352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98.272999999999996</v>
      </c>
      <c r="H15" s="3">
        <v>1.9647384870882001</v>
      </c>
      <c r="I15" s="3">
        <v>1.9520766173205999</v>
      </c>
      <c r="J15" s="3">
        <v>0.88219178082191996</v>
      </c>
      <c r="K15" s="3">
        <v>0.86541467301467001</v>
      </c>
      <c r="L15" s="2" t="s">
        <v>352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59.12</v>
      </c>
      <c r="H16" s="3">
        <v>4.1705313256331999</v>
      </c>
      <c r="I16" s="3">
        <v>3.768690006465</v>
      </c>
      <c r="J16" s="3">
        <v>46.830136986301</v>
      </c>
      <c r="K16" s="3">
        <v>23.026606198075999</v>
      </c>
      <c r="L16" s="2" t="s">
        <v>352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93.82</v>
      </c>
      <c r="H17" s="3">
        <v>3.9013595894524999</v>
      </c>
      <c r="I17" s="3">
        <v>3.4702603932786</v>
      </c>
      <c r="J17" s="3">
        <v>12.805479452055</v>
      </c>
      <c r="K17" s="3">
        <v>10.027756188772999</v>
      </c>
      <c r="L17" s="2" t="s">
        <v>352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98.23</v>
      </c>
      <c r="H18" s="3">
        <v>2.0741634217956002</v>
      </c>
      <c r="I18" s="3">
        <v>1.9337329600976001</v>
      </c>
      <c r="J18" s="3">
        <v>1.8821917808219</v>
      </c>
      <c r="K18" s="3">
        <v>1.8277651895861</v>
      </c>
      <c r="L18" s="2" t="s">
        <v>352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102.9</v>
      </c>
      <c r="H19" s="3">
        <v>2.6186344662772001</v>
      </c>
      <c r="I19" s="3">
        <v>2.1985754510704001</v>
      </c>
      <c r="J19" s="3">
        <v>4.1342465753425</v>
      </c>
      <c r="K19" s="3">
        <v>3.7585537652418002</v>
      </c>
      <c r="L19" s="2" t="s">
        <v>352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102.83</v>
      </c>
      <c r="H20" s="3">
        <v>3.5114544369493998</v>
      </c>
      <c r="I20" s="3">
        <v>3.0288881842416999</v>
      </c>
      <c r="J20" s="3">
        <v>9.1369863013699</v>
      </c>
      <c r="K20" s="3">
        <v>7.4506685608997003</v>
      </c>
      <c r="L20" s="2" t="s">
        <v>352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93.8</v>
      </c>
      <c r="H21" s="3">
        <v>2.883311343516</v>
      </c>
      <c r="I21" s="3">
        <v>2.6620260738013002</v>
      </c>
      <c r="J21" s="3">
        <v>5.5534246575342001</v>
      </c>
      <c r="K21" s="3">
        <v>5.1333729574081</v>
      </c>
      <c r="L21" s="2" t="s">
        <v>352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87.6</v>
      </c>
      <c r="H22" s="3">
        <v>3.0745679276228999</v>
      </c>
      <c r="I22" s="3">
        <v>2.9441715270878999</v>
      </c>
      <c r="J22" s="3">
        <v>6.5534246575342001</v>
      </c>
      <c r="K22" s="3">
        <v>6.1338036444888004</v>
      </c>
      <c r="L22" s="2" t="s">
        <v>352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104.37</v>
      </c>
      <c r="H23" s="3">
        <v>2.3937913297889</v>
      </c>
      <c r="I23" s="3">
        <v>1.9261785944298</v>
      </c>
      <c r="J23" s="3">
        <v>3.2191780821917999</v>
      </c>
      <c r="K23" s="3">
        <v>2.9637725164491999</v>
      </c>
      <c r="L23" s="2" t="s">
        <v>352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112.04</v>
      </c>
      <c r="H24" s="3">
        <v>3.4907458013660002</v>
      </c>
      <c r="I24" s="3">
        <v>2.8956300635454002</v>
      </c>
      <c r="J24" s="3">
        <v>9.2219178082191995</v>
      </c>
      <c r="K24" s="3">
        <v>7.2669712111885003</v>
      </c>
      <c r="L24" s="2" t="s">
        <v>352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102.83</v>
      </c>
      <c r="H25" s="3">
        <v>3.7298962647470999</v>
      </c>
      <c r="I25" s="3">
        <v>3.2302255475416999</v>
      </c>
      <c r="J25" s="3">
        <v>11.728767123288</v>
      </c>
      <c r="K25" s="3">
        <v>9.0755040980174009</v>
      </c>
      <c r="L25" s="2" t="s">
        <v>352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111.45</v>
      </c>
      <c r="H26" s="3">
        <v>3.9764840139216999</v>
      </c>
      <c r="I26" s="3">
        <v>3.3816407136383</v>
      </c>
      <c r="J26" s="3">
        <v>14.224657534246999</v>
      </c>
      <c r="K26" s="3">
        <v>10.052445846873001</v>
      </c>
      <c r="L26" s="2" t="s">
        <v>352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</v>
      </c>
      <c r="H27" s="3">
        <v>1.9822863719641</v>
      </c>
      <c r="I27" s="3">
        <v>1.8235617221411999</v>
      </c>
      <c r="J27" s="3">
        <v>1.5506849315069</v>
      </c>
      <c r="K27" s="3">
        <v>1.5021972853512999</v>
      </c>
      <c r="L27" s="2" t="s">
        <v>352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101.44</v>
      </c>
      <c r="H28" s="3">
        <v>2.3857699450265999</v>
      </c>
      <c r="I28" s="3">
        <v>2.0306769221156</v>
      </c>
      <c r="J28" s="3">
        <v>3.5534246575342001</v>
      </c>
      <c r="K28" s="3">
        <v>3.2885031801275</v>
      </c>
      <c r="L28" s="2" t="s">
        <v>352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98.947999999999993</v>
      </c>
      <c r="H29" s="3">
        <v>1.9453874723147999</v>
      </c>
      <c r="I29" s="3">
        <v>1.8752280575103</v>
      </c>
      <c r="J29" s="3">
        <v>0.72054794520548004</v>
      </c>
      <c r="K29" s="3">
        <v>0.70839896891274001</v>
      </c>
      <c r="L29" s="2" t="s">
        <v>352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97.69</v>
      </c>
      <c r="H30" s="3">
        <v>1.9310562700098</v>
      </c>
      <c r="I30" s="3">
        <v>1.9289382657645</v>
      </c>
      <c r="J30" s="3">
        <v>1.2164383561644001</v>
      </c>
      <c r="K30" s="3">
        <v>1.1987689060950999</v>
      </c>
      <c r="L30" s="2" t="s">
        <v>352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102.27</v>
      </c>
      <c r="H31" s="3">
        <v>3.5998918341813999</v>
      </c>
      <c r="I31" s="3">
        <v>3.1175039118030998</v>
      </c>
      <c r="J31" s="3">
        <v>9.7260273972602995</v>
      </c>
      <c r="K31" s="3">
        <v>7.8579420131799003</v>
      </c>
      <c r="L31" s="2" t="s">
        <v>352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110.99</v>
      </c>
      <c r="H32" s="3">
        <v>4.0660620573776001</v>
      </c>
      <c r="I32" s="3">
        <v>3.4685316305101002</v>
      </c>
      <c r="J32" s="3">
        <v>15.312328767123001</v>
      </c>
      <c r="K32" s="3">
        <v>10.60835336355</v>
      </c>
      <c r="L32" s="2" t="s">
        <v>352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101.91500000000001</v>
      </c>
      <c r="H33" s="3">
        <v>2.0424173751431001</v>
      </c>
      <c r="I33" s="3">
        <v>1.4952017897114001</v>
      </c>
      <c r="J33" s="3">
        <v>0.79726027397260002</v>
      </c>
      <c r="K33" s="3">
        <v>0.77355690367947005</v>
      </c>
      <c r="L33" s="2" t="s">
        <v>352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86.46</v>
      </c>
      <c r="H34" s="3">
        <v>4.2599398357296003</v>
      </c>
      <c r="I34" s="3">
        <v>3.8058797870836001</v>
      </c>
      <c r="J34" s="3">
        <v>21.315068493150999</v>
      </c>
      <c r="K34" s="3">
        <v>14.317755861695</v>
      </c>
      <c r="L34" s="2" t="s">
        <v>352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100.021</v>
      </c>
      <c r="H35" s="3">
        <v>1.9302462123085999</v>
      </c>
      <c r="I35" s="3">
        <v>1.6842600383594</v>
      </c>
      <c r="J35" s="3">
        <v>0.55068493150685005</v>
      </c>
      <c r="K35" s="3">
        <v>0.53551667621801002</v>
      </c>
      <c r="L35" s="2" t="s">
        <v>352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70.599999999999994</v>
      </c>
      <c r="H36" s="3">
        <v>4.3708578169981003</v>
      </c>
      <c r="I36" s="3">
        <v>3.9106586435542998</v>
      </c>
      <c r="J36" s="3">
        <v>41.824657534247002</v>
      </c>
      <c r="K36" s="3">
        <v>20.467152838676999</v>
      </c>
      <c r="L36" s="2" t="s">
        <v>352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93.67</v>
      </c>
      <c r="H37" s="3">
        <v>3.3533535295923</v>
      </c>
      <c r="I37" s="3">
        <v>3.0267199465679999</v>
      </c>
      <c r="J37" s="3">
        <v>8.3068493150685008</v>
      </c>
      <c r="K37" s="3">
        <v>7.2546229674082996</v>
      </c>
      <c r="L37" s="2" t="s">
        <v>352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90.43</v>
      </c>
      <c r="H38" s="3">
        <v>3.9118260019907001</v>
      </c>
      <c r="I38" s="3">
        <v>3.5131036713634001</v>
      </c>
      <c r="J38" s="3">
        <v>13.309589041096</v>
      </c>
      <c r="K38" s="3">
        <v>10.48512536332</v>
      </c>
      <c r="L38" s="2" t="s">
        <v>352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98.45</v>
      </c>
      <c r="H39" s="3">
        <v>3.5677393969979998</v>
      </c>
      <c r="I39" s="3">
        <v>3.1365273364333999</v>
      </c>
      <c r="J39" s="3">
        <v>9.8027397260274007</v>
      </c>
      <c r="K39" s="3">
        <v>8.0801371186403994</v>
      </c>
      <c r="L39" s="2" t="s">
        <v>352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93.49</v>
      </c>
      <c r="H40" s="3">
        <v>4.3257754456580999</v>
      </c>
      <c r="I40" s="3">
        <v>3.8124493470832999</v>
      </c>
      <c r="J40" s="3">
        <v>24.317808219178001</v>
      </c>
      <c r="K40" s="3">
        <v>14.918230733483</v>
      </c>
      <c r="L40" s="2" t="s">
        <v>352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93.9</v>
      </c>
      <c r="H41" s="3">
        <v>2.7081217989894002</v>
      </c>
      <c r="I41" s="3">
        <v>2.5311326470965998</v>
      </c>
      <c r="J41" s="3">
        <v>4.8849315068493002</v>
      </c>
      <c r="K41" s="3">
        <v>4.6059465350666002</v>
      </c>
      <c r="L41" s="2" t="s">
        <v>352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71.819999999999993</v>
      </c>
      <c r="H42" s="3">
        <v>4.3278407720223999</v>
      </c>
      <c r="I42" s="3">
        <v>3.9410362760305002</v>
      </c>
      <c r="J42" s="3">
        <v>25.317808219178001</v>
      </c>
      <c r="K42" s="3">
        <v>16.811041829926001</v>
      </c>
      <c r="L42" s="2" t="s">
        <v>352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60.3</v>
      </c>
      <c r="H43" s="3">
        <v>4.2519441717489004</v>
      </c>
      <c r="I43" s="3">
        <v>3.9525145861604001</v>
      </c>
      <c r="J43" s="3">
        <v>26.317808219178001</v>
      </c>
      <c r="K43" s="3">
        <v>18.614579295994002</v>
      </c>
      <c r="L43" s="2" t="s">
        <v>352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103.26</v>
      </c>
      <c r="H44" s="3">
        <v>4.2332651538433996</v>
      </c>
      <c r="I44" s="3">
        <v>3.6766599484136</v>
      </c>
      <c r="J44" s="3">
        <v>18.312328767122999</v>
      </c>
      <c r="K44" s="3">
        <v>12.191854565331999</v>
      </c>
      <c r="L44" s="2" t="s">
        <v>352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105.8</v>
      </c>
      <c r="H45" s="3">
        <v>3.4577850623350002</v>
      </c>
      <c r="I45" s="3">
        <v>2.9420939555718002</v>
      </c>
      <c r="J45" s="3">
        <v>8.8027397260274007</v>
      </c>
      <c r="K45" s="3">
        <v>7.1890872304993998</v>
      </c>
      <c r="L45" s="2" t="s">
        <v>352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89.07</v>
      </c>
      <c r="H46" s="3">
        <v>2.9568921258095</v>
      </c>
      <c r="I46" s="3">
        <v>2.8352692251318001</v>
      </c>
      <c r="J46" s="3">
        <v>5.8849315068493002</v>
      </c>
      <c r="K46" s="3">
        <v>5.5634784018571004</v>
      </c>
      <c r="L46" s="2" t="s">
        <v>352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86.27</v>
      </c>
      <c r="H47" s="3">
        <v>3.1581214864686</v>
      </c>
      <c r="I47" s="3">
        <v>3.0177419693941001</v>
      </c>
      <c r="J47" s="3">
        <v>7.0547945205479001</v>
      </c>
      <c r="K47" s="3">
        <v>6.5780771543033003</v>
      </c>
      <c r="L47" s="2" t="s">
        <v>352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107.66</v>
      </c>
      <c r="H48" s="3">
        <v>3.3217840120711002</v>
      </c>
      <c r="I48" s="3">
        <v>2.7875416529797001</v>
      </c>
      <c r="J48" s="3">
        <v>7.9698630136985997</v>
      </c>
      <c r="K48" s="3">
        <v>6.6329631843829997</v>
      </c>
      <c r="L48" s="2" t="s">
        <v>352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107.57</v>
      </c>
      <c r="H49" s="3">
        <v>1.9796496964345001</v>
      </c>
      <c r="I49" s="3">
        <v>1.1137120015144</v>
      </c>
      <c r="J49" s="3">
        <v>1.4684931506848999</v>
      </c>
      <c r="K49" s="3">
        <v>1.3939734787347</v>
      </c>
      <c r="L49" s="2" t="s">
        <v>352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110.31</v>
      </c>
      <c r="H50" s="3">
        <v>2.1881217996325</v>
      </c>
      <c r="I50" s="3">
        <v>1.4183797261016999</v>
      </c>
      <c r="J50" s="3">
        <v>2.4684931506849002</v>
      </c>
      <c r="K50" s="3">
        <v>2.2751524126743998</v>
      </c>
      <c r="L50" s="2" t="s">
        <v>352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111.3</v>
      </c>
      <c r="H51" s="3">
        <v>2.5676693106463002</v>
      </c>
      <c r="I51" s="3">
        <v>1.9449842147209</v>
      </c>
      <c r="J51" s="3">
        <v>4.4712328767122997</v>
      </c>
      <c r="K51" s="3">
        <v>3.9627211608706001</v>
      </c>
      <c r="L51" s="2" t="s">
        <v>352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116.86</v>
      </c>
      <c r="H52" s="3">
        <v>2.9190003748704001</v>
      </c>
      <c r="I52" s="3">
        <v>2.2265601367909</v>
      </c>
      <c r="J52" s="3">
        <v>5.9671232876711997</v>
      </c>
      <c r="K52" s="3">
        <v>5.0275982792590002</v>
      </c>
      <c r="L52" s="2" t="s">
        <v>352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99.968999999999994</v>
      </c>
      <c r="H53" s="3">
        <v>1.9801160263652999</v>
      </c>
      <c r="I53" s="3">
        <v>1.8069275132586</v>
      </c>
      <c r="J53" s="3">
        <v>4.9315068493151003E-2</v>
      </c>
      <c r="K53" s="3">
        <v>5.1045279881213997E-2</v>
      </c>
      <c r="L53" s="2" t="s">
        <v>352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91.09</v>
      </c>
      <c r="H54" s="3">
        <v>2.8158085784222</v>
      </c>
      <c r="I54" s="3">
        <v>2.6839232706757001</v>
      </c>
      <c r="J54" s="3">
        <v>5.2191780821918003</v>
      </c>
      <c r="K54" s="3">
        <v>4.9436557655688</v>
      </c>
      <c r="L54" s="2" t="s">
        <v>352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107.07</v>
      </c>
      <c r="H55" s="3">
        <v>3.1841659225951999</v>
      </c>
      <c r="I55" s="3">
        <v>2.6773504078633001</v>
      </c>
      <c r="J55" s="3">
        <v>8.4739726027396998</v>
      </c>
      <c r="K55" s="3">
        <v>6.9996164610216001</v>
      </c>
      <c r="L55" s="2" t="s">
        <v>352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99.45</v>
      </c>
      <c r="H56" s="3">
        <v>3.6953133079108</v>
      </c>
      <c r="I56" s="3">
        <v>3.2364126662729</v>
      </c>
      <c r="J56" s="3">
        <v>10.389041095890001</v>
      </c>
      <c r="K56" s="3">
        <v>8.4321809494378002</v>
      </c>
      <c r="L56" s="2" t="s">
        <v>352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101.38</v>
      </c>
      <c r="H57" s="3">
        <v>2.6791559755134999</v>
      </c>
      <c r="I57" s="3">
        <v>2.2969281691288002</v>
      </c>
      <c r="J57" s="3">
        <v>4.3863013698630002</v>
      </c>
      <c r="K57" s="3">
        <v>4.0235907106555997</v>
      </c>
      <c r="L57" s="2" t="s">
        <v>352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105.62</v>
      </c>
      <c r="H58" s="3">
        <v>2.5189384828264001</v>
      </c>
      <c r="I58" s="3">
        <v>1.9916201357932</v>
      </c>
      <c r="J58" s="3">
        <v>3.7232876712328999</v>
      </c>
      <c r="K58" s="3">
        <v>3.3770066697256</v>
      </c>
      <c r="L58" s="2" t="s">
        <v>352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100.57</v>
      </c>
      <c r="H59" s="3">
        <v>2.8486040674417001</v>
      </c>
      <c r="I59" s="3">
        <v>2.4764031268473001</v>
      </c>
      <c r="J59" s="3">
        <v>5.1342465753425</v>
      </c>
      <c r="K59" s="3">
        <v>4.6437171110720001</v>
      </c>
      <c r="L59" s="2" t="s">
        <v>352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95.2</v>
      </c>
      <c r="H60" s="3">
        <v>3.2441659119602</v>
      </c>
      <c r="I60" s="3">
        <v>2.8947943570154</v>
      </c>
      <c r="J60" s="3">
        <v>7.5561643835616001</v>
      </c>
      <c r="K60" s="3">
        <v>6.6181805490057997</v>
      </c>
      <c r="L60" s="2" t="s">
        <v>352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99.9</v>
      </c>
      <c r="H61" s="3">
        <v>2.1057640782122999</v>
      </c>
      <c r="I61" s="3">
        <v>1.8374412806789999</v>
      </c>
      <c r="J61" s="3">
        <v>2.2164383561643999</v>
      </c>
      <c r="K61" s="3">
        <v>2.1242510327536999</v>
      </c>
      <c r="L61" s="2" t="s">
        <v>352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101.06</v>
      </c>
      <c r="H62" s="3">
        <v>2.2309786047900002</v>
      </c>
      <c r="I62" s="3">
        <v>1.8905469089453</v>
      </c>
      <c r="J62" s="3">
        <v>2.5506849315068001</v>
      </c>
      <c r="K62" s="3">
        <v>2.4014258708227998</v>
      </c>
      <c r="L62" s="2" t="s">
        <v>352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78.59</v>
      </c>
      <c r="H63" s="3">
        <v>4.2518253311445999</v>
      </c>
      <c r="I63" s="3">
        <v>3.8509466404111001</v>
      </c>
      <c r="J63" s="3">
        <v>21.810958904109999</v>
      </c>
      <c r="K63" s="3">
        <v>15.083107435556</v>
      </c>
      <c r="L63" s="2" t="s">
        <v>352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73.489999999999995</v>
      </c>
      <c r="H64" s="3">
        <v>3.7832565087736998</v>
      </c>
      <c r="I64" s="3">
        <v>3.6363357843333</v>
      </c>
      <c r="J64" s="3">
        <v>11.805479452055</v>
      </c>
      <c r="K64" s="3">
        <v>10.633692691237</v>
      </c>
      <c r="L64" s="2" t="s">
        <v>352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65.92</v>
      </c>
      <c r="H65" s="3">
        <v>4.3197846820915</v>
      </c>
      <c r="I65" s="3">
        <v>3.9622107823121002</v>
      </c>
      <c r="J65" s="3">
        <v>27.320547945205998</v>
      </c>
      <c r="K65" s="3">
        <v>18.071038518034001</v>
      </c>
      <c r="L65" s="2" t="s">
        <v>352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101.45</v>
      </c>
      <c r="H66" s="3">
        <v>2.1124590463052</v>
      </c>
      <c r="I66" s="3">
        <v>1.7373513022109</v>
      </c>
      <c r="J66" s="3">
        <v>1.7589041095889999</v>
      </c>
      <c r="K66" s="3">
        <v>1.6806202629714999</v>
      </c>
      <c r="L66" s="2" t="s">
        <v>352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100.15</v>
      </c>
      <c r="H67" s="3">
        <v>3.6631548905961999</v>
      </c>
      <c r="I67" s="3">
        <v>3.1956118225546</v>
      </c>
      <c r="J67" s="3">
        <v>10.221917808219001</v>
      </c>
      <c r="K67" s="3">
        <v>8.2374303611727999</v>
      </c>
      <c r="L67" s="2" t="s">
        <v>352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100.11</v>
      </c>
      <c r="H68" s="3">
        <v>2.0159272342579002</v>
      </c>
      <c r="I68" s="3">
        <v>1.7511111971480999</v>
      </c>
      <c r="J68" s="3">
        <v>1.1698630136985999</v>
      </c>
      <c r="K68" s="3">
        <v>1.1315734502345001</v>
      </c>
      <c r="L68" s="2" t="s">
        <v>352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102.32</v>
      </c>
      <c r="H69" s="3">
        <v>3.0565039459411998</v>
      </c>
      <c r="I69" s="3">
        <v>2.6251614594964998</v>
      </c>
      <c r="J69" s="3">
        <v>6.1726027397259999</v>
      </c>
      <c r="K69" s="3">
        <v>5.3952647816933998</v>
      </c>
      <c r="L69" s="2" t="s">
        <v>352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73.790000000000006</v>
      </c>
      <c r="H70" s="3">
        <v>4.1029273942042996</v>
      </c>
      <c r="I70" s="3">
        <v>3.8285585525501</v>
      </c>
      <c r="J70" s="3">
        <v>15.808219178082</v>
      </c>
      <c r="K70" s="3">
        <v>12.822802837216001</v>
      </c>
      <c r="L70" s="2" t="s">
        <v>352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105.63</v>
      </c>
      <c r="H71" s="3">
        <v>2.9031405037775002</v>
      </c>
      <c r="I71" s="3">
        <v>2.4129328463103001</v>
      </c>
      <c r="J71" s="3">
        <v>5.5095890410959001</v>
      </c>
      <c r="K71" s="3">
        <v>4.7851690389183998</v>
      </c>
      <c r="L71" s="2" t="s">
        <v>352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98.13</v>
      </c>
      <c r="H72" s="3">
        <v>1.9996029451124</v>
      </c>
      <c r="I72" s="3">
        <v>1.8850682502425999</v>
      </c>
      <c r="J72" s="3">
        <v>1.6739726027396999</v>
      </c>
      <c r="K72" s="3">
        <v>1.6285454864227999</v>
      </c>
      <c r="L72" s="2" t="s">
        <v>352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92.88</v>
      </c>
      <c r="H73" s="3">
        <v>2.4568242884045999</v>
      </c>
      <c r="I73" s="3">
        <v>2.3810625184347001</v>
      </c>
      <c r="J73" s="3">
        <v>3.7616438356163999</v>
      </c>
      <c r="K73" s="3">
        <v>3.6393183563311999</v>
      </c>
      <c r="L73" s="2" t="s">
        <v>352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105.12</v>
      </c>
      <c r="H74" s="3">
        <v>2.6692048101140999</v>
      </c>
      <c r="I74" s="3">
        <v>2.1970332799353001</v>
      </c>
      <c r="J74" s="3">
        <v>4.5917808219177996</v>
      </c>
      <c r="K74" s="3">
        <v>4.0956044084243999</v>
      </c>
      <c r="L74" s="2" t="s">
        <v>352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101.14</v>
      </c>
      <c r="H75" s="3">
        <v>2.2245054458161002</v>
      </c>
      <c r="I75" s="3">
        <v>1.8845141360872999</v>
      </c>
      <c r="J75" s="3">
        <v>2.4219178082192001</v>
      </c>
      <c r="K75" s="3">
        <v>2.3053343487321998</v>
      </c>
      <c r="L75" s="2" t="s">
        <v>352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102.85</v>
      </c>
      <c r="H76" s="3">
        <v>2.9741355312204001</v>
      </c>
      <c r="I76" s="3">
        <v>2.5367016788123999</v>
      </c>
      <c r="J76" s="3">
        <v>5.7616438356164004</v>
      </c>
      <c r="K76" s="3">
        <v>5.0876568475271</v>
      </c>
      <c r="L76" s="2" t="s">
        <v>352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101.563</v>
      </c>
      <c r="H77" s="3">
        <v>2.0570147892685999</v>
      </c>
      <c r="I77" s="3">
        <v>1.5908482840839999</v>
      </c>
      <c r="J77" s="3">
        <v>0.92054794520548</v>
      </c>
      <c r="K77" s="3">
        <v>0.89320180939968996</v>
      </c>
      <c r="L77" s="2" t="s">
        <v>352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101.02</v>
      </c>
      <c r="H78" s="3">
        <v>2.5498882015827999</v>
      </c>
      <c r="I78" s="3">
        <v>2.1981366625773</v>
      </c>
      <c r="J78" s="3">
        <v>4.0904109589040996</v>
      </c>
      <c r="K78" s="3">
        <v>3.7555055373666</v>
      </c>
      <c r="L78" s="2" t="s">
        <v>352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97.32</v>
      </c>
      <c r="H79" s="3">
        <v>2.1402365805688999</v>
      </c>
      <c r="I79" s="3">
        <v>2.0184386103561001</v>
      </c>
      <c r="J79" s="3">
        <v>2.3397260273973002</v>
      </c>
      <c r="K79" s="3">
        <v>2.2672383863554999</v>
      </c>
      <c r="L79" s="2" t="s">
        <v>352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100.8</v>
      </c>
      <c r="H80" s="3">
        <v>2.3920618487750001</v>
      </c>
      <c r="I80" s="3">
        <v>2.0473316423443002</v>
      </c>
      <c r="J80" s="3">
        <v>3.0904109589041</v>
      </c>
      <c r="K80" s="3">
        <v>2.9060817457849</v>
      </c>
      <c r="L80" s="2" t="s">
        <v>352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104.23</v>
      </c>
      <c r="H81" s="3">
        <v>2.8170309084178999</v>
      </c>
      <c r="I81" s="3">
        <v>2.3334838870376999</v>
      </c>
      <c r="J81" s="3">
        <v>5.0904109589040996</v>
      </c>
      <c r="K81" s="3">
        <v>4.5074305795351002</v>
      </c>
      <c r="L81" s="2" t="s">
        <v>352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94.51</v>
      </c>
      <c r="H82" s="3">
        <v>2.3133344180590001</v>
      </c>
      <c r="I82" s="3">
        <v>2.2271370190207</v>
      </c>
      <c r="J82" s="3">
        <v>3.1726027397259999</v>
      </c>
      <c r="K82" s="3">
        <v>3.0796578605114999</v>
      </c>
      <c r="L82" s="2" t="s">
        <v>352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102.71</v>
      </c>
      <c r="H83" s="3">
        <v>2.1776451322481001</v>
      </c>
      <c r="I83" s="3">
        <v>1.7494402575412999</v>
      </c>
      <c r="J83" s="3">
        <v>2.1698630136985999</v>
      </c>
      <c r="K83" s="3">
        <v>2.0436241885483</v>
      </c>
      <c r="L83" s="2" t="s">
        <v>352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102.31</v>
      </c>
      <c r="H84" s="3">
        <v>2.0937570454682</v>
      </c>
      <c r="I84" s="3">
        <v>1.6172466274321999</v>
      </c>
      <c r="J84" s="3">
        <v>1.3397260273973</v>
      </c>
      <c r="K84" s="3">
        <v>1.2850365781362001</v>
      </c>
      <c r="L84" s="2" t="s">
        <v>352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100.238</v>
      </c>
      <c r="H85" s="3">
        <v>1.9568849928950001</v>
      </c>
      <c r="I85" s="3">
        <v>1.6519546277332</v>
      </c>
      <c r="J85" s="3">
        <v>0.50684931506848996</v>
      </c>
      <c r="K85" s="3">
        <v>0.49643112507859</v>
      </c>
      <c r="L85" s="2" t="s">
        <v>352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97.9</v>
      </c>
      <c r="H86" s="3">
        <v>4.4738593182079001</v>
      </c>
      <c r="I86" s="3">
        <v>3.9170646789064998</v>
      </c>
      <c r="J86" s="3">
        <v>29.402739726027001</v>
      </c>
      <c r="K86" s="3">
        <v>16.023700656016</v>
      </c>
      <c r="L86" s="2" t="s">
        <v>352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100.925</v>
      </c>
      <c r="H87" s="3">
        <v>2.0687021520034001</v>
      </c>
      <c r="I87" s="3">
        <v>1.6382740095109001</v>
      </c>
      <c r="J87" s="3">
        <v>0.67397260273973003</v>
      </c>
      <c r="K87" s="3">
        <v>0.65202897625059997</v>
      </c>
      <c r="L87" s="2" t="s">
        <v>352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94.51</v>
      </c>
      <c r="H88" s="3">
        <v>2.2702985258105999</v>
      </c>
      <c r="I88" s="3">
        <v>2.2315557490449001</v>
      </c>
      <c r="J88" s="3">
        <v>2.8383561643836002</v>
      </c>
      <c r="K88" s="3">
        <v>2.7658695147735002</v>
      </c>
      <c r="L88" s="2" t="s">
        <v>352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80.39</v>
      </c>
      <c r="H89" s="3">
        <v>3.6945825543683002</v>
      </c>
      <c r="I89" s="3">
        <v>3.4835777684966001</v>
      </c>
      <c r="J89" s="3">
        <v>10.805479452055</v>
      </c>
      <c r="K89" s="3">
        <v>9.5437725728331007</v>
      </c>
      <c r="L89" s="2" t="s">
        <v>352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97.31</v>
      </c>
      <c r="H90" s="3">
        <v>4.1253675577218996</v>
      </c>
      <c r="I90" s="3">
        <v>3.6232887374143998</v>
      </c>
      <c r="J90" s="3">
        <v>15.394520547945</v>
      </c>
      <c r="K90" s="3">
        <v>11.185175926332001</v>
      </c>
      <c r="L90" s="2" t="s">
        <v>352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99.772000000000006</v>
      </c>
      <c r="H91" s="3">
        <v>2.0746395374617999</v>
      </c>
      <c r="I91" s="3">
        <v>1.9133667742316001</v>
      </c>
      <c r="J91" s="3">
        <v>0.25479452054794</v>
      </c>
      <c r="K91" s="3">
        <v>0.24964414703921001</v>
      </c>
      <c r="L91" s="2" t="s">
        <v>352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9.8547945205478999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107.54</v>
      </c>
      <c r="H93" s="3">
        <v>2.3700225363499001</v>
      </c>
      <c r="I93" s="3">
        <v>1.7967654752733999</v>
      </c>
      <c r="J93" s="3">
        <v>3.3041095890410999</v>
      </c>
      <c r="K93" s="3">
        <v>3.0084582419489001</v>
      </c>
      <c r="L93" s="2" t="s">
        <v>352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101.5</v>
      </c>
      <c r="H94" s="3">
        <v>4.4517302098230003</v>
      </c>
      <c r="I94" s="3">
        <v>3.8832034572829999</v>
      </c>
      <c r="J94" s="3">
        <v>28.402739726027001</v>
      </c>
      <c r="K94" s="3">
        <v>15.623714026274</v>
      </c>
      <c r="L94" s="2" t="s">
        <v>352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100.13</v>
      </c>
      <c r="H95" s="3">
        <v>3.2539244198906001</v>
      </c>
      <c r="I95" s="3">
        <v>2.8420270773307998</v>
      </c>
      <c r="J95" s="3">
        <v>7.1753424657534</v>
      </c>
      <c r="K95" s="3">
        <v>6.2440215734361999</v>
      </c>
      <c r="L95" s="2" t="s">
        <v>352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100.85</v>
      </c>
      <c r="H96" s="3">
        <v>1.9512975671487001</v>
      </c>
      <c r="I96" s="3">
        <v>1.5396296641198</v>
      </c>
      <c r="J96" s="3">
        <v>0.70958904109589005</v>
      </c>
      <c r="K96" s="3">
        <v>0.68842292845334996</v>
      </c>
      <c r="L96" s="2" t="s">
        <v>352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100.536</v>
      </c>
      <c r="H97" s="3">
        <v>2.1027451930900001</v>
      </c>
      <c r="I97" s="3">
        <v>1.6612388856772999</v>
      </c>
      <c r="J97" s="3">
        <v>0.37808219178081998</v>
      </c>
      <c r="K97" s="3">
        <v>0.37035526540948999</v>
      </c>
      <c r="L97" s="2" t="s">
        <v>352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99.965999999999994</v>
      </c>
      <c r="H98" s="3">
        <v>2.0813109750340999</v>
      </c>
      <c r="I98" s="3">
        <v>1.8472503938781999</v>
      </c>
      <c r="J98" s="3">
        <v>0.13150684931507001</v>
      </c>
      <c r="K98" s="3">
        <v>0.12883360986966</v>
      </c>
      <c r="L98" s="2" t="s">
        <v>352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101.29</v>
      </c>
      <c r="H99" s="3">
        <v>2.0965792323399</v>
      </c>
      <c r="I99" s="3">
        <v>1.7086619052708001</v>
      </c>
      <c r="J99" s="3">
        <v>1.2904109589041</v>
      </c>
      <c r="K99" s="3">
        <v>1.2419237098761999</v>
      </c>
      <c r="L99" s="2" t="s">
        <v>352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100.27</v>
      </c>
      <c r="H100" s="3">
        <v>3.1220093307093002</v>
      </c>
      <c r="I100" s="3">
        <v>2.7239032795071001</v>
      </c>
      <c r="J100" s="3">
        <v>6.5095890410959001</v>
      </c>
      <c r="K100" s="3">
        <v>5.6740982361601997</v>
      </c>
      <c r="L100" s="2" t="s">
        <v>352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100.73</v>
      </c>
      <c r="H101" s="3">
        <v>2.1392556099113</v>
      </c>
      <c r="I101" s="3">
        <v>1.8140608416163</v>
      </c>
      <c r="J101" s="3">
        <v>1.7863013698629999</v>
      </c>
      <c r="K101" s="3">
        <v>1.7122912951997999</v>
      </c>
      <c r="L101" s="2" t="s">
        <v>352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103.09</v>
      </c>
      <c r="H102" s="3">
        <v>2.2925084592054001</v>
      </c>
      <c r="I102" s="3">
        <v>1.8587697702417001</v>
      </c>
      <c r="J102" s="3">
        <v>2.8849315068493002</v>
      </c>
      <c r="K102" s="3">
        <v>2.7074375325819</v>
      </c>
      <c r="L102" s="2" t="s">
        <v>352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103.55</v>
      </c>
      <c r="H103" s="3">
        <v>2.9425932567305999</v>
      </c>
      <c r="I103" s="3">
        <v>2.4809402583639999</v>
      </c>
      <c r="J103" s="3">
        <v>4.8109589041095999</v>
      </c>
      <c r="K103" s="3">
        <v>4.3031132035319999</v>
      </c>
      <c r="L103" s="2" t="s">
        <v>352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103.55</v>
      </c>
      <c r="H104" s="3">
        <v>3.0780674788956</v>
      </c>
      <c r="I104" s="3">
        <v>2.6042678652265998</v>
      </c>
      <c r="J104" s="3">
        <v>4.8109589041095999</v>
      </c>
      <c r="K104" s="3">
        <v>4.2982448779059004</v>
      </c>
      <c r="L104" s="2" t="s">
        <v>352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105.45</v>
      </c>
      <c r="H105" s="3">
        <v>2.6745824088978001</v>
      </c>
      <c r="I105" s="3">
        <v>2.1411290741126998</v>
      </c>
      <c r="J105" s="3">
        <v>3.4109589041096</v>
      </c>
      <c r="K105" s="3">
        <v>3.1077694301326999</v>
      </c>
      <c r="L105" s="2" t="s">
        <v>352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105.45</v>
      </c>
      <c r="H106" s="3">
        <v>2.8132802841804998</v>
      </c>
      <c r="I106" s="3">
        <v>2.2690837705401998</v>
      </c>
      <c r="J106" s="3">
        <v>3.4109589041096</v>
      </c>
      <c r="K106" s="3">
        <v>3.1039153055998998</v>
      </c>
      <c r="L106" s="2" t="s">
        <v>352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103.31</v>
      </c>
      <c r="H107" s="3">
        <v>2.3418146156440001</v>
      </c>
      <c r="I107" s="3">
        <v>1.8516265683283999</v>
      </c>
      <c r="J107" s="3">
        <v>2.0821917808218999</v>
      </c>
      <c r="K107" s="3">
        <v>1.9522168409666001</v>
      </c>
      <c r="L107" s="2" t="s">
        <v>352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103.31</v>
      </c>
      <c r="H108" s="3">
        <v>2.5746893837816001</v>
      </c>
      <c r="I108" s="3">
        <v>2.0703306125864001</v>
      </c>
      <c r="J108" s="3">
        <v>2.0821917808218999</v>
      </c>
      <c r="K108" s="3">
        <v>1.9479041168625999</v>
      </c>
      <c r="L108" s="2" t="s">
        <v>352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103.33</v>
      </c>
      <c r="H109" s="3">
        <v>2.9821774454593002</v>
      </c>
      <c r="I109" s="3">
        <v>2.5240087209078998</v>
      </c>
      <c r="J109" s="3">
        <v>5.0027397260274</v>
      </c>
      <c r="K109" s="3">
        <v>4.4835995733849003</v>
      </c>
      <c r="L109" s="2" t="s">
        <v>352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103.33</v>
      </c>
      <c r="H110" s="3">
        <v>3.1308019142658998</v>
      </c>
      <c r="I110" s="3">
        <v>2.6587014208186002</v>
      </c>
      <c r="J110" s="3">
        <v>5.0027397260274</v>
      </c>
      <c r="K110" s="3">
        <v>4.4780992365163996</v>
      </c>
      <c r="L110" s="2" t="s">
        <v>352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100.94</v>
      </c>
      <c r="H111" s="3">
        <v>4.8062281472965998</v>
      </c>
      <c r="I111" s="3">
        <v>4.4766621043821999</v>
      </c>
      <c r="J111" s="3">
        <v>31.024657534247002</v>
      </c>
      <c r="K111" s="3">
        <v>5.7038736432704997</v>
      </c>
      <c r="L111" s="2" t="s">
        <v>352</v>
      </c>
      <c r="M111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01E1-1BFF-1F4A-AE78-EC54BEF6D2D7}">
  <dimension ref="A1:M111"/>
  <sheetViews>
    <sheetView workbookViewId="0">
      <selection activeCell="P10" sqref="P10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116.59</v>
      </c>
      <c r="H2" s="3">
        <v>3.3201295361530998</v>
      </c>
      <c r="I2" s="3">
        <v>2.6546529251665998</v>
      </c>
      <c r="J2" s="3">
        <v>7.7232876712329004</v>
      </c>
      <c r="K2" s="3">
        <v>6.1721581617073999</v>
      </c>
      <c r="L2" s="2" t="s">
        <v>353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100.2</v>
      </c>
      <c r="H3" s="3">
        <v>2.1105052840549998</v>
      </c>
      <c r="I3" s="3">
        <v>1.8187392740149</v>
      </c>
      <c r="J3" s="3">
        <v>2.0465753424657001</v>
      </c>
      <c r="K3" s="3">
        <v>1.9517098130576001</v>
      </c>
      <c r="L3" s="2" t="s">
        <v>353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99.41</v>
      </c>
      <c r="H4" s="3">
        <v>2.2349740304555001</v>
      </c>
      <c r="I4" s="3">
        <v>1.977043937458</v>
      </c>
      <c r="J4" s="3">
        <v>2.7178082191780999</v>
      </c>
      <c r="K4" s="3">
        <v>2.5864176804621999</v>
      </c>
      <c r="L4" s="2" t="s">
        <v>353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101.79</v>
      </c>
      <c r="H5" s="3">
        <v>2.5643771671323998</v>
      </c>
      <c r="I5" s="3">
        <v>2.1890897056423002</v>
      </c>
      <c r="J5" s="3">
        <v>4.2164383561644003</v>
      </c>
      <c r="K5" s="3">
        <v>3.8634499062433001</v>
      </c>
      <c r="L5" s="2" t="s">
        <v>353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101.22</v>
      </c>
      <c r="H6" s="3">
        <v>4.0736702315970996</v>
      </c>
      <c r="I6" s="3">
        <v>3.5477844344015002</v>
      </c>
      <c r="J6" s="3">
        <v>14.389041095890001</v>
      </c>
      <c r="K6" s="3">
        <v>10.524453034619</v>
      </c>
      <c r="L6" s="2" t="s">
        <v>353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86.4</v>
      </c>
      <c r="H7" s="3">
        <v>3.0380926240737001</v>
      </c>
      <c r="I7" s="3">
        <v>2.9552893767905002</v>
      </c>
      <c r="J7" s="3">
        <v>6.2164383561644003</v>
      </c>
      <c r="K7" s="3">
        <v>5.9097467661341003</v>
      </c>
      <c r="L7" s="2" t="s">
        <v>353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107.16</v>
      </c>
      <c r="H8" s="3">
        <v>4.2447490635385998</v>
      </c>
      <c r="I8" s="3">
        <v>3.6635651050312998</v>
      </c>
      <c r="J8" s="3">
        <v>19.312328767122999</v>
      </c>
      <c r="K8" s="3">
        <v>12.451842654589001</v>
      </c>
      <c r="L8" s="2" t="s">
        <v>353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103.78</v>
      </c>
      <c r="H9" s="3">
        <v>2.6716297005187002</v>
      </c>
      <c r="I9" s="3">
        <v>2.2355918423436001</v>
      </c>
      <c r="J9" s="3">
        <v>4.7972602739725998</v>
      </c>
      <c r="K9" s="3">
        <v>4.3209428676366004</v>
      </c>
      <c r="L9" s="2" t="s">
        <v>353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91.1</v>
      </c>
      <c r="H10" s="3">
        <v>3.1351896897740001</v>
      </c>
      <c r="I10" s="3">
        <v>2.9124297988168002</v>
      </c>
      <c r="J10" s="3">
        <v>6.8</v>
      </c>
      <c r="K10" s="3">
        <v>6.2220211948213002</v>
      </c>
      <c r="L10" s="2" t="s">
        <v>353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99.9</v>
      </c>
      <c r="H11" s="3">
        <v>1.7038746344369999</v>
      </c>
      <c r="I11" s="3">
        <v>1.5021704317004001</v>
      </c>
      <c r="J11" s="3">
        <v>1.0465753424658</v>
      </c>
      <c r="K11" s="3">
        <v>1.0173906532934001</v>
      </c>
      <c r="L11" s="2" t="s">
        <v>353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86.62</v>
      </c>
      <c r="H12" s="3">
        <v>3.7413606188131001</v>
      </c>
      <c r="I12" s="3">
        <v>3.4288489602204</v>
      </c>
      <c r="J12" s="3">
        <v>11.306849315069</v>
      </c>
      <c r="K12" s="3">
        <v>9.5212193992104002</v>
      </c>
      <c r="L12" s="2" t="s">
        <v>353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87.93</v>
      </c>
      <c r="H13" s="3">
        <v>4.3268280692495003</v>
      </c>
      <c r="I13" s="3">
        <v>3.8478421957803</v>
      </c>
      <c r="J13" s="3">
        <v>22.810958904109999</v>
      </c>
      <c r="K13" s="3">
        <v>14.701794306435</v>
      </c>
      <c r="L13" s="2" t="s">
        <v>353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89.82</v>
      </c>
      <c r="H14" s="3">
        <v>4.0566992343591002</v>
      </c>
      <c r="I14" s="3">
        <v>3.6348166151496</v>
      </c>
      <c r="J14" s="3">
        <v>14.805479452055</v>
      </c>
      <c r="K14" s="3">
        <v>11.259696245995</v>
      </c>
      <c r="L14" s="2" t="s">
        <v>353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98.284999999999997</v>
      </c>
      <c r="H15" s="3">
        <v>1.9569257628136001</v>
      </c>
      <c r="I15" s="3">
        <v>1.9442642534732</v>
      </c>
      <c r="J15" s="3">
        <v>0.87945205479452004</v>
      </c>
      <c r="K15" s="3">
        <v>0.86279194457524999</v>
      </c>
      <c r="L15" s="2" t="s">
        <v>353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58.77</v>
      </c>
      <c r="H16" s="3">
        <v>4.1962320252616996</v>
      </c>
      <c r="I16" s="3">
        <v>3.7924167169252998</v>
      </c>
      <c r="J16" s="3">
        <v>46.827397260273997</v>
      </c>
      <c r="K16" s="3">
        <v>22.950078111599002</v>
      </c>
      <c r="L16" s="2" t="s">
        <v>353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93.5</v>
      </c>
      <c r="H17" s="3">
        <v>3.9353282302558998</v>
      </c>
      <c r="I17" s="3">
        <v>3.5032935552277999</v>
      </c>
      <c r="J17" s="3">
        <v>12.802739726026999</v>
      </c>
      <c r="K17" s="3">
        <v>10.016997143799999</v>
      </c>
      <c r="L17" s="2" t="s">
        <v>353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98.23</v>
      </c>
      <c r="H18" s="3">
        <v>2.0755684891788002</v>
      </c>
      <c r="I18" s="3">
        <v>1.9351393122745</v>
      </c>
      <c r="J18" s="3">
        <v>1.8794520547944999</v>
      </c>
      <c r="K18" s="3">
        <v>1.8250557564167</v>
      </c>
      <c r="L18" s="2" t="s">
        <v>353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102.81</v>
      </c>
      <c r="H19" s="3">
        <v>2.6411751593614001</v>
      </c>
      <c r="I19" s="3">
        <v>2.2208631187786998</v>
      </c>
      <c r="J19" s="3">
        <v>4.1315068493150999</v>
      </c>
      <c r="K19" s="3">
        <v>3.7549044682992001</v>
      </c>
      <c r="L19" s="2" t="s">
        <v>353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102.67</v>
      </c>
      <c r="H20" s="3">
        <v>3.5319787572646</v>
      </c>
      <c r="I20" s="3">
        <v>3.0489336954374</v>
      </c>
      <c r="J20" s="3">
        <v>9.1342465753425</v>
      </c>
      <c r="K20" s="3">
        <v>7.4452024263681</v>
      </c>
      <c r="L20" s="2" t="s">
        <v>353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93.71</v>
      </c>
      <c r="H21" s="3">
        <v>2.9024592602821002</v>
      </c>
      <c r="I21" s="3">
        <v>2.6810386562787998</v>
      </c>
      <c r="J21" s="3">
        <v>5.5506849315068001</v>
      </c>
      <c r="K21" s="3">
        <v>5.1295756254129001</v>
      </c>
      <c r="L21" s="2" t="s">
        <v>353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87.48</v>
      </c>
      <c r="H22" s="3">
        <v>3.0976890978822</v>
      </c>
      <c r="I22" s="3">
        <v>2.9671793902329</v>
      </c>
      <c r="J22" s="3">
        <v>6.5506849315068001</v>
      </c>
      <c r="K22" s="3">
        <v>6.1295520665751999</v>
      </c>
      <c r="L22" s="2" t="s">
        <v>353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104.34</v>
      </c>
      <c r="H23" s="3">
        <v>2.4022266278745001</v>
      </c>
      <c r="I23" s="3">
        <v>1.9345223932388</v>
      </c>
      <c r="J23" s="3">
        <v>3.2164383561643999</v>
      </c>
      <c r="K23" s="3">
        <v>2.9608233199813001</v>
      </c>
      <c r="L23" s="2" t="s">
        <v>353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111.92</v>
      </c>
      <c r="H24" s="3">
        <v>3.5049330136400001</v>
      </c>
      <c r="I24" s="3">
        <v>2.9094330761342002</v>
      </c>
      <c r="J24" s="3">
        <v>9.2191780821917995</v>
      </c>
      <c r="K24" s="3">
        <v>7.2622856780573999</v>
      </c>
      <c r="L24" s="2" t="s">
        <v>353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102.54</v>
      </c>
      <c r="H25" s="3">
        <v>3.7606281031087998</v>
      </c>
      <c r="I25" s="3">
        <v>3.2600541513849999</v>
      </c>
      <c r="J25" s="3">
        <v>11.726027397259999</v>
      </c>
      <c r="K25" s="3">
        <v>9.0663383113530003</v>
      </c>
      <c r="L25" s="2" t="s">
        <v>353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111.11</v>
      </c>
      <c r="H26" s="3">
        <v>4.0063617576504997</v>
      </c>
      <c r="I26" s="3">
        <v>3.4103350523546001</v>
      </c>
      <c r="J26" s="3">
        <v>14.221917808219001</v>
      </c>
      <c r="K26" s="3">
        <v>10.040507646435</v>
      </c>
      <c r="L26" s="2" t="s">
        <v>353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98.92</v>
      </c>
      <c r="H27" s="3">
        <v>1.9701658927129</v>
      </c>
      <c r="I27" s="3">
        <v>1.8114711718345</v>
      </c>
      <c r="J27" s="3">
        <v>1.5479452054795</v>
      </c>
      <c r="K27" s="3">
        <v>1.4996915564465001</v>
      </c>
      <c r="L27" s="2" t="s">
        <v>353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101.45</v>
      </c>
      <c r="H28" s="3">
        <v>2.3824942440168</v>
      </c>
      <c r="I28" s="3">
        <v>2.0274255053751</v>
      </c>
      <c r="J28" s="3">
        <v>3.5506849315068001</v>
      </c>
      <c r="K28" s="3">
        <v>3.2859460184960998</v>
      </c>
      <c r="L28" s="2" t="s">
        <v>353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98.951999999999998</v>
      </c>
      <c r="H29" s="3">
        <v>1.9452325089100999</v>
      </c>
      <c r="I29" s="3">
        <v>1.8750857820886</v>
      </c>
      <c r="J29" s="3">
        <v>0.71780821917808002</v>
      </c>
      <c r="K29" s="3">
        <v>0.70571161858660003</v>
      </c>
      <c r="L29" s="2" t="s">
        <v>353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97.68</v>
      </c>
      <c r="H30" s="3">
        <v>1.9439969479845001</v>
      </c>
      <c r="I30" s="3">
        <v>1.9418832213552999</v>
      </c>
      <c r="J30" s="3">
        <v>1.2136986301370001</v>
      </c>
      <c r="K30" s="3">
        <v>1.1959292539941</v>
      </c>
      <c r="L30" s="2" t="s">
        <v>353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102.1</v>
      </c>
      <c r="H31" s="3">
        <v>3.6207743393963998</v>
      </c>
      <c r="I31" s="3">
        <v>3.1378745360689999</v>
      </c>
      <c r="J31" s="3">
        <v>9.7232876712328995</v>
      </c>
      <c r="K31" s="3">
        <v>7.8521409694262996</v>
      </c>
      <c r="L31" s="2" t="s">
        <v>353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110.61</v>
      </c>
      <c r="H32" s="3">
        <v>4.0980072455096996</v>
      </c>
      <c r="I32" s="3">
        <v>3.4991778160531002</v>
      </c>
      <c r="J32" s="3">
        <v>15.309589041096</v>
      </c>
      <c r="K32" s="3">
        <v>10.594396505460001</v>
      </c>
      <c r="L32" s="2" t="s">
        <v>353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101.93</v>
      </c>
      <c r="H33" s="3">
        <v>2.0157747881691002</v>
      </c>
      <c r="I33" s="3">
        <v>1.4686987912156999</v>
      </c>
      <c r="J33" s="3">
        <v>0.7945205479452</v>
      </c>
      <c r="K33" s="3">
        <v>0.77107089252762995</v>
      </c>
      <c r="L33" s="2" t="s">
        <v>353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86.06</v>
      </c>
      <c r="H34" s="3">
        <v>4.2922004686433004</v>
      </c>
      <c r="I34" s="3">
        <v>3.8367156767105</v>
      </c>
      <c r="J34" s="3">
        <v>21.312328767122999</v>
      </c>
      <c r="K34" s="3">
        <v>14.294057405375</v>
      </c>
      <c r="L34" s="2" t="s">
        <v>353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100.01900000000001</v>
      </c>
      <c r="H35" s="3">
        <v>1.9336365433459</v>
      </c>
      <c r="I35" s="3">
        <v>1.6876436360014</v>
      </c>
      <c r="J35" s="3">
        <v>0.54794520547945003</v>
      </c>
      <c r="K35" s="3">
        <v>0.53281038178516005</v>
      </c>
      <c r="L35" s="2" t="s">
        <v>353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70.17</v>
      </c>
      <c r="H36" s="3">
        <v>4.4005696843797999</v>
      </c>
      <c r="I36" s="3">
        <v>3.9381143285340001</v>
      </c>
      <c r="J36" s="3">
        <v>41.821917808218998</v>
      </c>
      <c r="K36" s="3">
        <v>20.397388643206</v>
      </c>
      <c r="L36" s="2" t="s">
        <v>353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93.6</v>
      </c>
      <c r="H37" s="3">
        <v>3.3638791780308002</v>
      </c>
      <c r="I37" s="3">
        <v>3.0370985139483002</v>
      </c>
      <c r="J37" s="3">
        <v>8.3041095890411007</v>
      </c>
      <c r="K37" s="3">
        <v>7.2508496193193999</v>
      </c>
      <c r="L37" s="2" t="s">
        <v>353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90.15</v>
      </c>
      <c r="H38" s="3">
        <v>3.9413881272893998</v>
      </c>
      <c r="I38" s="3">
        <v>3.5418810940907002</v>
      </c>
      <c r="J38" s="3">
        <v>13.306849315069</v>
      </c>
      <c r="K38" s="3">
        <v>10.475020171745999</v>
      </c>
      <c r="L38" s="2" t="s">
        <v>353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98.27</v>
      </c>
      <c r="H39" s="3">
        <v>3.5902961184633</v>
      </c>
      <c r="I39" s="3">
        <v>3.1585889467246999</v>
      </c>
      <c r="J39" s="3">
        <v>9.8000000000000007</v>
      </c>
      <c r="K39" s="3">
        <v>8.0741498629780004</v>
      </c>
      <c r="L39" s="2" t="s">
        <v>353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93.02</v>
      </c>
      <c r="H40" s="3">
        <v>4.3593484261678999</v>
      </c>
      <c r="I40" s="3">
        <v>3.8442219966103002</v>
      </c>
      <c r="J40" s="3">
        <v>24.315068493150999</v>
      </c>
      <c r="K40" s="3">
        <v>14.887291923349</v>
      </c>
      <c r="L40" s="2" t="s">
        <v>353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93.82</v>
      </c>
      <c r="H41" s="3">
        <v>2.7273457308458</v>
      </c>
      <c r="I41" s="3">
        <v>2.5502545532207002</v>
      </c>
      <c r="J41" s="3">
        <v>4.8821917808219002</v>
      </c>
      <c r="K41" s="3">
        <v>4.6023319649171999</v>
      </c>
      <c r="L41" s="2" t="s">
        <v>353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71.569999999999993</v>
      </c>
      <c r="H42" s="3">
        <v>4.3485971452317997</v>
      </c>
      <c r="I42" s="3">
        <v>3.9608610319338999</v>
      </c>
      <c r="J42" s="3">
        <v>25.315068493150999</v>
      </c>
      <c r="K42" s="3">
        <v>16.789561242461001</v>
      </c>
      <c r="L42" s="2" t="s">
        <v>353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59.93</v>
      </c>
      <c r="H43" s="3">
        <v>4.2850557378594001</v>
      </c>
      <c r="I43" s="3">
        <v>3.9843810876182002</v>
      </c>
      <c r="J43" s="3">
        <v>26.315068493150999</v>
      </c>
      <c r="K43" s="3">
        <v>18.580604812708</v>
      </c>
      <c r="L43" s="2" t="s">
        <v>353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102.84</v>
      </c>
      <c r="H44" s="3">
        <v>4.2664122313227999</v>
      </c>
      <c r="I44" s="3">
        <v>3.7082961273763999</v>
      </c>
      <c r="J44" s="3">
        <v>18.309589041096</v>
      </c>
      <c r="K44" s="3">
        <v>12.17287260656</v>
      </c>
      <c r="L44" s="2" t="s">
        <v>353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105.64</v>
      </c>
      <c r="H45" s="3">
        <v>3.4784865401021001</v>
      </c>
      <c r="I45" s="3">
        <v>2.9622924163130002</v>
      </c>
      <c r="J45" s="3">
        <v>8.8000000000000007</v>
      </c>
      <c r="K45" s="3">
        <v>7.1837838978789996</v>
      </c>
      <c r="L45" s="2" t="s">
        <v>353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88.98</v>
      </c>
      <c r="H46" s="3">
        <v>2.9759915478183001</v>
      </c>
      <c r="I46" s="3">
        <v>2.8542889924559001</v>
      </c>
      <c r="J46" s="3">
        <v>5.8821917808219002</v>
      </c>
      <c r="K46" s="3">
        <v>5.5596804892823997</v>
      </c>
      <c r="L46" s="2" t="s">
        <v>353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86.15</v>
      </c>
      <c r="H47" s="3">
        <v>3.1800257027526002</v>
      </c>
      <c r="I47" s="3">
        <v>3.0395397826555</v>
      </c>
      <c r="J47" s="3">
        <v>7.0520547945205001</v>
      </c>
      <c r="K47" s="3">
        <v>6.5737675445684003</v>
      </c>
      <c r="L47" s="2" t="s">
        <v>353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107.58</v>
      </c>
      <c r="H48" s="3">
        <v>3.3326563562479001</v>
      </c>
      <c r="I48" s="3">
        <v>2.7981601051393001</v>
      </c>
      <c r="J48" s="3">
        <v>7.9671232876711997</v>
      </c>
      <c r="K48" s="3">
        <v>6.6291402543905003</v>
      </c>
      <c r="L48" s="2" t="s">
        <v>353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107.62</v>
      </c>
      <c r="H49" s="3">
        <v>1.9370660455769</v>
      </c>
      <c r="I49" s="3">
        <v>1.0715993602353</v>
      </c>
      <c r="J49" s="3">
        <v>1.4657534246574999</v>
      </c>
      <c r="K49" s="3">
        <v>1.3918840584726</v>
      </c>
      <c r="L49" s="2" t="s">
        <v>353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110.32</v>
      </c>
      <c r="H50" s="3">
        <v>2.1797219078357002</v>
      </c>
      <c r="I50" s="3">
        <v>1.4100695244448</v>
      </c>
      <c r="J50" s="3">
        <v>2.4657534246575001</v>
      </c>
      <c r="K50" s="3">
        <v>2.2726738441012002</v>
      </c>
      <c r="L50" s="2" t="s">
        <v>353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111.22</v>
      </c>
      <c r="H51" s="3">
        <v>2.5843176671133001</v>
      </c>
      <c r="I51" s="3">
        <v>1.9613337095365</v>
      </c>
      <c r="J51" s="3">
        <v>4.4684931506848997</v>
      </c>
      <c r="K51" s="3">
        <v>3.9592496387767002</v>
      </c>
      <c r="L51" s="2" t="s">
        <v>353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116.72</v>
      </c>
      <c r="H52" s="3">
        <v>2.9416113166782001</v>
      </c>
      <c r="I52" s="3">
        <v>2.2486198643483002</v>
      </c>
      <c r="J52" s="3">
        <v>5.9643835616437997</v>
      </c>
      <c r="K52" s="3">
        <v>5.0233082121672004</v>
      </c>
      <c r="L52" s="2" t="s">
        <v>353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99.971000000000004</v>
      </c>
      <c r="H53" s="3">
        <v>1.9681880796947</v>
      </c>
      <c r="I53" s="3">
        <v>1.7958364635344</v>
      </c>
      <c r="J53" s="3">
        <v>4.6575342465752997E-2</v>
      </c>
      <c r="K53" s="3">
        <v>4.8364274513862E-2</v>
      </c>
      <c r="L53" s="2" t="s">
        <v>353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91.07</v>
      </c>
      <c r="H54" s="3">
        <v>2.8211991214985002</v>
      </c>
      <c r="I54" s="3">
        <v>2.6892961740565</v>
      </c>
      <c r="J54" s="3">
        <v>5.2164383561644003</v>
      </c>
      <c r="K54" s="3">
        <v>4.9407083676461996</v>
      </c>
      <c r="L54" s="2" t="s">
        <v>353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</v>
      </c>
      <c r="H55" s="3">
        <v>3.1931517771629001</v>
      </c>
      <c r="I55" s="3">
        <v>2.6861283406755998</v>
      </c>
      <c r="J55" s="3">
        <v>8.4712328767122997</v>
      </c>
      <c r="K55" s="3">
        <v>6.9958874118320002</v>
      </c>
      <c r="L55" s="2" t="s">
        <v>353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99.26</v>
      </c>
      <c r="H56" s="3">
        <v>3.7179822792185999</v>
      </c>
      <c r="I56" s="3">
        <v>3.2585226907284</v>
      </c>
      <c r="J56" s="3">
        <v>10.386301369863</v>
      </c>
      <c r="K56" s="3">
        <v>8.4258428009141006</v>
      </c>
      <c r="L56" s="2" t="s">
        <v>353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101.32</v>
      </c>
      <c r="H57" s="3">
        <v>2.6936250787959999</v>
      </c>
      <c r="I57" s="3">
        <v>2.3112465015263002</v>
      </c>
      <c r="J57" s="3">
        <v>4.3835616438356002</v>
      </c>
      <c r="K57" s="3">
        <v>4.0202647253111001</v>
      </c>
      <c r="L57" s="2" t="s">
        <v>353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105.58</v>
      </c>
      <c r="H58" s="3">
        <v>2.5289201258234999</v>
      </c>
      <c r="I58" s="3">
        <v>2.0014725713007002</v>
      </c>
      <c r="J58" s="3">
        <v>3.7205479452054999</v>
      </c>
      <c r="K58" s="3">
        <v>3.3739496957927</v>
      </c>
      <c r="L58" s="2" t="s">
        <v>353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100.48</v>
      </c>
      <c r="H59" s="3">
        <v>2.8677058151071999</v>
      </c>
      <c r="I59" s="3">
        <v>2.4952832828367</v>
      </c>
      <c r="J59" s="3">
        <v>5.1315068493150999</v>
      </c>
      <c r="K59" s="3">
        <v>4.6399919813757</v>
      </c>
      <c r="L59" s="2" t="s">
        <v>353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95.05</v>
      </c>
      <c r="H60" s="3">
        <v>3.2679694574683</v>
      </c>
      <c r="I60" s="3">
        <v>2.9182867598316</v>
      </c>
      <c r="J60" s="3">
        <v>7.5534246575342001</v>
      </c>
      <c r="K60" s="3">
        <v>6.6132667205166999</v>
      </c>
      <c r="L60" s="2" t="s">
        <v>353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99.89</v>
      </c>
      <c r="H61" s="3">
        <v>2.1104865588110999</v>
      </c>
      <c r="I61" s="3">
        <v>1.8421492109102</v>
      </c>
      <c r="J61" s="3">
        <v>2.2136986301369999</v>
      </c>
      <c r="K61" s="3">
        <v>2.1214663810379002</v>
      </c>
      <c r="L61" s="2" t="s">
        <v>353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101.06</v>
      </c>
      <c r="H62" s="3">
        <v>2.2305307929240001</v>
      </c>
      <c r="I62" s="3">
        <v>1.8900964793582</v>
      </c>
      <c r="J62" s="3">
        <v>2.5479452054794001</v>
      </c>
      <c r="K62" s="3">
        <v>2.3987571568145998</v>
      </c>
      <c r="L62" s="2" t="s">
        <v>353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78.239999999999995</v>
      </c>
      <c r="H63" s="3">
        <v>4.2813774837349996</v>
      </c>
      <c r="I63" s="3">
        <v>3.8793041291521</v>
      </c>
      <c r="J63" s="3">
        <v>21.808219178081998</v>
      </c>
      <c r="K63" s="3">
        <v>15.060568510146</v>
      </c>
      <c r="L63" s="2" t="s">
        <v>353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73.25</v>
      </c>
      <c r="H64" s="3">
        <v>3.8145795529698998</v>
      </c>
      <c r="I64" s="3">
        <v>3.6673775030582001</v>
      </c>
      <c r="J64" s="3">
        <v>11.802739726026999</v>
      </c>
      <c r="K64" s="3">
        <v>10.626195192754</v>
      </c>
      <c r="L64" s="2" t="s">
        <v>353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65.400000000000006</v>
      </c>
      <c r="H65" s="3">
        <v>4.3635354492370002</v>
      </c>
      <c r="I65" s="3">
        <v>4.0039518349329999</v>
      </c>
      <c r="J65" s="3">
        <v>27.317808219178001</v>
      </c>
      <c r="K65" s="3">
        <v>18.022284527326999</v>
      </c>
      <c r="L65" s="2" t="s">
        <v>353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101.41</v>
      </c>
      <c r="H66" s="3">
        <v>2.1344566715512001</v>
      </c>
      <c r="I66" s="3">
        <v>1.7592258683313999</v>
      </c>
      <c r="J66" s="3">
        <v>1.7561643835616001</v>
      </c>
      <c r="K66" s="3">
        <v>1.6775656378731001</v>
      </c>
      <c r="L66" s="2" t="s">
        <v>353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99.95</v>
      </c>
      <c r="H67" s="3">
        <v>3.6871722850159001</v>
      </c>
      <c r="I67" s="3">
        <v>3.2190414467866</v>
      </c>
      <c r="J67" s="3">
        <v>10.219178082192</v>
      </c>
      <c r="K67" s="3">
        <v>8.2308652770134003</v>
      </c>
      <c r="L67" s="2" t="s">
        <v>353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100.14</v>
      </c>
      <c r="H68" s="3">
        <v>1.9893193339118</v>
      </c>
      <c r="I68" s="3">
        <v>1.7245917367942001</v>
      </c>
      <c r="J68" s="3">
        <v>1.1671232876712001</v>
      </c>
      <c r="K68" s="3">
        <v>1.1291856181744</v>
      </c>
      <c r="L68" s="2" t="s">
        <v>353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102.25</v>
      </c>
      <c r="H69" s="3">
        <v>3.0688768647161999</v>
      </c>
      <c r="I69" s="3">
        <v>2.6373414687893</v>
      </c>
      <c r="J69" s="3">
        <v>6.1698630136985999</v>
      </c>
      <c r="K69" s="3">
        <v>5.3917007836095996</v>
      </c>
      <c r="L69" s="2" t="s">
        <v>353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73.459999999999994</v>
      </c>
      <c r="H70" s="3">
        <v>4.1380762381927996</v>
      </c>
      <c r="I70" s="3">
        <v>3.8629293859810998</v>
      </c>
      <c r="J70" s="3">
        <v>15.805479452055</v>
      </c>
      <c r="K70" s="3">
        <v>12.808998838000001</v>
      </c>
      <c r="L70" s="2" t="s">
        <v>353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105.57</v>
      </c>
      <c r="H71" s="3">
        <v>2.9142935399574998</v>
      </c>
      <c r="I71" s="3">
        <v>2.4238984770192</v>
      </c>
      <c r="J71" s="3">
        <v>5.5068493150685001</v>
      </c>
      <c r="K71" s="3">
        <v>4.8723745834869003</v>
      </c>
      <c r="L71" s="2" t="s">
        <v>353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98.16</v>
      </c>
      <c r="H72" s="3">
        <v>1.9827251853582999</v>
      </c>
      <c r="I72" s="3">
        <v>1.8682152877797</v>
      </c>
      <c r="J72" s="3">
        <v>1.6712328767122999</v>
      </c>
      <c r="K72" s="3">
        <v>1.6261309621846001</v>
      </c>
      <c r="L72" s="2" t="s">
        <v>353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93.73</v>
      </c>
      <c r="H73" s="3">
        <v>2.2083833160598001</v>
      </c>
      <c r="I73" s="3">
        <v>2.1328781169664999</v>
      </c>
      <c r="J73" s="3">
        <v>3.7589041095889999</v>
      </c>
      <c r="K73" s="3">
        <v>3.6456778599816002</v>
      </c>
      <c r="L73" s="2" t="s">
        <v>353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105.04</v>
      </c>
      <c r="H74" s="3">
        <v>2.6868701123002001</v>
      </c>
      <c r="I74" s="3">
        <v>2.2144498136177999</v>
      </c>
      <c r="J74" s="3">
        <v>4.5890410958904004</v>
      </c>
      <c r="K74" s="3">
        <v>4.0920468708567999</v>
      </c>
      <c r="L74" s="2" t="s">
        <v>353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101.12</v>
      </c>
      <c r="H75" s="3">
        <v>2.2325312638094998</v>
      </c>
      <c r="I75" s="3">
        <v>1.8924857112561999</v>
      </c>
      <c r="J75" s="3">
        <v>2.4191780821918001</v>
      </c>
      <c r="K75" s="3">
        <v>2.3024662468164001</v>
      </c>
      <c r="L75" s="2" t="s">
        <v>353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102.82</v>
      </c>
      <c r="H76" s="3">
        <v>2.9795705138402999</v>
      </c>
      <c r="I76" s="3">
        <v>2.5420548010380002</v>
      </c>
      <c r="J76" s="3">
        <v>5.7589041095890003</v>
      </c>
      <c r="K76" s="3">
        <v>5.0846368139870997</v>
      </c>
      <c r="L76" s="2" t="s">
        <v>353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101.559</v>
      </c>
      <c r="H77" s="3">
        <v>2.0562774650749001</v>
      </c>
      <c r="I77" s="3">
        <v>1.5901503791774001</v>
      </c>
      <c r="J77" s="3">
        <v>0.91780821917807998</v>
      </c>
      <c r="K77" s="3">
        <v>0.89052270778916998</v>
      </c>
      <c r="L77" s="2" t="s">
        <v>353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100.95</v>
      </c>
      <c r="H78" s="3">
        <v>2.5679834001146999</v>
      </c>
      <c r="I78" s="3">
        <v>2.2160590055066001</v>
      </c>
      <c r="J78" s="3">
        <v>4.0876712328767004</v>
      </c>
      <c r="K78" s="3">
        <v>3.7520640568646999</v>
      </c>
      <c r="L78" s="2" t="s">
        <v>353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97.4</v>
      </c>
      <c r="H79" s="3">
        <v>2.1054094730992001</v>
      </c>
      <c r="I79" s="3">
        <v>1.9836907435005</v>
      </c>
      <c r="J79" s="3">
        <v>2.3369863013699002</v>
      </c>
      <c r="K79" s="3">
        <v>2.2653403378934001</v>
      </c>
      <c r="L79" s="2" t="s">
        <v>353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100.79</v>
      </c>
      <c r="H80" s="3">
        <v>2.3952180670438001</v>
      </c>
      <c r="I80" s="3">
        <v>2.0504648331133</v>
      </c>
      <c r="J80" s="3">
        <v>3.0876712328767</v>
      </c>
      <c r="K80" s="3">
        <v>2.9033098793724998</v>
      </c>
      <c r="L80" s="2" t="s">
        <v>353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104.16</v>
      </c>
      <c r="H81" s="3">
        <v>2.8312862055974999</v>
      </c>
      <c r="I81" s="3">
        <v>2.3475345684258002</v>
      </c>
      <c r="J81" s="3">
        <v>5.0876712328767004</v>
      </c>
      <c r="K81" s="3">
        <v>4.5039494074883004</v>
      </c>
      <c r="L81" s="2" t="s">
        <v>353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94.94</v>
      </c>
      <c r="H82" s="3">
        <v>2.1677270725561999</v>
      </c>
      <c r="I82" s="3">
        <v>2.0816433753535</v>
      </c>
      <c r="J82" s="3">
        <v>3.1698630136985999</v>
      </c>
      <c r="K82" s="3">
        <v>3.0814469585859001</v>
      </c>
      <c r="L82" s="2" t="s">
        <v>353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102.68</v>
      </c>
      <c r="H83" s="3">
        <v>2.1901971546275001</v>
      </c>
      <c r="I83" s="3">
        <v>1.7618922170497999</v>
      </c>
      <c r="J83" s="3">
        <v>2.1671232876711999</v>
      </c>
      <c r="K83" s="3">
        <v>2.0406781828534002</v>
      </c>
      <c r="L83" s="2" t="s">
        <v>353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</v>
      </c>
      <c r="H84" s="3">
        <v>2.0978357419001998</v>
      </c>
      <c r="I84" s="3">
        <v>1.6212816875686999</v>
      </c>
      <c r="J84" s="3">
        <v>1.3369863013698999</v>
      </c>
      <c r="K84" s="3">
        <v>1.2823009331249</v>
      </c>
      <c r="L84" s="2" t="s">
        <v>353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100.245</v>
      </c>
      <c r="H85" s="3">
        <v>1.9404072908243</v>
      </c>
      <c r="I85" s="3">
        <v>1.6355532576112</v>
      </c>
      <c r="J85" s="3">
        <v>0.50410958904110004</v>
      </c>
      <c r="K85" s="3">
        <v>0.49998020605644999</v>
      </c>
      <c r="L85" s="2" t="s">
        <v>353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97.26</v>
      </c>
      <c r="H86" s="3">
        <v>4.5146455884534999</v>
      </c>
      <c r="I86" s="3">
        <v>3.9551852764421001</v>
      </c>
      <c r="J86" s="3">
        <v>29.4</v>
      </c>
      <c r="K86" s="3">
        <v>15.973487364136</v>
      </c>
      <c r="L86" s="2" t="s">
        <v>353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100.925</v>
      </c>
      <c r="H87" s="3">
        <v>2.0629563605471</v>
      </c>
      <c r="I87" s="3">
        <v>1.6325790266492</v>
      </c>
      <c r="J87" s="3">
        <v>0.67123287671233001</v>
      </c>
      <c r="K87" s="3">
        <v>0.64938007978037005</v>
      </c>
      <c r="L87" s="2" t="s">
        <v>353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94.72</v>
      </c>
      <c r="H88" s="3">
        <v>2.1920048253790001</v>
      </c>
      <c r="I88" s="3">
        <v>2.1533007975410001</v>
      </c>
      <c r="J88" s="3">
        <v>2.8356164383562001</v>
      </c>
      <c r="K88" s="3">
        <v>2.7653209032584001</v>
      </c>
      <c r="L88" s="2" t="s">
        <v>353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80.239999999999995</v>
      </c>
      <c r="H89" s="3">
        <v>3.7146185335032</v>
      </c>
      <c r="I89" s="3">
        <v>3.5033762195337999</v>
      </c>
      <c r="J89" s="3">
        <v>10.802739726026999</v>
      </c>
      <c r="K89" s="3">
        <v>9.5381816085665001</v>
      </c>
      <c r="L89" s="2" t="s">
        <v>353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96.88</v>
      </c>
      <c r="H90" s="3">
        <v>4.1648353417003996</v>
      </c>
      <c r="I90" s="3">
        <v>3.6613156375111999</v>
      </c>
      <c r="J90" s="3">
        <v>15.391780821917999</v>
      </c>
      <c r="K90" s="3">
        <v>11.168855571652999</v>
      </c>
      <c r="L90" s="2" t="s">
        <v>353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99.772999999999996</v>
      </c>
      <c r="H91" s="3">
        <v>2.0802065745871001</v>
      </c>
      <c r="I91" s="3">
        <v>1.9189834716354</v>
      </c>
      <c r="J91" s="3">
        <v>0.25205479452055002</v>
      </c>
      <c r="K91" s="3">
        <v>0.24694617018175999</v>
      </c>
      <c r="L91" s="2" t="s">
        <v>353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9.8520547945204999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107.5</v>
      </c>
      <c r="H93" s="3">
        <v>2.3804661631489998</v>
      </c>
      <c r="I93" s="3">
        <v>1.807056462229</v>
      </c>
      <c r="J93" s="3">
        <v>3.3013698630136998</v>
      </c>
      <c r="K93" s="3">
        <v>3.0054315585725999</v>
      </c>
      <c r="L93" s="2" t="s">
        <v>353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100.9</v>
      </c>
      <c r="H94" s="3">
        <v>4.4895254869316004</v>
      </c>
      <c r="I94" s="3">
        <v>3.9185659266471999</v>
      </c>
      <c r="J94" s="3">
        <v>28.4</v>
      </c>
      <c r="K94" s="3">
        <v>15.579771294225999</v>
      </c>
      <c r="L94" s="2" t="s">
        <v>353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101.12</v>
      </c>
      <c r="H95" s="3">
        <v>3.0967154200186</v>
      </c>
      <c r="I95" s="3">
        <v>2.6874376665830999</v>
      </c>
      <c r="J95" s="3">
        <v>7.1726027397259999</v>
      </c>
      <c r="K95" s="3">
        <v>6.2551990359173004</v>
      </c>
      <c r="L95" s="2" t="s">
        <v>353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100.755</v>
      </c>
      <c r="H96" s="3">
        <v>2.0801789262471</v>
      </c>
      <c r="I96" s="3">
        <v>1.6681782627429</v>
      </c>
      <c r="J96" s="3">
        <v>0.70684931506849003</v>
      </c>
      <c r="K96" s="3">
        <v>0.68487588402388999</v>
      </c>
      <c r="L96" s="2" t="s">
        <v>353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100.541</v>
      </c>
      <c r="H97" s="3">
        <v>2.0793306208271001</v>
      </c>
      <c r="I97" s="3">
        <v>1.6378888228929001</v>
      </c>
      <c r="J97" s="3">
        <v>0.37534246575343</v>
      </c>
      <c r="K97" s="3">
        <v>0.36775467175934001</v>
      </c>
      <c r="L97" s="2" t="s">
        <v>353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99.971999999999994</v>
      </c>
      <c r="H98" s="3">
        <v>2.0408169865465</v>
      </c>
      <c r="I98" s="3">
        <v>1.8066606477800999</v>
      </c>
      <c r="J98" s="3">
        <v>0.12876712328767001</v>
      </c>
      <c r="K98" s="3">
        <v>0.12619927745830001</v>
      </c>
      <c r="L98" s="2" t="s">
        <v>353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101.28</v>
      </c>
      <c r="H99" s="3">
        <v>2.1023065977212001</v>
      </c>
      <c r="I99" s="3">
        <v>1.7143542347123999</v>
      </c>
      <c r="J99" s="3">
        <v>1.2876712328766999</v>
      </c>
      <c r="K99" s="3">
        <v>1.239169730033</v>
      </c>
      <c r="L99" s="2" t="s">
        <v>353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100.17</v>
      </c>
      <c r="H100" s="3">
        <v>3.1393115353406</v>
      </c>
      <c r="I100" s="3">
        <v>2.7409447262629998</v>
      </c>
      <c r="J100" s="3">
        <v>6.5068493150685001</v>
      </c>
      <c r="K100" s="3">
        <v>5.7592188264726998</v>
      </c>
      <c r="L100" s="2" t="s">
        <v>353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100.72</v>
      </c>
      <c r="H101" s="3">
        <v>2.1443573825460001</v>
      </c>
      <c r="I101" s="3">
        <v>1.8191375566963</v>
      </c>
      <c r="J101" s="3">
        <v>1.7835616438355999</v>
      </c>
      <c r="K101" s="3">
        <v>1.7095214882511001</v>
      </c>
      <c r="L101" s="2" t="s">
        <v>353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103.07</v>
      </c>
      <c r="H102" s="3">
        <v>2.2986309568388998</v>
      </c>
      <c r="I102" s="3">
        <v>1.8648362410703001</v>
      </c>
      <c r="J102" s="3">
        <v>2.8821917808219002</v>
      </c>
      <c r="K102" s="3">
        <v>2.7045851126825999</v>
      </c>
      <c r="L102" s="2" t="s">
        <v>353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103.48</v>
      </c>
      <c r="H103" s="3">
        <v>2.9581012500921</v>
      </c>
      <c r="I103" s="3">
        <v>2.4961935594967</v>
      </c>
      <c r="J103" s="3">
        <v>4.8082191780821999</v>
      </c>
      <c r="K103" s="3">
        <v>4.2996473488479001</v>
      </c>
      <c r="L103" s="2" t="s">
        <v>353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103.48</v>
      </c>
      <c r="H104" s="3">
        <v>3.0936769308126002</v>
      </c>
      <c r="I104" s="3">
        <v>2.6196241911607001</v>
      </c>
      <c r="J104" s="3">
        <v>4.8082191780821999</v>
      </c>
      <c r="K104" s="3">
        <v>4.2947794566089001</v>
      </c>
      <c r="L104" s="2" t="s">
        <v>353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105.45</v>
      </c>
      <c r="H105" s="3">
        <v>2.6734850289657</v>
      </c>
      <c r="I105" s="3">
        <v>2.1400147819081998</v>
      </c>
      <c r="J105" s="3">
        <v>3.4082191780822</v>
      </c>
      <c r="K105" s="3">
        <v>3.1051388833448001</v>
      </c>
      <c r="L105" s="2" t="s">
        <v>353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105.45</v>
      </c>
      <c r="H106" s="3">
        <v>2.8123007973888998</v>
      </c>
      <c r="I106" s="3">
        <v>2.2680857524181999</v>
      </c>
      <c r="J106" s="3">
        <v>3.4082191780822</v>
      </c>
      <c r="K106" s="3">
        <v>3.1012842044618001</v>
      </c>
      <c r="L106" s="2" t="s">
        <v>353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103.26</v>
      </c>
      <c r="H107" s="3">
        <v>2.3652015998259999</v>
      </c>
      <c r="I107" s="3">
        <v>1.8746882328779999</v>
      </c>
      <c r="J107" s="3">
        <v>2.0794520547944999</v>
      </c>
      <c r="K107" s="3">
        <v>1.9490676401602001</v>
      </c>
      <c r="L107" s="2" t="s">
        <v>353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103.26</v>
      </c>
      <c r="H108" s="3">
        <v>2.5984483420654998</v>
      </c>
      <c r="I108" s="3">
        <v>2.0937653964929002</v>
      </c>
      <c r="J108" s="3">
        <v>2.0794520547944999</v>
      </c>
      <c r="K108" s="3">
        <v>1.944755657792</v>
      </c>
      <c r="L108" s="2" t="s">
        <v>353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103.14</v>
      </c>
      <c r="H109" s="3">
        <v>3.0230883990139001</v>
      </c>
      <c r="I109" s="3">
        <v>2.5643121172134</v>
      </c>
      <c r="J109" s="3">
        <v>5</v>
      </c>
      <c r="K109" s="3">
        <v>4.4787388848531</v>
      </c>
      <c r="L109" s="2" t="s">
        <v>353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103.14</v>
      </c>
      <c r="H110" s="3">
        <v>3.1718514351848999</v>
      </c>
      <c r="I110" s="3">
        <v>2.6991454040243998</v>
      </c>
      <c r="J110" s="3">
        <v>5</v>
      </c>
      <c r="K110" s="3">
        <v>4.4732415574143998</v>
      </c>
      <c r="L110" s="2" t="s">
        <v>353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100.55</v>
      </c>
      <c r="H111" s="3">
        <v>4.8249529125553998</v>
      </c>
      <c r="I111" s="3">
        <v>4.4945638172409001</v>
      </c>
      <c r="J111" s="3">
        <v>31.021917808219001</v>
      </c>
      <c r="K111" s="3">
        <v>5.7701885047568</v>
      </c>
      <c r="L111" s="2" t="s">
        <v>353</v>
      </c>
      <c r="M111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3F71-A0BD-C64D-A9E5-A564AB465157}">
  <dimension ref="A1:M111"/>
  <sheetViews>
    <sheetView workbookViewId="0">
      <selection activeCell="Q12" sqref="Q12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116.5</v>
      </c>
      <c r="H2" s="3">
        <v>3.3317461859929001</v>
      </c>
      <c r="I2" s="3">
        <v>2.6659365750980002</v>
      </c>
      <c r="J2" s="3">
        <v>7.7205479452055004</v>
      </c>
      <c r="K2" s="3">
        <v>6.1682369417827001</v>
      </c>
      <c r="L2" s="2" t="s">
        <v>354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100.28</v>
      </c>
      <c r="H3" s="3">
        <v>2.0698401742621</v>
      </c>
      <c r="I3" s="3">
        <v>1.7782221424694</v>
      </c>
      <c r="J3" s="3">
        <v>2.0438356164383999</v>
      </c>
      <c r="K3" s="3">
        <v>1.9498335755042</v>
      </c>
      <c r="L3" s="2" t="s">
        <v>354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99.45</v>
      </c>
      <c r="H4" s="3">
        <v>2.2196976036095002</v>
      </c>
      <c r="I4" s="3">
        <v>1.9618490132216999</v>
      </c>
      <c r="J4" s="3">
        <v>2.7150684931506999</v>
      </c>
      <c r="K4" s="3">
        <v>2.5841430063213999</v>
      </c>
      <c r="L4" s="2" t="s">
        <v>354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101.77</v>
      </c>
      <c r="H5" s="3">
        <v>2.5691292329808002</v>
      </c>
      <c r="I5" s="3">
        <v>2.1937939340409001</v>
      </c>
      <c r="J5" s="3">
        <v>4.2136986301370003</v>
      </c>
      <c r="K5" s="3">
        <v>3.8605699466502998</v>
      </c>
      <c r="L5" s="2" t="s">
        <v>354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101.24</v>
      </c>
      <c r="H6" s="3">
        <v>4.0717821840177004</v>
      </c>
      <c r="I6" s="3">
        <v>3.5459645041434</v>
      </c>
      <c r="J6" s="3">
        <v>14.386301369863</v>
      </c>
      <c r="K6" s="3">
        <v>10.522401343643001</v>
      </c>
      <c r="L6" s="2" t="s">
        <v>354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86.36</v>
      </c>
      <c r="H7" s="3">
        <v>3.0469801448917999</v>
      </c>
      <c r="I7" s="3">
        <v>2.9641526976777999</v>
      </c>
      <c r="J7" s="3">
        <v>6.2136986301370003</v>
      </c>
      <c r="K7" s="3">
        <v>5.9065346805851</v>
      </c>
      <c r="L7" s="2" t="s">
        <v>354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107.17</v>
      </c>
      <c r="H8" s="3">
        <v>4.2439621845059996</v>
      </c>
      <c r="I8" s="3">
        <v>3.6628123603334002</v>
      </c>
      <c r="J8" s="3">
        <v>19.309589041096</v>
      </c>
      <c r="K8" s="3">
        <v>12.449644043697001</v>
      </c>
      <c r="L8" s="2" t="s">
        <v>354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103.75</v>
      </c>
      <c r="H9" s="3">
        <v>2.6778440570317001</v>
      </c>
      <c r="I9" s="3">
        <v>2.2417231791344001</v>
      </c>
      <c r="J9" s="3">
        <v>4.7945205479451998</v>
      </c>
      <c r="K9" s="3">
        <v>4.3179526952687999</v>
      </c>
      <c r="L9" s="2" t="s">
        <v>354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91.08</v>
      </c>
      <c r="H10" s="3">
        <v>3.1392790625895</v>
      </c>
      <c r="I10" s="3">
        <v>2.9164869598401002</v>
      </c>
      <c r="J10" s="3">
        <v>6.7972602739725998</v>
      </c>
      <c r="K10" s="3">
        <v>6.2190563985298004</v>
      </c>
      <c r="L10" s="2" t="s">
        <v>354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99.63</v>
      </c>
      <c r="H11" s="3">
        <v>1.9692557805190001</v>
      </c>
      <c r="I11" s="3">
        <v>1.7668976585653999</v>
      </c>
      <c r="J11" s="3">
        <v>1.0438356164383999</v>
      </c>
      <c r="K11" s="3">
        <v>1.0120311523120999</v>
      </c>
      <c r="L11" s="2" t="s">
        <v>354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86.51</v>
      </c>
      <c r="H12" s="3">
        <v>3.7549610478498998</v>
      </c>
      <c r="I12" s="3">
        <v>3.4422063083341001</v>
      </c>
      <c r="J12" s="3">
        <v>11.304109589040999</v>
      </c>
      <c r="K12" s="3">
        <v>9.5161875609953999</v>
      </c>
      <c r="L12" s="2" t="s">
        <v>354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87.9</v>
      </c>
      <c r="H13" s="3">
        <v>4.3292013713918003</v>
      </c>
      <c r="I13" s="3">
        <v>3.8501040355191001</v>
      </c>
      <c r="J13" s="3">
        <v>22.808219178081998</v>
      </c>
      <c r="K13" s="3">
        <v>14.697393263313</v>
      </c>
      <c r="L13" s="2" t="s">
        <v>354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89.75</v>
      </c>
      <c r="H14" s="3">
        <v>4.0637166100305997</v>
      </c>
      <c r="I14" s="3">
        <v>3.6416234930745999</v>
      </c>
      <c r="J14" s="3">
        <v>14.802739726026999</v>
      </c>
      <c r="K14" s="3">
        <v>11.254860658994</v>
      </c>
      <c r="L14" s="2" t="s">
        <v>354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98.263000000000005</v>
      </c>
      <c r="H15" s="3">
        <v>1.9886681660442</v>
      </c>
      <c r="I15" s="3">
        <v>1.9760259807386999</v>
      </c>
      <c r="J15" s="3">
        <v>0.87671232876712002</v>
      </c>
      <c r="K15" s="3">
        <v>0.85983991146645</v>
      </c>
      <c r="L15" s="2" t="s">
        <v>354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58.7</v>
      </c>
      <c r="H16" s="3">
        <v>4.2014492988654997</v>
      </c>
      <c r="I16" s="3">
        <v>3.7972381766751999</v>
      </c>
      <c r="J16" s="3">
        <v>46.824657534247002</v>
      </c>
      <c r="K16" s="3">
        <v>22.932460922810002</v>
      </c>
      <c r="L16" s="2" t="s">
        <v>354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93.59</v>
      </c>
      <c r="H17" s="3">
        <v>3.925909057907</v>
      </c>
      <c r="I17" s="3">
        <v>3.4941384422478001</v>
      </c>
      <c r="J17" s="3">
        <v>12.8</v>
      </c>
      <c r="K17" s="3">
        <v>10.016613278463</v>
      </c>
      <c r="L17" s="2" t="s">
        <v>354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98.25</v>
      </c>
      <c r="H18" s="3">
        <v>2.0658222607791998</v>
      </c>
      <c r="I18" s="3">
        <v>1.9254200390141001</v>
      </c>
      <c r="J18" s="3">
        <v>1.8767123287670999</v>
      </c>
      <c r="K18" s="3">
        <v>1.8225475368471</v>
      </c>
      <c r="L18" s="2" t="s">
        <v>354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102.77</v>
      </c>
      <c r="H19" s="3">
        <v>2.6509564529362999</v>
      </c>
      <c r="I19" s="3">
        <v>2.2305307674505999</v>
      </c>
      <c r="J19" s="3">
        <v>4.1287671232876999</v>
      </c>
      <c r="K19" s="3">
        <v>3.7518105752736002</v>
      </c>
      <c r="L19" s="2" t="s">
        <v>354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102.5</v>
      </c>
      <c r="H20" s="3">
        <v>3.5538476107597998</v>
      </c>
      <c r="I20" s="3">
        <v>3.0702934789021001</v>
      </c>
      <c r="J20" s="3">
        <v>9.1315068493150999</v>
      </c>
      <c r="K20" s="3">
        <v>7.4395529180797002</v>
      </c>
      <c r="L20" s="2" t="s">
        <v>354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93.63</v>
      </c>
      <c r="H21" s="3">
        <v>2.9195801538911001</v>
      </c>
      <c r="I21" s="3">
        <v>2.6980427396859001</v>
      </c>
      <c r="J21" s="3">
        <v>5.5479452054794001</v>
      </c>
      <c r="K21" s="3">
        <v>5.1258995968657999</v>
      </c>
      <c r="L21" s="2" t="s">
        <v>354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87.42</v>
      </c>
      <c r="H22" s="3">
        <v>3.1097125671171999</v>
      </c>
      <c r="I22" s="3">
        <v>2.979145736525</v>
      </c>
      <c r="J22" s="3">
        <v>6.5479452054794001</v>
      </c>
      <c r="K22" s="3">
        <v>6.1260664896592001</v>
      </c>
      <c r="L22" s="2" t="s">
        <v>354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104.33</v>
      </c>
      <c r="H23" s="3">
        <v>2.4042680749690999</v>
      </c>
      <c r="I23" s="3">
        <v>1.9365331096334999</v>
      </c>
      <c r="J23" s="3">
        <v>3.2136986301369999</v>
      </c>
      <c r="K23" s="3">
        <v>2.9580817287948</v>
      </c>
      <c r="L23" s="2" t="s">
        <v>354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111.74</v>
      </c>
      <c r="H24" s="3">
        <v>3.5264499436160999</v>
      </c>
      <c r="I24" s="3">
        <v>2.9303718977975999</v>
      </c>
      <c r="J24" s="3">
        <v>9.2164383561643994</v>
      </c>
      <c r="K24" s="3">
        <v>7.2565483031348998</v>
      </c>
      <c r="L24" s="2" t="s">
        <v>354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102.43</v>
      </c>
      <c r="H25" s="3">
        <v>3.7722804867878001</v>
      </c>
      <c r="I25" s="3">
        <v>3.2713643808386998</v>
      </c>
      <c r="J25" s="3">
        <v>11.723287671233001</v>
      </c>
      <c r="K25" s="3">
        <v>9.0612242056146997</v>
      </c>
      <c r="L25" s="2" t="s">
        <v>354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111.04</v>
      </c>
      <c r="H26" s="3">
        <v>4.0124101004943</v>
      </c>
      <c r="I26" s="3">
        <v>3.4161389600024998</v>
      </c>
      <c r="J26" s="3">
        <v>14.219178082192</v>
      </c>
      <c r="K26" s="3">
        <v>10.035990255881</v>
      </c>
      <c r="L26" s="2" t="s">
        <v>354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</v>
      </c>
      <c r="H27" s="3">
        <v>1.9848643979062</v>
      </c>
      <c r="I27" s="3">
        <v>1.8261296821874999</v>
      </c>
      <c r="J27" s="3">
        <v>1.5452054794521</v>
      </c>
      <c r="K27" s="3">
        <v>1.4967859697400001</v>
      </c>
      <c r="L27" s="2" t="s">
        <v>354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101.39</v>
      </c>
      <c r="H28" s="3">
        <v>2.3999751601194999</v>
      </c>
      <c r="I28" s="3">
        <v>2.0447582859793001</v>
      </c>
      <c r="J28" s="3">
        <v>3.5479452054794001</v>
      </c>
      <c r="K28" s="3">
        <v>3.2826370094690001</v>
      </c>
      <c r="L28" s="2" t="s">
        <v>354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98.968999999999994</v>
      </c>
      <c r="H29" s="3">
        <v>1.9267810173904001</v>
      </c>
      <c r="I29" s="3">
        <v>1.8566489382003999</v>
      </c>
      <c r="J29" s="3">
        <v>0.71506849315068</v>
      </c>
      <c r="K29" s="3">
        <v>0.70314883994013</v>
      </c>
      <c r="L29" s="2" t="s">
        <v>354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</v>
      </c>
      <c r="H30" s="3">
        <v>1.9312610011660001</v>
      </c>
      <c r="I30" s="3">
        <v>1.9291498596359</v>
      </c>
      <c r="J30" s="3">
        <v>1.2109589041096001</v>
      </c>
      <c r="K30" s="3">
        <v>1.1933908638199</v>
      </c>
      <c r="L30" s="2" t="s">
        <v>354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101.97</v>
      </c>
      <c r="H31" s="3">
        <v>3.6367619680962999</v>
      </c>
      <c r="I31" s="3">
        <v>3.1534699932688999</v>
      </c>
      <c r="J31" s="3">
        <v>9.7205479452054995</v>
      </c>
      <c r="K31" s="3">
        <v>7.8470808675154</v>
      </c>
      <c r="L31" s="2" t="s">
        <v>354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110.54</v>
      </c>
      <c r="H32" s="3">
        <v>4.1038189001395997</v>
      </c>
      <c r="I32" s="3">
        <v>3.5047482836291999</v>
      </c>
      <c r="J32" s="3">
        <v>15.306849315069</v>
      </c>
      <c r="K32" s="3">
        <v>10.589704581086</v>
      </c>
      <c r="L32" s="2" t="s">
        <v>354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101.91</v>
      </c>
      <c r="H33" s="3">
        <v>2.0324872467234001</v>
      </c>
      <c r="I33" s="3">
        <v>1.4853355801031001</v>
      </c>
      <c r="J33" s="3">
        <v>0.79178082191780996</v>
      </c>
      <c r="K33" s="3">
        <v>0.76825935539210999</v>
      </c>
      <c r="L33" s="2" t="s">
        <v>354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86.02</v>
      </c>
      <c r="H34" s="3">
        <v>4.2955209826344998</v>
      </c>
      <c r="I34" s="3">
        <v>3.8398935573759001</v>
      </c>
      <c r="J34" s="3">
        <v>21.309589041096</v>
      </c>
      <c r="K34" s="3">
        <v>14.289261374638</v>
      </c>
      <c r="L34" s="2" t="s">
        <v>354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100.01300000000001</v>
      </c>
      <c r="H35" s="3">
        <v>1.9443563108334001</v>
      </c>
      <c r="I35" s="3">
        <v>1.6983648288111</v>
      </c>
      <c r="J35" s="3">
        <v>0.54520547945205</v>
      </c>
      <c r="K35" s="3">
        <v>0.53006644684876003</v>
      </c>
      <c r="L35" s="2" t="s">
        <v>354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70.040000000000006</v>
      </c>
      <c r="H36" s="3">
        <v>4.4096432702476998</v>
      </c>
      <c r="I36" s="3">
        <v>3.9465012624365001</v>
      </c>
      <c r="J36" s="3">
        <v>41.819178082192003</v>
      </c>
      <c r="K36" s="3">
        <v>20.37428296269</v>
      </c>
      <c r="L36" s="2" t="s">
        <v>354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93.44</v>
      </c>
      <c r="H37" s="3">
        <v>3.3876344538763998</v>
      </c>
      <c r="I37" s="3">
        <v>3.0605188589372001</v>
      </c>
      <c r="J37" s="3">
        <v>8.3013698630137007</v>
      </c>
      <c r="K37" s="3">
        <v>7.2456665686513002</v>
      </c>
      <c r="L37" s="2" t="s">
        <v>354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90.15</v>
      </c>
      <c r="H38" s="3">
        <v>3.9415556154407998</v>
      </c>
      <c r="I38" s="3">
        <v>3.5420486368187998</v>
      </c>
      <c r="J38" s="3">
        <v>13.304109589040999</v>
      </c>
      <c r="K38" s="3">
        <v>10.472342019191</v>
      </c>
      <c r="L38" s="2" t="s">
        <v>354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98.15</v>
      </c>
      <c r="H39" s="3">
        <v>3.6053871412759002</v>
      </c>
      <c r="I39" s="3">
        <v>3.1733489047086998</v>
      </c>
      <c r="J39" s="3">
        <v>9.7972602739726007</v>
      </c>
      <c r="K39" s="3">
        <v>8.0692697427354005</v>
      </c>
      <c r="L39" s="2" t="s">
        <v>354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92.9</v>
      </c>
      <c r="H40" s="3">
        <v>4.3679858184115004</v>
      </c>
      <c r="I40" s="3">
        <v>3.8523973232844999</v>
      </c>
      <c r="J40" s="3">
        <v>24.312328767122999</v>
      </c>
      <c r="K40" s="3">
        <v>14.877383148829001</v>
      </c>
      <c r="L40" s="2" t="s">
        <v>354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93.77</v>
      </c>
      <c r="H41" s="3">
        <v>2.7396670330355</v>
      </c>
      <c r="I41" s="3">
        <v>2.5625093715656999</v>
      </c>
      <c r="J41" s="3">
        <v>4.8794520547945002</v>
      </c>
      <c r="K41" s="3">
        <v>4.5990584446594003</v>
      </c>
      <c r="L41" s="2" t="s">
        <v>354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71.38</v>
      </c>
      <c r="H42" s="3">
        <v>4.3644722747699003</v>
      </c>
      <c r="I42" s="3">
        <v>3.9760240039346999</v>
      </c>
      <c r="J42" s="3">
        <v>25.312328767122999</v>
      </c>
      <c r="K42" s="3">
        <v>16.772511225451002</v>
      </c>
      <c r="L42" s="2" t="s">
        <v>354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59.85</v>
      </c>
      <c r="H43" s="3">
        <v>4.2924115595538002</v>
      </c>
      <c r="I43" s="3">
        <v>3.9914665116246999</v>
      </c>
      <c r="J43" s="3">
        <v>26.312328767122999</v>
      </c>
      <c r="K43" s="3">
        <v>18.571009387299</v>
      </c>
      <c r="L43" s="2" t="s">
        <v>354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102.8</v>
      </c>
      <c r="H44" s="3">
        <v>4.2695637206465999</v>
      </c>
      <c r="I44" s="3">
        <v>3.711301820698</v>
      </c>
      <c r="J44" s="3">
        <v>18.306849315069002</v>
      </c>
      <c r="K44" s="3">
        <v>12.168690174844</v>
      </c>
      <c r="L44" s="2" t="s">
        <v>354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105.49</v>
      </c>
      <c r="H45" s="3">
        <v>3.4979282329925998</v>
      </c>
      <c r="I45" s="3">
        <v>2.9812610939457</v>
      </c>
      <c r="J45" s="3">
        <v>8.7972602739726007</v>
      </c>
      <c r="K45" s="3">
        <v>7.1786434470238998</v>
      </c>
      <c r="L45" s="2" t="s">
        <v>354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88.91</v>
      </c>
      <c r="H46" s="3">
        <v>2.9910864139691999</v>
      </c>
      <c r="I46" s="3">
        <v>2.8693217759062</v>
      </c>
      <c r="J46" s="3">
        <v>5.8794520547945002</v>
      </c>
      <c r="K46" s="3">
        <v>5.5561220828316999</v>
      </c>
      <c r="L46" s="2" t="s">
        <v>354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86.08</v>
      </c>
      <c r="H47" s="3">
        <v>3.1931815483199002</v>
      </c>
      <c r="I47" s="3">
        <v>3.0526320197043</v>
      </c>
      <c r="J47" s="3">
        <v>7.0493150684931001</v>
      </c>
      <c r="K47" s="3">
        <v>6.5701195677794999</v>
      </c>
      <c r="L47" s="2" t="s">
        <v>354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107.43</v>
      </c>
      <c r="H48" s="3">
        <v>3.3533613500168999</v>
      </c>
      <c r="I48" s="3">
        <v>2.8183855191833</v>
      </c>
      <c r="J48" s="3">
        <v>7.9643835616437997</v>
      </c>
      <c r="K48" s="3">
        <v>6.6242591511051998</v>
      </c>
      <c r="L48" s="2" t="s">
        <v>354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107.58</v>
      </c>
      <c r="H49" s="3">
        <v>1.9543959220516001</v>
      </c>
      <c r="I49" s="3">
        <v>1.0886846695206001</v>
      </c>
      <c r="J49" s="3">
        <v>1.4630136986300999</v>
      </c>
      <c r="K49" s="3">
        <v>1.3889537856658001</v>
      </c>
      <c r="L49" s="2" t="s">
        <v>354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110.27</v>
      </c>
      <c r="H50" s="3">
        <v>2.1952087274119001</v>
      </c>
      <c r="I50" s="3">
        <v>1.4253004274225001</v>
      </c>
      <c r="J50" s="3">
        <v>2.4630136986301001</v>
      </c>
      <c r="K50" s="3">
        <v>2.2696196602893002</v>
      </c>
      <c r="L50" s="2" t="s">
        <v>354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111.19</v>
      </c>
      <c r="H51" s="3">
        <v>2.5896553146798</v>
      </c>
      <c r="I51" s="3">
        <v>1.9665601187599999</v>
      </c>
      <c r="J51" s="3">
        <v>4.4657534246574997</v>
      </c>
      <c r="K51" s="3">
        <v>3.9563225070989998</v>
      </c>
      <c r="L51" s="2" t="s">
        <v>354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116.68</v>
      </c>
      <c r="H52" s="3">
        <v>2.9472287118373002</v>
      </c>
      <c r="I52" s="3">
        <v>2.2540866454770998</v>
      </c>
      <c r="J52" s="3">
        <v>5.9616438356163997</v>
      </c>
      <c r="K52" s="3">
        <v>5.0202425313576997</v>
      </c>
      <c r="L52" s="2" t="s">
        <v>354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99.965000000000003</v>
      </c>
      <c r="H53" s="3">
        <v>2.1235577998586002</v>
      </c>
      <c r="I53" s="3">
        <v>1.9518472285816</v>
      </c>
      <c r="J53" s="3">
        <v>4.3835616438355998E-2</v>
      </c>
      <c r="K53" s="3">
        <v>4.5607930410384002E-2</v>
      </c>
      <c r="L53" s="2" t="s">
        <v>354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90.96</v>
      </c>
      <c r="H54" s="3">
        <v>2.8465649805857001</v>
      </c>
      <c r="I54" s="3">
        <v>2.7145697915210998</v>
      </c>
      <c r="J54" s="3">
        <v>5.2136986301370003</v>
      </c>
      <c r="K54" s="3">
        <v>4.9367145231849996</v>
      </c>
      <c r="L54" s="2" t="s">
        <v>354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106.91</v>
      </c>
      <c r="H55" s="3">
        <v>3.2048212006930998</v>
      </c>
      <c r="I55" s="3">
        <v>2.6975247927528998</v>
      </c>
      <c r="J55" s="3">
        <v>8.4684931506848997</v>
      </c>
      <c r="K55" s="3">
        <v>6.9918382917953998</v>
      </c>
      <c r="L55" s="2" t="s">
        <v>354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99.17</v>
      </c>
      <c r="H56" s="3">
        <v>3.7287510148442</v>
      </c>
      <c r="I56" s="3">
        <v>3.2690269712514999</v>
      </c>
      <c r="J56" s="3">
        <v>10.383561643836</v>
      </c>
      <c r="K56" s="3">
        <v>8.4214458131854997</v>
      </c>
      <c r="L56" s="2" t="s">
        <v>354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101.27</v>
      </c>
      <c r="H57" s="3">
        <v>2.7056752766217</v>
      </c>
      <c r="I57" s="3">
        <v>2.3231666607568</v>
      </c>
      <c r="J57" s="3">
        <v>4.3808219178082002</v>
      </c>
      <c r="K57" s="3">
        <v>4.0170495136230997</v>
      </c>
      <c r="L57" s="2" t="s">
        <v>354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105.52</v>
      </c>
      <c r="H58" s="3">
        <v>2.5444784462092001</v>
      </c>
      <c r="I58" s="3">
        <v>2.0168367497987001</v>
      </c>
      <c r="J58" s="3">
        <v>3.7178082191780999</v>
      </c>
      <c r="K58" s="3">
        <v>3.3706786688178001</v>
      </c>
      <c r="L58" s="2" t="s">
        <v>354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100.43</v>
      </c>
      <c r="H59" s="3">
        <v>2.8783073539637001</v>
      </c>
      <c r="I59" s="3">
        <v>2.5057628654534998</v>
      </c>
      <c r="J59" s="3">
        <v>5.1287671232876999</v>
      </c>
      <c r="K59" s="3">
        <v>4.6367400243852996</v>
      </c>
      <c r="L59" s="2" t="s">
        <v>354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94.96</v>
      </c>
      <c r="H60" s="3">
        <v>3.2823835755019002</v>
      </c>
      <c r="I60" s="3">
        <v>2.9325151237604001</v>
      </c>
      <c r="J60" s="3">
        <v>7.5506849315068001</v>
      </c>
      <c r="K60" s="3">
        <v>6.6092456330572</v>
      </c>
      <c r="L60" s="2" t="s">
        <v>354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99.86</v>
      </c>
      <c r="H61" s="3">
        <v>2.1246231656041998</v>
      </c>
      <c r="I61" s="3">
        <v>1.8562352940971001</v>
      </c>
      <c r="J61" s="3">
        <v>2.2109589041095998</v>
      </c>
      <c r="K61" s="3">
        <v>2.1184800865355999</v>
      </c>
      <c r="L61" s="2" t="s">
        <v>354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101.05</v>
      </c>
      <c r="H62" s="3">
        <v>2.2341633722775001</v>
      </c>
      <c r="I62" s="3">
        <v>1.8937046390562</v>
      </c>
      <c r="J62" s="3">
        <v>2.545205479452</v>
      </c>
      <c r="K62" s="3">
        <v>2.3959862650752002</v>
      </c>
      <c r="L62" s="2" t="s">
        <v>354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78.2</v>
      </c>
      <c r="H63" s="3">
        <v>4.2848939157201</v>
      </c>
      <c r="I63" s="3">
        <v>3.8826834858271999</v>
      </c>
      <c r="J63" s="3">
        <v>21.805479452055</v>
      </c>
      <c r="K63" s="3">
        <v>15.055571485125</v>
      </c>
      <c r="L63" s="2" t="s">
        <v>354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73.12</v>
      </c>
      <c r="H64" s="3">
        <v>3.8318911217942002</v>
      </c>
      <c r="I64" s="3">
        <v>3.684536958886</v>
      </c>
      <c r="J64" s="3">
        <v>11.8</v>
      </c>
      <c r="K64" s="3">
        <v>10.620871718668999</v>
      </c>
      <c r="L64" s="2" t="s">
        <v>354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65.44</v>
      </c>
      <c r="H65" s="3">
        <v>4.3603226153680996</v>
      </c>
      <c r="I65" s="3">
        <v>4.0008956401095004</v>
      </c>
      <c r="J65" s="3">
        <v>27.315068493150999</v>
      </c>
      <c r="K65" s="3">
        <v>18.023048000157999</v>
      </c>
      <c r="L65" s="2" t="s">
        <v>354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101.39</v>
      </c>
      <c r="H66" s="3">
        <v>2.1448395642100002</v>
      </c>
      <c r="I66" s="3">
        <v>1.7695523563991</v>
      </c>
      <c r="J66" s="3">
        <v>1.7534246575343</v>
      </c>
      <c r="K66" s="3">
        <v>1.6747081113697999</v>
      </c>
      <c r="L66" s="2" t="s">
        <v>354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99.84</v>
      </c>
      <c r="H67" s="3">
        <v>3.7004102912155998</v>
      </c>
      <c r="I67" s="3">
        <v>3.2319543435077001</v>
      </c>
      <c r="J67" s="3">
        <v>10.216438356164</v>
      </c>
      <c r="K67" s="3">
        <v>8.2260615139229003</v>
      </c>
      <c r="L67" s="2" t="s">
        <v>354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100.12</v>
      </c>
      <c r="H68" s="3">
        <v>2.0066132660015001</v>
      </c>
      <c r="I68" s="3">
        <v>1.7418340432902999</v>
      </c>
      <c r="J68" s="3">
        <v>1.1643835616438001</v>
      </c>
      <c r="K68" s="3">
        <v>1.1263062417617</v>
      </c>
      <c r="L68" s="2" t="s">
        <v>354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102.2</v>
      </c>
      <c r="H69" s="3">
        <v>3.0776787273597002</v>
      </c>
      <c r="I69" s="3">
        <v>2.6460056690121001</v>
      </c>
      <c r="J69" s="3">
        <v>6.1671232876711999</v>
      </c>
      <c r="K69" s="3">
        <v>5.3883987676725997</v>
      </c>
      <c r="L69" s="2" t="s">
        <v>354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73.459999999999994</v>
      </c>
      <c r="H70" s="3">
        <v>4.1384264962388002</v>
      </c>
      <c r="I70" s="3">
        <v>3.8632789716592</v>
      </c>
      <c r="J70" s="3">
        <v>15.802739726026999</v>
      </c>
      <c r="K70" s="3">
        <v>12.806256617877001</v>
      </c>
      <c r="L70" s="2" t="s">
        <v>354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105.52</v>
      </c>
      <c r="H71" s="3">
        <v>2.9235230744514</v>
      </c>
      <c r="I71" s="3">
        <v>2.4329758126845999</v>
      </c>
      <c r="J71" s="3">
        <v>5.5041095890411</v>
      </c>
      <c r="K71" s="3">
        <v>4.8691448154629002</v>
      </c>
      <c r="L71" s="2" t="s">
        <v>354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98.17</v>
      </c>
      <c r="H72" s="3">
        <v>1.9783113781454</v>
      </c>
      <c r="I72" s="3">
        <v>1.8638157183473001</v>
      </c>
      <c r="J72" s="3">
        <v>1.6684931506848999</v>
      </c>
      <c r="K72" s="3">
        <v>1.6235153994082001</v>
      </c>
      <c r="L72" s="2" t="s">
        <v>354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92.8</v>
      </c>
      <c r="H73" s="3">
        <v>2.4834344471612999</v>
      </c>
      <c r="I73" s="3">
        <v>2.4076526407861998</v>
      </c>
      <c r="J73" s="3">
        <v>3.7561643835615999</v>
      </c>
      <c r="K73" s="3">
        <v>3.6330059701370998</v>
      </c>
      <c r="L73" s="2" t="s">
        <v>354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105.03</v>
      </c>
      <c r="H74" s="3">
        <v>2.6885157599901</v>
      </c>
      <c r="I74" s="3">
        <v>2.2160642398069998</v>
      </c>
      <c r="J74" s="3">
        <v>4.5863013698630004</v>
      </c>
      <c r="K74" s="3">
        <v>4.0892960666324996</v>
      </c>
      <c r="L74" s="2" t="s">
        <v>354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101.12</v>
      </c>
      <c r="H75" s="3">
        <v>2.2319952113422001</v>
      </c>
      <c r="I75" s="3">
        <v>1.891958819713</v>
      </c>
      <c r="J75" s="3">
        <v>2.4164383561644001</v>
      </c>
      <c r="K75" s="3">
        <v>2.2997988917301999</v>
      </c>
      <c r="L75" s="2" t="s">
        <v>354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102.73</v>
      </c>
      <c r="H76" s="3">
        <v>2.996406830138</v>
      </c>
      <c r="I76" s="3">
        <v>2.5586421723367998</v>
      </c>
      <c r="J76" s="3">
        <v>5.7561643835616003</v>
      </c>
      <c r="K76" s="3">
        <v>5.0808635084549998</v>
      </c>
      <c r="L76" s="2" t="s">
        <v>354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101.572</v>
      </c>
      <c r="H77" s="3">
        <v>2.0370335977245002</v>
      </c>
      <c r="I77" s="3">
        <v>1.5710189732763</v>
      </c>
      <c r="J77" s="3">
        <v>0.91506849315067995</v>
      </c>
      <c r="K77" s="3">
        <v>0.88800317010872998</v>
      </c>
      <c r="L77" s="2" t="s">
        <v>354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100.9</v>
      </c>
      <c r="H78" s="3">
        <v>2.5808905460205001</v>
      </c>
      <c r="I78" s="3">
        <v>2.2288421269749001</v>
      </c>
      <c r="J78" s="3">
        <v>4.0849315068493004</v>
      </c>
      <c r="K78" s="3">
        <v>3.7488442600746001</v>
      </c>
      <c r="L78" s="2" t="s">
        <v>354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97.34</v>
      </c>
      <c r="H79" s="3">
        <v>2.1339566492408002</v>
      </c>
      <c r="I79" s="3">
        <v>2.0121731735832999</v>
      </c>
      <c r="J79" s="3">
        <v>2.3342465753425001</v>
      </c>
      <c r="K79" s="3">
        <v>2.2620149633464002</v>
      </c>
      <c r="L79" s="2" t="s">
        <v>354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100.76</v>
      </c>
      <c r="H80" s="3">
        <v>2.4051935332920999</v>
      </c>
      <c r="I80" s="3">
        <v>2.0603663307705</v>
      </c>
      <c r="J80" s="3">
        <v>3.0849315068493</v>
      </c>
      <c r="K80" s="3">
        <v>2.9003306644348998</v>
      </c>
      <c r="L80" s="2" t="s">
        <v>354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104.26</v>
      </c>
      <c r="H81" s="3">
        <v>2.8098461227563001</v>
      </c>
      <c r="I81" s="3">
        <v>2.3263844972109</v>
      </c>
      <c r="J81" s="3">
        <v>5.0849315068493004</v>
      </c>
      <c r="K81" s="3">
        <v>4.5025126624244001</v>
      </c>
      <c r="L81" s="2" t="s">
        <v>354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94.44</v>
      </c>
      <c r="H82" s="3">
        <v>2.3405210028883001</v>
      </c>
      <c r="I82" s="3">
        <v>2.2543140561430999</v>
      </c>
      <c r="J82" s="3">
        <v>3.1671232876711999</v>
      </c>
      <c r="K82" s="3">
        <v>3.0734703840748998</v>
      </c>
      <c r="L82" s="2" t="s">
        <v>354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102.68</v>
      </c>
      <c r="H83" s="3">
        <v>2.1886059816900998</v>
      </c>
      <c r="I83" s="3">
        <v>1.7603075894264</v>
      </c>
      <c r="J83" s="3">
        <v>2.1643835616437999</v>
      </c>
      <c r="K83" s="3">
        <v>2.0380306820448002</v>
      </c>
      <c r="L83" s="2" t="s">
        <v>354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</v>
      </c>
      <c r="H84" s="3">
        <v>2.0943403178812998</v>
      </c>
      <c r="I84" s="3">
        <v>1.617799033534</v>
      </c>
      <c r="J84" s="3">
        <v>1.3342465753424999</v>
      </c>
      <c r="K84" s="3">
        <v>1.2796620633744</v>
      </c>
      <c r="L84" s="2" t="s">
        <v>354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100.242</v>
      </c>
      <c r="H85" s="3">
        <v>1.9434653914224</v>
      </c>
      <c r="I85" s="3">
        <v>1.6386571076305001</v>
      </c>
      <c r="J85" s="3">
        <v>0.50136986301370001</v>
      </c>
      <c r="K85" s="3">
        <v>0.49727704428118003</v>
      </c>
      <c r="L85" s="2" t="s">
        <v>354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97.15</v>
      </c>
      <c r="H86" s="3">
        <v>4.5216997560222003</v>
      </c>
      <c r="I86" s="3">
        <v>3.9617784097933</v>
      </c>
      <c r="J86" s="3">
        <v>29.397260273973</v>
      </c>
      <c r="K86" s="3">
        <v>15.962639769058001</v>
      </c>
      <c r="L86" s="2" t="s">
        <v>354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100.91200000000001</v>
      </c>
      <c r="H87" s="3">
        <v>2.0764662365992002</v>
      </c>
      <c r="I87" s="3">
        <v>1.6460823477216</v>
      </c>
      <c r="J87" s="3">
        <v>0.66849315068492998</v>
      </c>
      <c r="K87" s="3">
        <v>0.64660975419861</v>
      </c>
      <c r="L87" s="2" t="s">
        <v>354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94.5</v>
      </c>
      <c r="H88" s="3">
        <v>2.2780652259026</v>
      </c>
      <c r="I88" s="3">
        <v>2.2393226549695</v>
      </c>
      <c r="J88" s="3">
        <v>2.8328767123288001</v>
      </c>
      <c r="K88" s="3">
        <v>2.7603007574111</v>
      </c>
      <c r="L88" s="2" t="s">
        <v>354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80.13</v>
      </c>
      <c r="H89" s="3">
        <v>3.7294880717090999</v>
      </c>
      <c r="I89" s="3">
        <v>3.5180721465775</v>
      </c>
      <c r="J89" s="3">
        <v>10.8</v>
      </c>
      <c r="K89" s="3">
        <v>9.5333518955792993</v>
      </c>
      <c r="L89" s="2" t="s">
        <v>354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96.85</v>
      </c>
      <c r="H90" s="3">
        <v>4.1676289797086001</v>
      </c>
      <c r="I90" s="3">
        <v>3.6640097717088</v>
      </c>
      <c r="J90" s="3">
        <v>15.389041095890001</v>
      </c>
      <c r="K90" s="3">
        <v>11.165256369595999</v>
      </c>
      <c r="L90" s="2" t="s">
        <v>354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99.778999999999996</v>
      </c>
      <c r="H91" s="3">
        <v>2.0660680370361999</v>
      </c>
      <c r="I91" s="3">
        <v>1.9048080452039</v>
      </c>
      <c r="J91" s="3">
        <v>0.24931506849314999</v>
      </c>
      <c r="K91" s="3">
        <v>0.24429529772601</v>
      </c>
      <c r="L91" s="2" t="s">
        <v>354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9.8493150684930999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107.45</v>
      </c>
      <c r="H93" s="3">
        <v>2.3940033037956998</v>
      </c>
      <c r="I93" s="3">
        <v>1.8203977087534</v>
      </c>
      <c r="J93" s="3">
        <v>3.2986301369862998</v>
      </c>
      <c r="K93" s="3">
        <v>3.0023018134811998</v>
      </c>
      <c r="L93" s="2" t="s">
        <v>354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100.81</v>
      </c>
      <c r="H94" s="3">
        <v>4.4952181380656002</v>
      </c>
      <c r="I94" s="3">
        <v>3.9238925237267002</v>
      </c>
      <c r="J94" s="3">
        <v>28.397260273973</v>
      </c>
      <c r="K94" s="3">
        <v>15.570928884458</v>
      </c>
      <c r="L94" s="2" t="s">
        <v>354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99.91</v>
      </c>
      <c r="H95" s="3">
        <v>3.2890659075142001</v>
      </c>
      <c r="I95" s="3">
        <v>2.8765898724196002</v>
      </c>
      <c r="J95" s="3">
        <v>7.1698630136985999</v>
      </c>
      <c r="K95" s="3">
        <v>6.2356271518412001</v>
      </c>
      <c r="L95" s="2" t="s">
        <v>354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100.761</v>
      </c>
      <c r="H96" s="3">
        <v>2.0673873639585998</v>
      </c>
      <c r="I96" s="3">
        <v>1.6554516848231</v>
      </c>
      <c r="J96" s="3">
        <v>0.70410958904109999</v>
      </c>
      <c r="K96" s="3">
        <v>0.68227577737036005</v>
      </c>
      <c r="L96" s="2" t="s">
        <v>354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100.538</v>
      </c>
      <c r="H97" s="3">
        <v>2.0766847706228999</v>
      </c>
      <c r="I97" s="3">
        <v>1.635286522633</v>
      </c>
      <c r="J97" s="3">
        <v>0.37260273972602997</v>
      </c>
      <c r="K97" s="3">
        <v>0.36507936177495998</v>
      </c>
      <c r="L97" s="2" t="s">
        <v>354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99.971999999999994</v>
      </c>
      <c r="H98" s="3">
        <v>2.0453483864819</v>
      </c>
      <c r="I98" s="3">
        <v>1.8112132682843001</v>
      </c>
      <c r="J98" s="3">
        <v>0.12602739726027001</v>
      </c>
      <c r="K98" s="3">
        <v>0.12350857673835999</v>
      </c>
      <c r="L98" s="2" t="s">
        <v>354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101.29</v>
      </c>
      <c r="H99" s="3">
        <v>2.0921923705009</v>
      </c>
      <c r="I99" s="3">
        <v>1.7042946504898</v>
      </c>
      <c r="J99" s="3">
        <v>1.2849315068492999</v>
      </c>
      <c r="K99" s="3">
        <v>1.2366106804449</v>
      </c>
      <c r="L99" s="2" t="s">
        <v>354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100.11</v>
      </c>
      <c r="H100" s="3">
        <v>3.1497063814322002</v>
      </c>
      <c r="I100" s="3">
        <v>2.7511851297807999</v>
      </c>
      <c r="J100" s="3">
        <v>6.5041095890411</v>
      </c>
      <c r="K100" s="3">
        <v>5.7557774276439</v>
      </c>
      <c r="L100" s="2" t="s">
        <v>354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100.7</v>
      </c>
      <c r="H101" s="3">
        <v>2.1552555732960998</v>
      </c>
      <c r="I101" s="3">
        <v>1.8299926830969</v>
      </c>
      <c r="J101" s="3">
        <v>1.7808219178082001</v>
      </c>
      <c r="K101" s="3">
        <v>1.7066527587222</v>
      </c>
      <c r="L101" s="2" t="s">
        <v>354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103.02</v>
      </c>
      <c r="H102" s="3">
        <v>2.3155003485918</v>
      </c>
      <c r="I102" s="3">
        <v>1.8815570315321</v>
      </c>
      <c r="J102" s="3">
        <v>2.8794520547945002</v>
      </c>
      <c r="K102" s="3">
        <v>2.7014278087607999</v>
      </c>
      <c r="L102" s="2" t="s">
        <v>354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103.5</v>
      </c>
      <c r="H103" s="3">
        <v>2.9535163061530998</v>
      </c>
      <c r="I103" s="3">
        <v>2.4916302490872</v>
      </c>
      <c r="J103" s="3">
        <v>4.8054794520547999</v>
      </c>
      <c r="K103" s="3">
        <v>4.2972240330798002</v>
      </c>
      <c r="L103" s="2" t="s">
        <v>354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103.5</v>
      </c>
      <c r="H104" s="3">
        <v>3.0891707842714999</v>
      </c>
      <c r="I104" s="3">
        <v>2.6151395010349998</v>
      </c>
      <c r="J104" s="3">
        <v>4.8054794520547999</v>
      </c>
      <c r="K104" s="3">
        <v>4.2923549206127003</v>
      </c>
      <c r="L104" s="2" t="s">
        <v>354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105.53</v>
      </c>
      <c r="H105" s="3">
        <v>2.6480393944109002</v>
      </c>
      <c r="I105" s="3">
        <v>2.1148619383442</v>
      </c>
      <c r="J105" s="3">
        <v>3.4054794520548</v>
      </c>
      <c r="K105" s="3">
        <v>3.1033468116757001</v>
      </c>
      <c r="L105" s="2" t="s">
        <v>354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105.53</v>
      </c>
      <c r="H106" s="3">
        <v>2.7869429645160002</v>
      </c>
      <c r="I106" s="3">
        <v>2.2430195313539998</v>
      </c>
      <c r="J106" s="3">
        <v>3.4054794520548</v>
      </c>
      <c r="K106" s="3">
        <v>3.0994903329421999</v>
      </c>
      <c r="L106" s="2" t="s">
        <v>354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103.28</v>
      </c>
      <c r="H107" s="3">
        <v>2.3542884440892999</v>
      </c>
      <c r="I107" s="3">
        <v>1.8637324856212001</v>
      </c>
      <c r="J107" s="3">
        <v>2.0767123287670999</v>
      </c>
      <c r="K107" s="3">
        <v>1.9466112336515</v>
      </c>
      <c r="L107" s="2" t="s">
        <v>354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103.28</v>
      </c>
      <c r="H108" s="3">
        <v>2.5878320303154001</v>
      </c>
      <c r="I108" s="3">
        <v>2.0831020791255002</v>
      </c>
      <c r="J108" s="3">
        <v>2.0767123287670999</v>
      </c>
      <c r="K108" s="3">
        <v>1.9422983799352</v>
      </c>
      <c r="L108" s="2" t="s">
        <v>354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103.13</v>
      </c>
      <c r="H109" s="3">
        <v>3.0251041474073999</v>
      </c>
      <c r="I109" s="3">
        <v>2.5662755196866001</v>
      </c>
      <c r="J109" s="3">
        <v>4.9972602739726</v>
      </c>
      <c r="K109" s="3">
        <v>4.4759712293898</v>
      </c>
      <c r="L109" s="2" t="s">
        <v>354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103.13</v>
      </c>
      <c r="H110" s="3">
        <v>3.1739580907124001</v>
      </c>
      <c r="I110" s="3">
        <v>2.7012012002633998</v>
      </c>
      <c r="J110" s="3">
        <v>4.9972602739726</v>
      </c>
      <c r="K110" s="3">
        <v>4.4704731912366</v>
      </c>
      <c r="L110" s="2" t="s">
        <v>354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100.69</v>
      </c>
      <c r="H111" s="3">
        <v>4.8182176327163999</v>
      </c>
      <c r="I111" s="3">
        <v>4.4881251789962002</v>
      </c>
      <c r="J111" s="3">
        <v>31.019178082191999</v>
      </c>
      <c r="K111" s="3">
        <v>5.7715842698966</v>
      </c>
      <c r="L111" s="2" t="s">
        <v>354</v>
      </c>
      <c r="M111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3F74-4108-A546-8E21-226358E356E5}">
  <dimension ref="A1:M111"/>
  <sheetViews>
    <sheetView workbookViewId="0">
      <selection sqref="A1:XFD1048576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116.98</v>
      </c>
      <c r="H2" s="3">
        <v>3.2638255450853002</v>
      </c>
      <c r="I2" s="3">
        <v>2.5998113454327001</v>
      </c>
      <c r="J2" s="3">
        <v>7.7123287671233003</v>
      </c>
      <c r="K2" s="3">
        <v>6.1677021423504996</v>
      </c>
      <c r="L2" s="2" t="s">
        <v>355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100.37</v>
      </c>
      <c r="H3" s="3">
        <v>2.0235717654302001</v>
      </c>
      <c r="I3" s="3">
        <v>1.7321033108841</v>
      </c>
      <c r="J3" s="3">
        <v>2.0356164383561999</v>
      </c>
      <c r="K3" s="3">
        <v>1.9426962334717</v>
      </c>
      <c r="L3" s="2" t="s">
        <v>355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99.5</v>
      </c>
      <c r="H4" s="3">
        <v>2.2008775988332001</v>
      </c>
      <c r="I4" s="3">
        <v>1.943120776655</v>
      </c>
      <c r="J4" s="3">
        <v>2.7068493150684998</v>
      </c>
      <c r="K4" s="3">
        <v>2.5766001301055002</v>
      </c>
      <c r="L4" s="2" t="s">
        <v>355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102.29</v>
      </c>
      <c r="H5" s="3">
        <v>2.4372032924138001</v>
      </c>
      <c r="I5" s="3">
        <v>2.0632082459285002</v>
      </c>
      <c r="J5" s="3">
        <v>4.2054794520548002</v>
      </c>
      <c r="K5" s="3">
        <v>3.8583474605491999</v>
      </c>
      <c r="L5" s="2" t="s">
        <v>355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101.99</v>
      </c>
      <c r="H6" s="3">
        <v>4.0019721453311998</v>
      </c>
      <c r="I6" s="3">
        <v>3.4786609861427999</v>
      </c>
      <c r="J6" s="3">
        <v>14.378082191781001</v>
      </c>
      <c r="K6" s="3">
        <v>10.535969834516001</v>
      </c>
      <c r="L6" s="2" t="s">
        <v>355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86.7</v>
      </c>
      <c r="H7" s="3">
        <v>2.9837319135759999</v>
      </c>
      <c r="I7" s="3">
        <v>2.9011107317709999</v>
      </c>
      <c r="J7" s="3">
        <v>6.2054794520548002</v>
      </c>
      <c r="K7" s="3">
        <v>5.9024918655569998</v>
      </c>
      <c r="L7" s="2" t="s">
        <v>355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108.08</v>
      </c>
      <c r="H8" s="3">
        <v>4.1766089403919997</v>
      </c>
      <c r="I8" s="3">
        <v>3.5986147172726</v>
      </c>
      <c r="J8" s="3">
        <v>19.301369863013999</v>
      </c>
      <c r="K8" s="3">
        <v>12.478523051625</v>
      </c>
      <c r="L8" s="2" t="s">
        <v>355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103.99</v>
      </c>
      <c r="H9" s="3">
        <v>2.6233407003418998</v>
      </c>
      <c r="I9" s="3">
        <v>2.1878777629209001</v>
      </c>
      <c r="J9" s="3">
        <v>4.7863013698629997</v>
      </c>
      <c r="K9" s="3">
        <v>4.3127665260482999</v>
      </c>
      <c r="L9" s="2" t="s">
        <v>355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91.43</v>
      </c>
      <c r="H10" s="3">
        <v>3.0795102875775</v>
      </c>
      <c r="I10" s="3">
        <v>2.8572301014746002</v>
      </c>
      <c r="J10" s="3">
        <v>6.7890410958903997</v>
      </c>
      <c r="K10" s="3">
        <v>6.2155911768990002</v>
      </c>
      <c r="L10" s="2" t="s">
        <v>355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99.64</v>
      </c>
      <c r="H11" s="3">
        <v>1.9622081464526</v>
      </c>
      <c r="I11" s="3">
        <v>1.7598656453090999</v>
      </c>
      <c r="J11" s="3">
        <v>1.0356164383562001</v>
      </c>
      <c r="K11" s="3">
        <v>1.0040407598323</v>
      </c>
      <c r="L11" s="2" t="s">
        <v>355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87.11</v>
      </c>
      <c r="H12" s="3">
        <v>3.6836867377065001</v>
      </c>
      <c r="I12" s="3">
        <v>3.3722457487120998</v>
      </c>
      <c r="J12" s="3">
        <v>11.295890410959</v>
      </c>
      <c r="K12" s="3">
        <v>9.5207889628570008</v>
      </c>
      <c r="L12" s="2" t="s">
        <v>355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88.83</v>
      </c>
      <c r="H13" s="3">
        <v>4.2584875836186997</v>
      </c>
      <c r="I13" s="3">
        <v>3.7827973503779</v>
      </c>
      <c r="J13" s="3">
        <v>22.8</v>
      </c>
      <c r="K13" s="3">
        <v>14.742385078492999</v>
      </c>
      <c r="L13" s="2" t="s">
        <v>355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90.55</v>
      </c>
      <c r="H14" s="3">
        <v>3.9859021884180001</v>
      </c>
      <c r="I14" s="3">
        <v>3.5661948167182</v>
      </c>
      <c r="J14" s="3">
        <v>14.794520547945</v>
      </c>
      <c r="K14" s="3">
        <v>11.271372787981999</v>
      </c>
      <c r="L14" s="2" t="s">
        <v>355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98.326999999999998</v>
      </c>
      <c r="H15" s="3">
        <v>1.9322636798818</v>
      </c>
      <c r="I15" s="3">
        <v>1.9195950812533999</v>
      </c>
      <c r="J15" s="3">
        <v>0.86849315068493005</v>
      </c>
      <c r="K15" s="3">
        <v>0.85224274398683997</v>
      </c>
      <c r="L15" s="2" t="s">
        <v>355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59.49</v>
      </c>
      <c r="H16" s="3">
        <v>4.1439760694240997</v>
      </c>
      <c r="I16" s="3">
        <v>3.7442028406394998</v>
      </c>
      <c r="J16" s="3">
        <v>46.816438356163999</v>
      </c>
      <c r="K16" s="3">
        <v>23.089923022680001</v>
      </c>
      <c r="L16" s="2" t="s">
        <v>355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94.11</v>
      </c>
      <c r="H17" s="3">
        <v>3.8713484483570002</v>
      </c>
      <c r="I17" s="3">
        <v>3.4410894731908002</v>
      </c>
      <c r="J17" s="3">
        <v>12.791780821918</v>
      </c>
      <c r="K17" s="3">
        <v>10.021743464182</v>
      </c>
      <c r="L17" s="2" t="s">
        <v>355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98.32</v>
      </c>
      <c r="H18" s="3">
        <v>2.0308498905836001</v>
      </c>
      <c r="I18" s="3">
        <v>1.8905301936731</v>
      </c>
      <c r="J18" s="3">
        <v>1.8684931506849001</v>
      </c>
      <c r="K18" s="3">
        <v>1.8151230466498001</v>
      </c>
      <c r="L18" s="2" t="s">
        <v>355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103.02</v>
      </c>
      <c r="H19" s="3">
        <v>2.5854953028507</v>
      </c>
      <c r="I19" s="3">
        <v>2.1657885183392001</v>
      </c>
      <c r="J19" s="3">
        <v>4.1205479452054998</v>
      </c>
      <c r="K19" s="3">
        <v>3.7466419565478</v>
      </c>
      <c r="L19" s="2" t="s">
        <v>355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103.09</v>
      </c>
      <c r="H20" s="3">
        <v>3.4774881672447999</v>
      </c>
      <c r="I20" s="3">
        <v>2.99569981506</v>
      </c>
      <c r="J20" s="3">
        <v>9.1232876712328999</v>
      </c>
      <c r="K20" s="3">
        <v>7.4420974499444004</v>
      </c>
      <c r="L20" s="2" t="s">
        <v>355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93.99</v>
      </c>
      <c r="H21" s="3">
        <v>2.8470415434622001</v>
      </c>
      <c r="I21" s="3">
        <v>2.6260290973856999</v>
      </c>
      <c r="J21" s="3">
        <v>5.5397260273973004</v>
      </c>
      <c r="K21" s="3">
        <v>5.1222041192415997</v>
      </c>
      <c r="L21" s="2" t="s">
        <v>355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87.8</v>
      </c>
      <c r="H22" s="3">
        <v>3.0418561157958002</v>
      </c>
      <c r="I22" s="3">
        <v>2.9116415241723002</v>
      </c>
      <c r="J22" s="3">
        <v>6.5397260273973004</v>
      </c>
      <c r="K22" s="3">
        <v>6.1227657507632003</v>
      </c>
      <c r="L22" s="2" t="s">
        <v>355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104.48</v>
      </c>
      <c r="H23" s="3">
        <v>2.3525952440720999</v>
      </c>
      <c r="I23" s="3">
        <v>1.8853857256627999</v>
      </c>
      <c r="J23" s="3">
        <v>3.2054794520547998</v>
      </c>
      <c r="K23" s="3">
        <v>2.9517262510796001</v>
      </c>
      <c r="L23" s="2" t="s">
        <v>355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112.21</v>
      </c>
      <c r="H24" s="3">
        <v>3.4682112548084998</v>
      </c>
      <c r="I24" s="3">
        <v>2.8736472274247999</v>
      </c>
      <c r="J24" s="3">
        <v>9.2082191780821994</v>
      </c>
      <c r="K24" s="3">
        <v>7.2569700716434999</v>
      </c>
      <c r="L24" s="2" t="s">
        <v>355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103.07</v>
      </c>
      <c r="H25" s="3">
        <v>3.7041440858144998</v>
      </c>
      <c r="I25" s="3">
        <v>3.2052245806886002</v>
      </c>
      <c r="J25" s="3">
        <v>11.715068493151</v>
      </c>
      <c r="K25" s="3">
        <v>9.0677624981171991</v>
      </c>
      <c r="L25" s="2" t="s">
        <v>355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111.79</v>
      </c>
      <c r="H26" s="3">
        <v>3.9457812303552</v>
      </c>
      <c r="I26" s="3">
        <v>3.3521172364475</v>
      </c>
      <c r="J26" s="3">
        <v>14.210958904110001</v>
      </c>
      <c r="K26" s="3">
        <v>10.048827826117</v>
      </c>
      <c r="L26" s="2" t="s">
        <v>355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98.94</v>
      </c>
      <c r="H27" s="3">
        <v>1.9617526097528999</v>
      </c>
      <c r="I27" s="3">
        <v>1.8030827997237999</v>
      </c>
      <c r="J27" s="3">
        <v>1.5369863013699001</v>
      </c>
      <c r="K27" s="3">
        <v>1.489068988716</v>
      </c>
      <c r="L27" s="2" t="s">
        <v>355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101.53</v>
      </c>
      <c r="H28" s="3">
        <v>2.3574686517722001</v>
      </c>
      <c r="I28" s="3">
        <v>2.0025905745124999</v>
      </c>
      <c r="J28" s="3">
        <v>3.5397260273972999</v>
      </c>
      <c r="K28" s="3">
        <v>3.2761467696717999</v>
      </c>
      <c r="L28" s="2" t="s">
        <v>355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98.989000000000004</v>
      </c>
      <c r="H29" s="3">
        <v>1.9147568476504</v>
      </c>
      <c r="I29" s="3">
        <v>1.8446356331214999</v>
      </c>
      <c r="J29" s="3">
        <v>0.70684931506849003</v>
      </c>
      <c r="K29" s="3">
        <v>0.69516313429221999</v>
      </c>
      <c r="L29" s="2" t="s">
        <v>355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97.76</v>
      </c>
      <c r="H30" s="3">
        <v>1.892737500615</v>
      </c>
      <c r="I30" s="3">
        <v>1.8906255359502</v>
      </c>
      <c r="J30" s="3">
        <v>1.2027397260274</v>
      </c>
      <c r="K30" s="3">
        <v>1.1857755593963999</v>
      </c>
      <c r="L30" s="2" t="s">
        <v>355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102.59</v>
      </c>
      <c r="H31" s="3">
        <v>3.5601401378192001</v>
      </c>
      <c r="I31" s="3">
        <v>3.0787202329143</v>
      </c>
      <c r="J31" s="3">
        <v>9.7123287671232994</v>
      </c>
      <c r="K31" s="3">
        <v>7.8507244859087999</v>
      </c>
      <c r="L31" s="2" t="s">
        <v>355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111.4</v>
      </c>
      <c r="H32" s="3">
        <v>4.0310435822653998</v>
      </c>
      <c r="I32" s="3">
        <v>3.4348994659397998</v>
      </c>
      <c r="J32" s="3">
        <v>15.298630136986</v>
      </c>
      <c r="K32" s="3">
        <v>10.607599598957</v>
      </c>
      <c r="L32" s="2" t="s">
        <v>355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101.923</v>
      </c>
      <c r="H33" s="3">
        <v>1.9916076186874001</v>
      </c>
      <c r="I33" s="3">
        <v>1.4446613943079001</v>
      </c>
      <c r="J33" s="3">
        <v>0.78356164383561999</v>
      </c>
      <c r="K33" s="3">
        <v>0.76050347262521001</v>
      </c>
      <c r="L33" s="2" t="s">
        <v>355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86.79</v>
      </c>
      <c r="H34" s="3">
        <v>4.2339886140883998</v>
      </c>
      <c r="I34" s="3">
        <v>3.7810945987182998</v>
      </c>
      <c r="J34" s="3">
        <v>21.301369863013999</v>
      </c>
      <c r="K34" s="3">
        <v>14.321559071974001</v>
      </c>
      <c r="L34" s="2" t="s">
        <v>355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100.035</v>
      </c>
      <c r="H35" s="3">
        <v>1.9029809202006001</v>
      </c>
      <c r="I35" s="3">
        <v>1.6570730825191</v>
      </c>
      <c r="J35" s="3">
        <v>0.53698630136986003</v>
      </c>
      <c r="K35" s="3">
        <v>0.52221179374160998</v>
      </c>
      <c r="L35" s="2" t="s">
        <v>355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70.88</v>
      </c>
      <c r="H36" s="3">
        <v>4.3519408708571001</v>
      </c>
      <c r="I36" s="3">
        <v>3.8932029086179001</v>
      </c>
      <c r="J36" s="3">
        <v>41.810958904110002</v>
      </c>
      <c r="K36" s="3">
        <v>20.496828376519002</v>
      </c>
      <c r="L36" s="2" t="s">
        <v>355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93.81</v>
      </c>
      <c r="H37" s="3">
        <v>3.3342050779825998</v>
      </c>
      <c r="I37" s="3">
        <v>3.0078617557139999</v>
      </c>
      <c r="J37" s="3">
        <v>8.2931506849315006</v>
      </c>
      <c r="K37" s="3">
        <v>7.2434091387543003</v>
      </c>
      <c r="L37" s="2" t="s">
        <v>355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90.84</v>
      </c>
      <c r="H38" s="3">
        <v>3.8697650015853</v>
      </c>
      <c r="I38" s="3">
        <v>3.4721815864212</v>
      </c>
      <c r="J38" s="3">
        <v>13.295890410959</v>
      </c>
      <c r="K38" s="3">
        <v>10.482561464469001</v>
      </c>
      <c r="L38" s="2" t="s">
        <v>355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98.71</v>
      </c>
      <c r="H39" s="3">
        <v>3.5355524895614998</v>
      </c>
      <c r="I39" s="3">
        <v>3.105050096207</v>
      </c>
      <c r="J39" s="3">
        <v>9.7890410958904006</v>
      </c>
      <c r="K39" s="3">
        <v>8.0716760430820997</v>
      </c>
      <c r="L39" s="2" t="s">
        <v>355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93.91</v>
      </c>
      <c r="H40" s="3">
        <v>4.2961602751571002</v>
      </c>
      <c r="I40" s="3">
        <v>3.7844269381989002</v>
      </c>
      <c r="J40" s="3">
        <v>24.304109589041001</v>
      </c>
      <c r="K40" s="3">
        <v>14.930073762117001</v>
      </c>
      <c r="L40" s="2" t="s">
        <v>355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94.06</v>
      </c>
      <c r="H41" s="3">
        <v>2.6748290905609</v>
      </c>
      <c r="I41" s="3">
        <v>2.4980379424146002</v>
      </c>
      <c r="J41" s="3">
        <v>4.8712328767123001</v>
      </c>
      <c r="K41" s="3">
        <v>4.5942465841846003</v>
      </c>
      <c r="L41" s="2" t="s">
        <v>355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72.25</v>
      </c>
      <c r="H42" s="3">
        <v>4.2933095254735996</v>
      </c>
      <c r="I42" s="3">
        <v>3.9080990852598001</v>
      </c>
      <c r="J42" s="3">
        <v>25.304109589041001</v>
      </c>
      <c r="K42" s="3">
        <v>16.829260779864001</v>
      </c>
      <c r="L42" s="2" t="s">
        <v>355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60.69</v>
      </c>
      <c r="H43" s="3">
        <v>4.2185417111771999</v>
      </c>
      <c r="I43" s="3">
        <v>3.9204180907635</v>
      </c>
      <c r="J43" s="3">
        <v>26.304109589041001</v>
      </c>
      <c r="K43" s="3">
        <v>18.633022201944001</v>
      </c>
      <c r="L43" s="2" t="s">
        <v>355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103.74</v>
      </c>
      <c r="H44" s="3">
        <v>4.1954606370296004</v>
      </c>
      <c r="I44" s="3">
        <v>3.640562004225</v>
      </c>
      <c r="J44" s="3">
        <v>18.298630136985999</v>
      </c>
      <c r="K44" s="3">
        <v>12.197358162596</v>
      </c>
      <c r="L44" s="2" t="s">
        <v>355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106.05</v>
      </c>
      <c r="H45" s="3">
        <v>3.4242174449298002</v>
      </c>
      <c r="I45" s="3">
        <v>2.9093015203321002</v>
      </c>
      <c r="J45" s="3">
        <v>8.7890410958904006</v>
      </c>
      <c r="K45" s="3">
        <v>7.1801490282543998</v>
      </c>
      <c r="L45" s="2" t="s">
        <v>355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89.23</v>
      </c>
      <c r="H46" s="3">
        <v>2.9293117799750998</v>
      </c>
      <c r="I46" s="3">
        <v>2.8078256391594998</v>
      </c>
      <c r="J46" s="3">
        <v>5.8712328767123001</v>
      </c>
      <c r="K46" s="3">
        <v>5.5518126672907</v>
      </c>
      <c r="L46" s="2" t="s">
        <v>355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86.45</v>
      </c>
      <c r="H47" s="3">
        <v>3.1307328655286999</v>
      </c>
      <c r="I47" s="3">
        <v>2.9905141118780998</v>
      </c>
      <c r="J47" s="3">
        <v>7.0410958904110004</v>
      </c>
      <c r="K47" s="3">
        <v>6.5668635877766999</v>
      </c>
      <c r="L47" s="2" t="s">
        <v>355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107.84</v>
      </c>
      <c r="H48" s="3">
        <v>3.2949916059579998</v>
      </c>
      <c r="I48" s="3">
        <v>2.7613370895196998</v>
      </c>
      <c r="J48" s="3">
        <v>7.9561643835615996</v>
      </c>
      <c r="K48" s="3">
        <v>6.6225890347737</v>
      </c>
      <c r="L48" s="2" t="s">
        <v>355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107.55</v>
      </c>
      <c r="H49" s="3">
        <v>1.9463845213463999</v>
      </c>
      <c r="I49" s="3">
        <v>1.0806600056355999</v>
      </c>
      <c r="J49" s="3">
        <v>1.4547945205479</v>
      </c>
      <c r="K49" s="3">
        <v>1.3810036749437</v>
      </c>
      <c r="L49" s="2" t="s">
        <v>355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110.37</v>
      </c>
      <c r="H50" s="3">
        <v>2.1419616679505</v>
      </c>
      <c r="I50" s="3">
        <v>1.3727205424953</v>
      </c>
      <c r="J50" s="3">
        <v>2.454794520548</v>
      </c>
      <c r="K50" s="3">
        <v>2.2628554278977999</v>
      </c>
      <c r="L50" s="2" t="s">
        <v>355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111.34</v>
      </c>
      <c r="H51" s="3">
        <v>2.5511920690849998</v>
      </c>
      <c r="I51" s="3">
        <v>1.9286996232505</v>
      </c>
      <c r="J51" s="3">
        <v>4.4575342465752996</v>
      </c>
      <c r="K51" s="3">
        <v>3.9501561195925001</v>
      </c>
      <c r="L51" s="2" t="s">
        <v>355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</v>
      </c>
      <c r="H52" s="3">
        <v>2.8891671589399999</v>
      </c>
      <c r="I52" s="3">
        <v>2.1973149232737001</v>
      </c>
      <c r="J52" s="3">
        <v>5.9534246575342999</v>
      </c>
      <c r="K52" s="3">
        <v>5.0164339178884996</v>
      </c>
      <c r="L52" s="2" t="s">
        <v>355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99.97</v>
      </c>
      <c r="H53" s="3">
        <v>2.1347162416779999</v>
      </c>
      <c r="I53" s="3">
        <v>1.9652705125951999</v>
      </c>
      <c r="J53" s="3">
        <v>3.5616438356164001E-2</v>
      </c>
      <c r="K53" s="3">
        <v>3.7555220502531003E-2</v>
      </c>
      <c r="L53" s="2" t="s">
        <v>355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91.25</v>
      </c>
      <c r="H54" s="3">
        <v>2.7851304556412</v>
      </c>
      <c r="I54" s="3">
        <v>2.6533826468377999</v>
      </c>
      <c r="J54" s="3">
        <v>5.2054794520548002</v>
      </c>
      <c r="K54" s="3">
        <v>4.9319385182810001</v>
      </c>
      <c r="L54" s="2" t="s">
        <v>355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107.26</v>
      </c>
      <c r="H55" s="3">
        <v>3.1570999909811999</v>
      </c>
      <c r="I55" s="3">
        <v>2.6509492082101</v>
      </c>
      <c r="J55" s="3">
        <v>8.4602739726026996</v>
      </c>
      <c r="K55" s="3">
        <v>6.9895727396247</v>
      </c>
      <c r="L55" s="2" t="s">
        <v>355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99.73</v>
      </c>
      <c r="H56" s="3">
        <v>3.6620236464564</v>
      </c>
      <c r="I56" s="3">
        <v>3.2039556163695999</v>
      </c>
      <c r="J56" s="3">
        <v>10.375342465753</v>
      </c>
      <c r="K56" s="3">
        <v>8.4243949957498998</v>
      </c>
      <c r="L56" s="2" t="s">
        <v>355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101.52</v>
      </c>
      <c r="H57" s="3">
        <v>2.6438728947085002</v>
      </c>
      <c r="I57" s="3">
        <v>2.2620151504822998</v>
      </c>
      <c r="J57" s="3">
        <v>4.3726027397260001</v>
      </c>
      <c r="K57" s="3">
        <v>4.0118504485196</v>
      </c>
      <c r="L57" s="2" t="s">
        <v>355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105.72</v>
      </c>
      <c r="H58" s="3">
        <v>2.4854974518585</v>
      </c>
      <c r="I58" s="3">
        <v>1.9585522076683</v>
      </c>
      <c r="J58" s="3">
        <v>3.7095890410958998</v>
      </c>
      <c r="K58" s="3">
        <v>3.3649300140407998</v>
      </c>
      <c r="L58" s="2" t="s">
        <v>355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100.74</v>
      </c>
      <c r="H59" s="3">
        <v>2.8119744750184998</v>
      </c>
      <c r="I59" s="3">
        <v>2.4402120375407002</v>
      </c>
      <c r="J59" s="3">
        <v>5.1205479452054998</v>
      </c>
      <c r="K59" s="3">
        <v>4.6324300997194001</v>
      </c>
      <c r="L59" s="2" t="s">
        <v>355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95.4</v>
      </c>
      <c r="H60" s="3">
        <v>3.2140060070444001</v>
      </c>
      <c r="I60" s="3">
        <v>2.8650478811475</v>
      </c>
      <c r="J60" s="3">
        <v>7.5424657534247004</v>
      </c>
      <c r="K60" s="3">
        <v>6.6077736356771997</v>
      </c>
      <c r="L60" s="2" t="s">
        <v>355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99.98</v>
      </c>
      <c r="H61" s="3">
        <v>2.0682502848464002</v>
      </c>
      <c r="I61" s="3">
        <v>1.8000877195463001</v>
      </c>
      <c r="J61" s="3">
        <v>2.2027397260274002</v>
      </c>
      <c r="K61" s="3">
        <v>2.1116370101714002</v>
      </c>
      <c r="L61" s="2" t="s">
        <v>355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101.14</v>
      </c>
      <c r="H62" s="3">
        <v>2.1960004371344</v>
      </c>
      <c r="I62" s="3">
        <v>1.8557698112876</v>
      </c>
      <c r="J62" s="3">
        <v>2.5369863013698999</v>
      </c>
      <c r="K62" s="3">
        <v>2.3888994369897998</v>
      </c>
      <c r="L62" s="2" t="s">
        <v>355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78.989999999999995</v>
      </c>
      <c r="H63" s="3">
        <v>4.2191161485283999</v>
      </c>
      <c r="I63" s="3">
        <v>3.8195944918621998</v>
      </c>
      <c r="J63" s="3">
        <v>21.797260273972999</v>
      </c>
      <c r="K63" s="3">
        <v>15.091990672867</v>
      </c>
      <c r="L63" s="2" t="s">
        <v>355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73.790000000000006</v>
      </c>
      <c r="H64" s="3">
        <v>3.7481528611282999</v>
      </c>
      <c r="I64" s="3">
        <v>3.6015795698961002</v>
      </c>
      <c r="J64" s="3">
        <v>11.791780821918</v>
      </c>
      <c r="K64" s="3">
        <v>10.625933411290999</v>
      </c>
      <c r="L64" s="2" t="s">
        <v>355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66.209999999999994</v>
      </c>
      <c r="H65" s="3">
        <v>4.2964314897342</v>
      </c>
      <c r="I65" s="3">
        <v>3.9399678938120002</v>
      </c>
      <c r="J65" s="3">
        <v>27.306849315069002</v>
      </c>
      <c r="K65" s="3">
        <v>18.082510365177999</v>
      </c>
      <c r="L65" s="2" t="s">
        <v>355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101.49</v>
      </c>
      <c r="H66" s="3">
        <v>2.0822575287007998</v>
      </c>
      <c r="I66" s="3">
        <v>1.7073306444909999</v>
      </c>
      <c r="J66" s="3">
        <v>1.745205479452</v>
      </c>
      <c r="K66" s="3">
        <v>1.6677122642727</v>
      </c>
      <c r="L66" s="2" t="s">
        <v>355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100.45</v>
      </c>
      <c r="H67" s="3">
        <v>3.6271209038076999</v>
      </c>
      <c r="I67" s="3">
        <v>3.1604685167912998</v>
      </c>
      <c r="J67" s="3">
        <v>10.208219178082</v>
      </c>
      <c r="K67" s="3">
        <v>8.2300968402508001</v>
      </c>
      <c r="L67" s="2" t="s">
        <v>355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100.17</v>
      </c>
      <c r="H68" s="3">
        <v>1.9614557038775999</v>
      </c>
      <c r="I68" s="3">
        <v>1.6968407520158999</v>
      </c>
      <c r="J68" s="3">
        <v>1.1561643835616</v>
      </c>
      <c r="K68" s="3">
        <v>1.1187495063720001</v>
      </c>
      <c r="L68" s="2" t="s">
        <v>355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102.47</v>
      </c>
      <c r="H69" s="3">
        <v>3.0287078951068001</v>
      </c>
      <c r="I69" s="3">
        <v>2.5977861430911</v>
      </c>
      <c r="J69" s="3">
        <v>6.1589041095889998</v>
      </c>
      <c r="K69" s="3">
        <v>5.3840043553593002</v>
      </c>
      <c r="L69" s="2" t="s">
        <v>355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74.2</v>
      </c>
      <c r="H70" s="3">
        <v>4.0616437253823996</v>
      </c>
      <c r="I70" s="3">
        <v>3.7882315893168998</v>
      </c>
      <c r="J70" s="3">
        <v>15.794520547945</v>
      </c>
      <c r="K70" s="3">
        <v>12.822752397774</v>
      </c>
      <c r="L70" s="2" t="s">
        <v>355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105.76</v>
      </c>
      <c r="H71" s="3">
        <v>2.8753383294621999</v>
      </c>
      <c r="I71" s="3">
        <v>2.3855502088723002</v>
      </c>
      <c r="J71" s="3">
        <v>5.4958904109589</v>
      </c>
      <c r="K71" s="3">
        <v>4.8641196244491001</v>
      </c>
      <c r="L71" s="2" t="s">
        <v>355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98.21</v>
      </c>
      <c r="H72" s="3">
        <v>1.9587114762047</v>
      </c>
      <c r="I72" s="3">
        <v>1.8442481635026999</v>
      </c>
      <c r="J72" s="3">
        <v>1.6602739726027</v>
      </c>
      <c r="K72" s="3">
        <v>1.6157690219786001</v>
      </c>
      <c r="L72" s="2" t="s">
        <v>355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93.04</v>
      </c>
      <c r="H73" s="3">
        <v>2.4167479854506002</v>
      </c>
      <c r="I73" s="3">
        <v>2.3410422920739</v>
      </c>
      <c r="J73" s="3">
        <v>3.7479452054793998</v>
      </c>
      <c r="K73" s="3">
        <v>3.6273983226638999</v>
      </c>
      <c r="L73" s="2" t="s">
        <v>355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105.22</v>
      </c>
      <c r="H74" s="3">
        <v>2.6429775226740002</v>
      </c>
      <c r="I74" s="3">
        <v>2.1711162875715</v>
      </c>
      <c r="J74" s="3">
        <v>4.5780821917808003</v>
      </c>
      <c r="K74" s="3">
        <v>4.0835795823189001</v>
      </c>
      <c r="L74" s="2" t="s">
        <v>355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101.22</v>
      </c>
      <c r="H75" s="3">
        <v>2.1873720394142002</v>
      </c>
      <c r="I75" s="3">
        <v>1.8476163442744</v>
      </c>
      <c r="J75" s="3">
        <v>2.4082191780822</v>
      </c>
      <c r="K75" s="3">
        <v>2.2928001037361998</v>
      </c>
      <c r="L75" s="2" t="s">
        <v>355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102.97</v>
      </c>
      <c r="H76" s="3">
        <v>2.9500863289165999</v>
      </c>
      <c r="I76" s="3">
        <v>2.5130068515344002</v>
      </c>
      <c r="J76" s="3">
        <v>5.7479452054794002</v>
      </c>
      <c r="K76" s="3">
        <v>5.0759421696883997</v>
      </c>
      <c r="L76" s="2" t="s">
        <v>355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101.572</v>
      </c>
      <c r="H77" s="3">
        <v>2.0214691161695999</v>
      </c>
      <c r="I77" s="3">
        <v>1.5556052000853</v>
      </c>
      <c r="J77" s="3">
        <v>0.90684931506848998</v>
      </c>
      <c r="K77" s="3">
        <v>0.88007822397514002</v>
      </c>
      <c r="L77" s="2" t="s">
        <v>355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101.12</v>
      </c>
      <c r="H78" s="3">
        <v>2.5229210965372002</v>
      </c>
      <c r="I78" s="3">
        <v>2.1714112854379999</v>
      </c>
      <c r="J78" s="3">
        <v>4.0767123287671003</v>
      </c>
      <c r="K78" s="3">
        <v>3.7432924944822998</v>
      </c>
      <c r="L78" s="2" t="s">
        <v>355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97.47</v>
      </c>
      <c r="H79" s="3">
        <v>2.0790341138457</v>
      </c>
      <c r="I79" s="3">
        <v>1.9573842624569</v>
      </c>
      <c r="J79" s="3">
        <v>2.3260273972603001</v>
      </c>
      <c r="K79" s="3">
        <v>2.2551989323653001</v>
      </c>
      <c r="L79" s="2" t="s">
        <v>355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100.88</v>
      </c>
      <c r="H80" s="3">
        <v>2.3635301075086002</v>
      </c>
      <c r="I80" s="3">
        <v>2.0190183215971</v>
      </c>
      <c r="J80" s="3">
        <v>3.0767123287670999</v>
      </c>
      <c r="K80" s="3">
        <v>2.8935695550617999</v>
      </c>
      <c r="L80" s="2" t="s">
        <v>355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104.34</v>
      </c>
      <c r="H81" s="3">
        <v>2.7916912688872002</v>
      </c>
      <c r="I81" s="3">
        <v>2.3084602830111001</v>
      </c>
      <c r="J81" s="3">
        <v>5.0767123287671003</v>
      </c>
      <c r="K81" s="3">
        <v>4.4955564603346003</v>
      </c>
      <c r="L81" s="2" t="s">
        <v>355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94.6</v>
      </c>
      <c r="H82" s="3">
        <v>2.29018826202</v>
      </c>
      <c r="I82" s="3">
        <v>2.2040290569662999</v>
      </c>
      <c r="J82" s="3">
        <v>3.1589041095889998</v>
      </c>
      <c r="K82" s="3">
        <v>3.0669757649689999</v>
      </c>
      <c r="L82" s="2" t="s">
        <v>355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102.76</v>
      </c>
      <c r="H83" s="3">
        <v>2.1458900042436002</v>
      </c>
      <c r="I83" s="3">
        <v>1.7178959366869999</v>
      </c>
      <c r="J83" s="3">
        <v>2.1561643835615998</v>
      </c>
      <c r="K83" s="3">
        <v>2.0308840433454001</v>
      </c>
      <c r="L83" s="2" t="s">
        <v>355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102.33</v>
      </c>
      <c r="H84" s="3">
        <v>2.0608624626125001</v>
      </c>
      <c r="I84" s="3">
        <v>1.5845065104634</v>
      </c>
      <c r="J84" s="3">
        <v>1.3260273972603001</v>
      </c>
      <c r="K84" s="3">
        <v>1.2720358064868</v>
      </c>
      <c r="L84" s="2" t="s">
        <v>355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100.239</v>
      </c>
      <c r="H85" s="3">
        <v>1.9408713439745999</v>
      </c>
      <c r="I85" s="3">
        <v>1.6361969894794</v>
      </c>
      <c r="J85" s="3">
        <v>0.49315068493150999</v>
      </c>
      <c r="K85" s="3">
        <v>0.48922433708927998</v>
      </c>
      <c r="L85" s="2" t="s">
        <v>355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98.27</v>
      </c>
      <c r="H86" s="3">
        <v>4.4504705275258001</v>
      </c>
      <c r="I86" s="3">
        <v>3.8952069148564998</v>
      </c>
      <c r="J86" s="3">
        <v>29.389041095890001</v>
      </c>
      <c r="K86" s="3">
        <v>16.037897653619002</v>
      </c>
      <c r="L86" s="2" t="s">
        <v>355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100.935</v>
      </c>
      <c r="H87" s="3">
        <v>2.0244958575041001</v>
      </c>
      <c r="I87" s="3">
        <v>1.5943639694667</v>
      </c>
      <c r="J87" s="3">
        <v>0.66027397260274001</v>
      </c>
      <c r="K87" s="3">
        <v>0.63887781898861995</v>
      </c>
      <c r="L87" s="2" t="s">
        <v>355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94.64</v>
      </c>
      <c r="H88" s="3">
        <v>2.2302564251920001</v>
      </c>
      <c r="I88" s="3">
        <v>2.1915386935832002</v>
      </c>
      <c r="J88" s="3">
        <v>2.8246575342466</v>
      </c>
      <c r="K88" s="3">
        <v>2.7535598836015001</v>
      </c>
      <c r="L88" s="2" t="s">
        <v>355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80.7</v>
      </c>
      <c r="H89" s="3">
        <v>3.6570182624849998</v>
      </c>
      <c r="I89" s="3">
        <v>3.4464978985229999</v>
      </c>
      <c r="J89" s="3">
        <v>10.791780821918</v>
      </c>
      <c r="K89" s="3">
        <v>9.5360867245023009</v>
      </c>
      <c r="L89" s="2" t="s">
        <v>355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97.65</v>
      </c>
      <c r="H90" s="3">
        <v>4.0944654325704999</v>
      </c>
      <c r="I90" s="3">
        <v>3.5935259817068999</v>
      </c>
      <c r="J90" s="3">
        <v>15.380821917807999</v>
      </c>
      <c r="K90" s="3">
        <v>11.182732674598</v>
      </c>
      <c r="L90" s="2" t="s">
        <v>355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99.795000000000002</v>
      </c>
      <c r="H91" s="3">
        <v>2.0298987720955002</v>
      </c>
      <c r="I91" s="3">
        <v>1.8687280465486</v>
      </c>
      <c r="J91" s="3">
        <v>0.24109589041096</v>
      </c>
      <c r="K91" s="3">
        <v>0.23632399934730999</v>
      </c>
      <c r="L91" s="2" t="s">
        <v>355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9.8410958904109993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107.59</v>
      </c>
      <c r="H93" s="3">
        <v>2.3455094808646</v>
      </c>
      <c r="I93" s="3">
        <v>1.7724773746785001</v>
      </c>
      <c r="J93" s="3">
        <v>3.2904109589041002</v>
      </c>
      <c r="K93" s="3">
        <v>2.995896874034</v>
      </c>
      <c r="L93" s="2" t="s">
        <v>355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102.02</v>
      </c>
      <c r="H94" s="3">
        <v>4.4191852067988</v>
      </c>
      <c r="I94" s="3">
        <v>3.8527466242156998</v>
      </c>
      <c r="J94" s="3">
        <v>28.389041095890001</v>
      </c>
      <c r="K94" s="3">
        <v>15.646202867957999</v>
      </c>
      <c r="L94" s="2" t="s">
        <v>355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100.38</v>
      </c>
      <c r="H95" s="3">
        <v>3.2138586498963999</v>
      </c>
      <c r="I95" s="3">
        <v>2.8026452538836999</v>
      </c>
      <c r="J95" s="3">
        <v>7.1616438356163998</v>
      </c>
      <c r="K95" s="3">
        <v>6.2342732440826003</v>
      </c>
      <c r="L95" s="2" t="s">
        <v>355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100.768</v>
      </c>
      <c r="H96" s="3">
        <v>2.0441596966753002</v>
      </c>
      <c r="I96" s="3">
        <v>1.6323871257028</v>
      </c>
      <c r="J96" s="3">
        <v>0.69589041095890003</v>
      </c>
      <c r="K96" s="3">
        <v>0.67437231180285995</v>
      </c>
      <c r="L96" s="2" t="s">
        <v>355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100.533</v>
      </c>
      <c r="H97" s="3">
        <v>2.0578058965342998</v>
      </c>
      <c r="I97" s="3">
        <v>1.6165467228254</v>
      </c>
      <c r="J97" s="3">
        <v>0.36438356164384</v>
      </c>
      <c r="K97" s="3">
        <v>0.35709053908332</v>
      </c>
      <c r="L97" s="2" t="s">
        <v>355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99.971999999999994</v>
      </c>
      <c r="H98" s="3">
        <v>2.0602331177218001</v>
      </c>
      <c r="I98" s="3">
        <v>1.8262448022699</v>
      </c>
      <c r="J98" s="3">
        <v>0.11780821917808</v>
      </c>
      <c r="K98" s="3">
        <v>0.11543647960036001</v>
      </c>
      <c r="L98" s="2" t="s">
        <v>355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</v>
      </c>
      <c r="H99" s="3">
        <v>2.0775561714912998</v>
      </c>
      <c r="I99" s="3">
        <v>1.6897403569131</v>
      </c>
      <c r="J99" s="3">
        <v>1.2767123287671001</v>
      </c>
      <c r="K99" s="3">
        <v>1.2287386512348999</v>
      </c>
      <c r="L99" s="2" t="s">
        <v>355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100.48</v>
      </c>
      <c r="H100" s="3">
        <v>3.0855447987820002</v>
      </c>
      <c r="I100" s="3">
        <v>2.6879872212048999</v>
      </c>
      <c r="J100" s="3">
        <v>6.4958904109589</v>
      </c>
      <c r="K100" s="3">
        <v>5.7526516730740003</v>
      </c>
      <c r="L100" s="2" t="s">
        <v>355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100.74</v>
      </c>
      <c r="H101" s="3">
        <v>2.1300482259234998</v>
      </c>
      <c r="I101" s="3">
        <v>1.8049217344249999</v>
      </c>
      <c r="J101" s="3">
        <v>1.772602739726</v>
      </c>
      <c r="K101" s="3">
        <v>1.6990364791482999</v>
      </c>
      <c r="L101" s="2" t="s">
        <v>355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103.14</v>
      </c>
      <c r="H102" s="3">
        <v>2.2694586240600998</v>
      </c>
      <c r="I102" s="3">
        <v>1.8359047902822001</v>
      </c>
      <c r="J102" s="3">
        <v>2.8712328767123001</v>
      </c>
      <c r="K102" s="3">
        <v>2.6946991011671</v>
      </c>
      <c r="L102" s="2" t="s">
        <v>355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103.69</v>
      </c>
      <c r="H103" s="3">
        <v>2.9106871203011</v>
      </c>
      <c r="I103" s="3">
        <v>2.4492666097100999</v>
      </c>
      <c r="J103" s="3">
        <v>4.7972602739725998</v>
      </c>
      <c r="K103" s="3">
        <v>4.2914585271401</v>
      </c>
      <c r="L103" s="2" t="s">
        <v>355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103.69</v>
      </c>
      <c r="H104" s="3">
        <v>3.0465455018621999</v>
      </c>
      <c r="I104" s="3">
        <v>2.5729766430100001</v>
      </c>
      <c r="J104" s="3">
        <v>4.7972602739725998</v>
      </c>
      <c r="K104" s="3">
        <v>4.2865833584643003</v>
      </c>
      <c r="L104" s="2" t="s">
        <v>355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105.91</v>
      </c>
      <c r="H105" s="3">
        <v>2.5291091841542999</v>
      </c>
      <c r="I105" s="3">
        <v>1.9973612690799001</v>
      </c>
      <c r="J105" s="3">
        <v>3.3972602739725999</v>
      </c>
      <c r="K105" s="3">
        <v>3.0994315582967</v>
      </c>
      <c r="L105" s="2" t="s">
        <v>355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105.91</v>
      </c>
      <c r="H106" s="3">
        <v>2.6682238433329002</v>
      </c>
      <c r="I106" s="3">
        <v>2.1257158499196001</v>
      </c>
      <c r="J106" s="3">
        <v>3.3972602739725999</v>
      </c>
      <c r="K106" s="3">
        <v>3.0955674922392999</v>
      </c>
      <c r="L106" s="2" t="s">
        <v>355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103.34</v>
      </c>
      <c r="H107" s="3">
        <v>2.3213992628410001</v>
      </c>
      <c r="I107" s="3">
        <v>1.8307285437208001</v>
      </c>
      <c r="J107" s="3">
        <v>2.0684931506848998</v>
      </c>
      <c r="K107" s="3">
        <v>1.9392418752986</v>
      </c>
      <c r="L107" s="2" t="s">
        <v>355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103.34</v>
      </c>
      <c r="H108" s="3">
        <v>2.5558379455032001</v>
      </c>
      <c r="I108" s="3">
        <v>2.0509847673766002</v>
      </c>
      <c r="J108" s="3">
        <v>2.0684931506848998</v>
      </c>
      <c r="K108" s="3">
        <v>1.9349263941527</v>
      </c>
      <c r="L108" s="2" t="s">
        <v>355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103.26</v>
      </c>
      <c r="H109" s="3">
        <v>2.9964838405947001</v>
      </c>
      <c r="I109" s="3">
        <v>2.5379797593725</v>
      </c>
      <c r="J109" s="3">
        <v>4.9890410958903999</v>
      </c>
      <c r="K109" s="3">
        <v>4.4695295105737003</v>
      </c>
      <c r="L109" s="2" t="s">
        <v>355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103.26</v>
      </c>
      <c r="H110" s="3">
        <v>3.1455684237588</v>
      </c>
      <c r="I110" s="3">
        <v>2.6731359268780999</v>
      </c>
      <c r="J110" s="3">
        <v>4.9890410958903999</v>
      </c>
      <c r="K110" s="3">
        <v>4.4640260222399997</v>
      </c>
      <c r="L110" s="2" t="s">
        <v>355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101.33</v>
      </c>
      <c r="H111" s="3">
        <v>4.7875767604336996</v>
      </c>
      <c r="I111" s="3">
        <v>4.4588282235712997</v>
      </c>
      <c r="J111" s="3">
        <v>31.010958904110002</v>
      </c>
      <c r="K111" s="3">
        <v>5.7786843828735002</v>
      </c>
      <c r="L111" s="2" t="s">
        <v>355</v>
      </c>
      <c r="M111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7C50-7C0A-C14E-838C-EDEC51C50B9B}">
  <dimension ref="A1:M111"/>
  <sheetViews>
    <sheetView workbookViewId="0">
      <selection sqref="A1:XFD1048576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117.27</v>
      </c>
      <c r="H2" s="3">
        <v>3.2235150013176002</v>
      </c>
      <c r="I2" s="3">
        <v>2.5605750734564001</v>
      </c>
      <c r="J2" s="3">
        <v>7.7095890410959003</v>
      </c>
      <c r="K2" s="3">
        <v>6.1694534310513998</v>
      </c>
      <c r="L2" s="2" t="s">
        <v>356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100.4</v>
      </c>
      <c r="H3" s="3">
        <v>2.0080831716112999</v>
      </c>
      <c r="I3" s="3">
        <v>1.7166594394665999</v>
      </c>
      <c r="J3" s="3">
        <v>2.0328767123287999</v>
      </c>
      <c r="K3" s="3">
        <v>1.9403169792234001</v>
      </c>
      <c r="L3" s="2" t="s">
        <v>356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99.66</v>
      </c>
      <c r="H4" s="3">
        <v>2.1390156613664999</v>
      </c>
      <c r="I4" s="3">
        <v>1.8815617821846999</v>
      </c>
      <c r="J4" s="3">
        <v>2.7041095890411002</v>
      </c>
      <c r="K4" s="3">
        <v>2.5755554032269998</v>
      </c>
      <c r="L4" s="2" t="s">
        <v>356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102.17</v>
      </c>
      <c r="H5" s="3">
        <v>2.4670154408034</v>
      </c>
      <c r="I5" s="3">
        <v>2.0927172600878001</v>
      </c>
      <c r="J5" s="3">
        <v>4.2027397260274002</v>
      </c>
      <c r="K5" s="3">
        <v>3.8543639643434999</v>
      </c>
      <c r="L5" s="2" t="s">
        <v>356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102.46</v>
      </c>
      <c r="H6" s="3">
        <v>3.9585571849282002</v>
      </c>
      <c r="I6" s="3">
        <v>3.4367982827243</v>
      </c>
      <c r="J6" s="3">
        <v>14.375342465753</v>
      </c>
      <c r="K6" s="3">
        <v>10.546680852561</v>
      </c>
      <c r="L6" s="2" t="s">
        <v>356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86.91</v>
      </c>
      <c r="H7" s="3">
        <v>2.9438612753541999</v>
      </c>
      <c r="I7" s="3">
        <v>2.8613667171269999</v>
      </c>
      <c r="J7" s="3">
        <v>6.2027397260274002</v>
      </c>
      <c r="K7" s="3">
        <v>5.9023121362259001</v>
      </c>
      <c r="L7" s="2" t="s">
        <v>356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108.6</v>
      </c>
      <c r="H8" s="3">
        <v>4.1384821791356998</v>
      </c>
      <c r="I8" s="3">
        <v>3.5622683657605001</v>
      </c>
      <c r="J8" s="3">
        <v>19.298630136985999</v>
      </c>
      <c r="K8" s="3">
        <v>12.496703376181999</v>
      </c>
      <c r="L8" s="2" t="s">
        <v>356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104.13</v>
      </c>
      <c r="H9" s="3">
        <v>2.5918982143587002</v>
      </c>
      <c r="I9" s="3">
        <v>2.1568182026647</v>
      </c>
      <c r="J9" s="3">
        <v>4.7835616438355997</v>
      </c>
      <c r="K9" s="3">
        <v>4.3117231905680002</v>
      </c>
      <c r="L9" s="2" t="s">
        <v>356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91.72</v>
      </c>
      <c r="H10" s="3">
        <v>3.0293033975723</v>
      </c>
      <c r="I10" s="3">
        <v>2.8074479395494998</v>
      </c>
      <c r="J10" s="3">
        <v>6.7863013698629997</v>
      </c>
      <c r="K10" s="3">
        <v>6.2167179376675001</v>
      </c>
      <c r="L10" s="2" t="s">
        <v>356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99.68</v>
      </c>
      <c r="H11" s="3">
        <v>1.9233811112526999</v>
      </c>
      <c r="I11" s="3">
        <v>1.7211246527121999</v>
      </c>
      <c r="J11" s="3">
        <v>1.0328767123288001</v>
      </c>
      <c r="K11" s="3">
        <v>1.0017388564551</v>
      </c>
      <c r="L11" s="2" t="s">
        <v>356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87.44</v>
      </c>
      <c r="H12" s="3">
        <v>3.6445049717123998</v>
      </c>
      <c r="I12" s="3">
        <v>3.3337787904258001</v>
      </c>
      <c r="J12" s="3">
        <v>11.293150684932</v>
      </c>
      <c r="K12" s="3">
        <v>9.5250286060026994</v>
      </c>
      <c r="L12" s="2" t="s">
        <v>356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89.34</v>
      </c>
      <c r="H13" s="3">
        <v>4.2200749746093003</v>
      </c>
      <c r="I13" s="3">
        <v>3.7462217295515998</v>
      </c>
      <c r="J13" s="3">
        <v>22.797260273972999</v>
      </c>
      <c r="K13" s="3">
        <v>14.768466703407</v>
      </c>
      <c r="L13" s="2" t="s">
        <v>356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90.89</v>
      </c>
      <c r="H14" s="3">
        <v>3.9530352135252</v>
      </c>
      <c r="I14" s="3">
        <v>3.5343296552847998</v>
      </c>
      <c r="J14" s="3">
        <v>14.791780821918</v>
      </c>
      <c r="K14" s="3">
        <v>11.279041784676</v>
      </c>
      <c r="L14" s="2" t="s">
        <v>356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98.322999999999993</v>
      </c>
      <c r="H15" s="3">
        <v>1.9430919816461001</v>
      </c>
      <c r="I15" s="3">
        <v>1.9304327197608</v>
      </c>
      <c r="J15" s="3">
        <v>0.86575342465753002</v>
      </c>
      <c r="K15" s="3">
        <v>0.84946501972662003</v>
      </c>
      <c r="L15" s="2" t="s">
        <v>356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59.97</v>
      </c>
      <c r="H16" s="3">
        <v>4.1095722610773002</v>
      </c>
      <c r="I16" s="3">
        <v>3.7124295236140998</v>
      </c>
      <c r="J16" s="3">
        <v>46.813698630136997</v>
      </c>
      <c r="K16" s="3">
        <v>23.186528794769998</v>
      </c>
      <c r="L16" s="2" t="s">
        <v>356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94.54</v>
      </c>
      <c r="H17" s="3">
        <v>3.8263197882481998</v>
      </c>
      <c r="I17" s="3">
        <v>3.3972998382282</v>
      </c>
      <c r="J17" s="3">
        <v>12.789041095889999</v>
      </c>
      <c r="K17" s="3">
        <v>10.029862512539999</v>
      </c>
      <c r="L17" s="2" t="s">
        <v>356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98.36</v>
      </c>
      <c r="H18" s="3">
        <v>2.0097958827808</v>
      </c>
      <c r="I18" s="3">
        <v>1.8695288158468999</v>
      </c>
      <c r="J18" s="3">
        <v>1.8657534246575</v>
      </c>
      <c r="K18" s="3">
        <v>1.8128157728840999</v>
      </c>
      <c r="L18" s="2" t="s">
        <v>356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103.15</v>
      </c>
      <c r="H19" s="3">
        <v>2.5517303160803002</v>
      </c>
      <c r="I19" s="3">
        <v>2.1323947129878</v>
      </c>
      <c r="J19" s="3">
        <v>4.1178082191780998</v>
      </c>
      <c r="K19" s="3">
        <v>3.7454356307221</v>
      </c>
      <c r="L19" s="2" t="s">
        <v>356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103.35</v>
      </c>
      <c r="H20" s="3">
        <v>3.4440103633599999</v>
      </c>
      <c r="I20" s="3">
        <v>2.9629931512217</v>
      </c>
      <c r="J20" s="3">
        <v>9.1205479452054998</v>
      </c>
      <c r="K20" s="3">
        <v>7.4440452723485002</v>
      </c>
      <c r="L20" s="2" t="s">
        <v>356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94.18</v>
      </c>
      <c r="H21" s="3">
        <v>2.8084931579066001</v>
      </c>
      <c r="I21" s="3">
        <v>2.5877540990261001</v>
      </c>
      <c r="J21" s="3">
        <v>5.5369863013699003</v>
      </c>
      <c r="K21" s="3">
        <v>5.1218212225265001</v>
      </c>
      <c r="L21" s="2" t="s">
        <v>356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88.04</v>
      </c>
      <c r="H22" s="3">
        <v>2.9983457735304002</v>
      </c>
      <c r="I22" s="3">
        <v>2.8683559295493999</v>
      </c>
      <c r="J22" s="3">
        <v>6.5369863013699003</v>
      </c>
      <c r="K22" s="3">
        <v>6.1231030153008996</v>
      </c>
      <c r="L22" s="2" t="s">
        <v>356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104.57</v>
      </c>
      <c r="H23" s="3">
        <v>2.3225052564258002</v>
      </c>
      <c r="I23" s="3">
        <v>1.8556037538956001</v>
      </c>
      <c r="J23" s="3">
        <v>3.2027397260274002</v>
      </c>
      <c r="K23" s="3">
        <v>2.9500223370679</v>
      </c>
      <c r="L23" s="2" t="s">
        <v>356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112.62</v>
      </c>
      <c r="H24" s="3">
        <v>3.4182313391468</v>
      </c>
      <c r="I24" s="3">
        <v>2.8249733715850001</v>
      </c>
      <c r="J24" s="3">
        <v>9.2054794520547993</v>
      </c>
      <c r="K24" s="3">
        <v>7.2614981447110001</v>
      </c>
      <c r="L24" s="2" t="s">
        <v>356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103.56</v>
      </c>
      <c r="H25" s="3">
        <v>3.6523838864265001</v>
      </c>
      <c r="I25" s="3">
        <v>3.1549758790387998</v>
      </c>
      <c r="J25" s="3">
        <v>11.712328767122999</v>
      </c>
      <c r="K25" s="3">
        <v>9.0761017335596996</v>
      </c>
      <c r="L25" s="2" t="s">
        <v>356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112.27</v>
      </c>
      <c r="H26" s="3">
        <v>3.9035623555236998</v>
      </c>
      <c r="I26" s="3">
        <v>3.3115474218505998</v>
      </c>
      <c r="J26" s="3">
        <v>14.208219178082</v>
      </c>
      <c r="K26" s="3">
        <v>10.059331744289</v>
      </c>
      <c r="L26" s="2" t="s">
        <v>356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98.98</v>
      </c>
      <c r="H27" s="3">
        <v>1.9359838247953001</v>
      </c>
      <c r="I27" s="3">
        <v>1.7773690003258</v>
      </c>
      <c r="J27" s="3">
        <v>1.5342465753425001</v>
      </c>
      <c r="K27" s="3">
        <v>1.4867630552666999</v>
      </c>
      <c r="L27" s="2" t="s">
        <v>356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101.67</v>
      </c>
      <c r="H28" s="3">
        <v>2.3155844153751</v>
      </c>
      <c r="I28" s="3">
        <v>1.9610444598515</v>
      </c>
      <c r="J28" s="3">
        <v>3.5369863013698999</v>
      </c>
      <c r="K28" s="3">
        <v>3.2749840048035002</v>
      </c>
      <c r="L28" s="2" t="s">
        <v>356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</v>
      </c>
      <c r="H29" s="3">
        <v>1.904497172605</v>
      </c>
      <c r="I29" s="3">
        <v>1.8344038680279999</v>
      </c>
      <c r="J29" s="3">
        <v>0.70410958904109999</v>
      </c>
      <c r="K29" s="3">
        <v>0.69254276695480999</v>
      </c>
      <c r="L29" s="2" t="s">
        <v>356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97.77</v>
      </c>
      <c r="H30" s="3">
        <v>1.8884340258529</v>
      </c>
      <c r="I30" s="3">
        <v>1.8863165945960001</v>
      </c>
      <c r="J30" s="3">
        <v>1.2</v>
      </c>
      <c r="K30" s="3">
        <v>1.1831366961130001</v>
      </c>
      <c r="L30" s="2" t="s">
        <v>356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102.86</v>
      </c>
      <c r="H31" s="3">
        <v>3.5269446196273</v>
      </c>
      <c r="I31" s="3">
        <v>3.0463346781339999</v>
      </c>
      <c r="J31" s="3">
        <v>9.7095890410958994</v>
      </c>
      <c r="K31" s="3">
        <v>7.8530932392050001</v>
      </c>
      <c r="L31" s="2" t="s">
        <v>356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111.86</v>
      </c>
      <c r="H32" s="3">
        <v>3.9924679058033998</v>
      </c>
      <c r="I32" s="3">
        <v>3.3978721189560002</v>
      </c>
      <c r="J32" s="3">
        <v>15.295890410959</v>
      </c>
      <c r="K32" s="3">
        <v>10.61863468668</v>
      </c>
      <c r="L32" s="2" t="s">
        <v>356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101.91</v>
      </c>
      <c r="H33" s="3">
        <v>1.9996400425705001</v>
      </c>
      <c r="I33" s="3">
        <v>1.4526597962062</v>
      </c>
      <c r="J33" s="3">
        <v>0.78082191780821997</v>
      </c>
      <c r="K33" s="3">
        <v>0.75775700658936995</v>
      </c>
      <c r="L33" s="2" t="s">
        <v>356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87.39</v>
      </c>
      <c r="H34" s="3">
        <v>4.1864017274804004</v>
      </c>
      <c r="I34" s="3">
        <v>3.7356035080030998</v>
      </c>
      <c r="J34" s="3">
        <v>21.298630136985999</v>
      </c>
      <c r="K34" s="3">
        <v>14.349984468221001</v>
      </c>
      <c r="L34" s="2" t="s">
        <v>356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</v>
      </c>
      <c r="H35" s="3">
        <v>1.874611958879</v>
      </c>
      <c r="I35" s="3">
        <v>1.6287566786833001</v>
      </c>
      <c r="J35" s="3">
        <v>0.53424657534247</v>
      </c>
      <c r="K35" s="3">
        <v>0.51966599740622998</v>
      </c>
      <c r="L35" s="2" t="s">
        <v>356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71.42</v>
      </c>
      <c r="H36" s="3">
        <v>4.3153459635119997</v>
      </c>
      <c r="I36" s="3">
        <v>3.8593770203650002</v>
      </c>
      <c r="J36" s="3">
        <v>41.808219178081998</v>
      </c>
      <c r="K36" s="3">
        <v>20.577122201329001</v>
      </c>
      <c r="L36" s="2" t="s">
        <v>356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94.23</v>
      </c>
      <c r="H37" s="3">
        <v>3.2731516482116998</v>
      </c>
      <c r="I37" s="3">
        <v>2.9476826268603999</v>
      </c>
      <c r="J37" s="3">
        <v>8.2904109589041006</v>
      </c>
      <c r="K37" s="3">
        <v>7.2472635295616996</v>
      </c>
      <c r="L37" s="2" t="s">
        <v>356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91.14</v>
      </c>
      <c r="H38" s="3">
        <v>3.8386930509999</v>
      </c>
      <c r="I38" s="3">
        <v>3.4419382458526</v>
      </c>
      <c r="J38" s="3">
        <v>13.293150684932</v>
      </c>
      <c r="K38" s="3">
        <v>10.487765389901</v>
      </c>
      <c r="L38" s="2" t="s">
        <v>356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99.07</v>
      </c>
      <c r="H39" s="3">
        <v>3.4908303158716998</v>
      </c>
      <c r="I39" s="3">
        <v>3.0613065273870999</v>
      </c>
      <c r="J39" s="3">
        <v>9.7863013698630006</v>
      </c>
      <c r="K39" s="3">
        <v>8.0756509147780999</v>
      </c>
      <c r="L39" s="2" t="s">
        <v>356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94.5</v>
      </c>
      <c r="H40" s="3">
        <v>4.2546541380015999</v>
      </c>
      <c r="I40" s="3">
        <v>3.7451338192904</v>
      </c>
      <c r="J40" s="3">
        <v>24.301369863013999</v>
      </c>
      <c r="K40" s="3">
        <v>14.962449031822</v>
      </c>
      <c r="L40" s="2" t="s">
        <v>356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94.26</v>
      </c>
      <c r="H41" s="3">
        <v>2.6293914735647999</v>
      </c>
      <c r="I41" s="3">
        <v>2.4528512510890002</v>
      </c>
      <c r="J41" s="3">
        <v>4.8684931506849001</v>
      </c>
      <c r="K41" s="3">
        <v>4.5938134140251004</v>
      </c>
      <c r="L41" s="2" t="s">
        <v>356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72.739999999999995</v>
      </c>
      <c r="H42" s="3">
        <v>4.2536164533619996</v>
      </c>
      <c r="I42" s="3">
        <v>3.8701952472594998</v>
      </c>
      <c r="J42" s="3">
        <v>25.301369863013999</v>
      </c>
      <c r="K42" s="3">
        <v>16.86264567712</v>
      </c>
      <c r="L42" s="2" t="s">
        <v>356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61.14</v>
      </c>
      <c r="H43" s="3">
        <v>4.1793689365685998</v>
      </c>
      <c r="I43" s="3">
        <v>3.8827239811726999</v>
      </c>
      <c r="J43" s="3">
        <v>26.301369863013999</v>
      </c>
      <c r="K43" s="3">
        <v>18.667385142929</v>
      </c>
      <c r="L43" s="2" t="s">
        <v>356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104.32</v>
      </c>
      <c r="H44" s="3">
        <v>4.1501805942342003</v>
      </c>
      <c r="I44" s="3">
        <v>3.5973279805348</v>
      </c>
      <c r="J44" s="3">
        <v>18.295890410959</v>
      </c>
      <c r="K44" s="3">
        <v>12.217058141677001</v>
      </c>
      <c r="L44" s="2" t="s">
        <v>356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106.34</v>
      </c>
      <c r="H45" s="3">
        <v>3.3863064534210001</v>
      </c>
      <c r="I45" s="3">
        <v>2.8722914863921001</v>
      </c>
      <c r="J45" s="3">
        <v>8.7863013698630006</v>
      </c>
      <c r="K45" s="3">
        <v>7.1823592992986001</v>
      </c>
      <c r="L45" s="2" t="s">
        <v>356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89.48</v>
      </c>
      <c r="H46" s="3">
        <v>2.8799030005703998</v>
      </c>
      <c r="I46" s="3">
        <v>2.7586364748619001</v>
      </c>
      <c r="J46" s="3">
        <v>5.8684931506849001</v>
      </c>
      <c r="K46" s="3">
        <v>5.5520885565190996</v>
      </c>
      <c r="L46" s="2" t="s">
        <v>356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86.74</v>
      </c>
      <c r="H47" s="3">
        <v>3.0808183152859998</v>
      </c>
      <c r="I47" s="3">
        <v>2.9408574174619</v>
      </c>
      <c r="J47" s="3">
        <v>7.0383561643836003</v>
      </c>
      <c r="K47" s="3">
        <v>6.5679723163938002</v>
      </c>
      <c r="L47" s="2" t="s">
        <v>356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108.21</v>
      </c>
      <c r="H48" s="3">
        <v>3.2430535887417</v>
      </c>
      <c r="I48" s="3">
        <v>2.7105797682280999</v>
      </c>
      <c r="J48" s="3">
        <v>7.9534246575342999</v>
      </c>
      <c r="K48" s="3">
        <v>6.6255280862725998</v>
      </c>
      <c r="L48" s="2" t="s">
        <v>356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107.59</v>
      </c>
      <c r="H49" s="3">
        <v>1.9100932420534</v>
      </c>
      <c r="I49" s="3">
        <v>1.0447549780339001</v>
      </c>
      <c r="J49" s="3">
        <v>1.4520547945205</v>
      </c>
      <c r="K49" s="3">
        <v>1.3788206608827001</v>
      </c>
      <c r="L49" s="2" t="s">
        <v>356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110.42</v>
      </c>
      <c r="H50" s="3">
        <v>2.1174929421648998</v>
      </c>
      <c r="I50" s="3">
        <v>1.3485710960607999</v>
      </c>
      <c r="J50" s="3">
        <v>2.4520547945205999</v>
      </c>
      <c r="K50" s="3">
        <v>2.2607604151840999</v>
      </c>
      <c r="L50" s="2" t="s">
        <v>356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111.6</v>
      </c>
      <c r="H51" s="3">
        <v>2.4907794842761</v>
      </c>
      <c r="I51" s="3">
        <v>1.8692922122852</v>
      </c>
      <c r="J51" s="3">
        <v>4.4547945205478996</v>
      </c>
      <c r="K51" s="3">
        <v>3.9503837340743</v>
      </c>
      <c r="L51" s="2" t="s">
        <v>356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117.27</v>
      </c>
      <c r="H52" s="3">
        <v>2.8421151070509998</v>
      </c>
      <c r="I52" s="3">
        <v>2.1513353113551998</v>
      </c>
      <c r="J52" s="3">
        <v>5.9506849315068999</v>
      </c>
      <c r="K52" s="3">
        <v>5.0171558834013998</v>
      </c>
      <c r="L52" s="2" t="s">
        <v>356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99.975999999999999</v>
      </c>
      <c r="H53" s="3">
        <v>2.0203312570835998</v>
      </c>
      <c r="I53" s="3">
        <v>1.8519536932386</v>
      </c>
      <c r="J53" s="3">
        <v>3.2876712328767002E-2</v>
      </c>
      <c r="K53" s="3">
        <v>3.4911708144849E-2</v>
      </c>
      <c r="L53" s="2" t="s">
        <v>356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91.48</v>
      </c>
      <c r="H54" s="3">
        <v>2.7351756330378998</v>
      </c>
      <c r="I54" s="3">
        <v>2.6036243736043998</v>
      </c>
      <c r="J54" s="3">
        <v>5.2027397260274002</v>
      </c>
      <c r="K54" s="3">
        <v>4.9318890469558996</v>
      </c>
      <c r="L54" s="2" t="s">
        <v>356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107.61</v>
      </c>
      <c r="H55" s="3">
        <v>3.1102286080574002</v>
      </c>
      <c r="I55" s="3">
        <v>2.6051892884782002</v>
      </c>
      <c r="J55" s="3">
        <v>8.4575342465752996</v>
      </c>
      <c r="K55" s="3">
        <v>6.9925144424330998</v>
      </c>
      <c r="L55" s="2" t="s">
        <v>356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100.07</v>
      </c>
      <c r="H56" s="3">
        <v>3.6216992427783001</v>
      </c>
      <c r="I56" s="3">
        <v>3.1646265699387999</v>
      </c>
      <c r="J56" s="3">
        <v>10.372602739726</v>
      </c>
      <c r="K56" s="3">
        <v>8.4283221503758998</v>
      </c>
      <c r="L56" s="2" t="s">
        <v>356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101.68</v>
      </c>
      <c r="H57" s="3">
        <v>2.6045328234939</v>
      </c>
      <c r="I57" s="3">
        <v>2.2230897271585</v>
      </c>
      <c r="J57" s="3">
        <v>4.3698630136986001</v>
      </c>
      <c r="K57" s="3">
        <v>4.0109664299045003</v>
      </c>
      <c r="L57" s="2" t="s">
        <v>356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105.81</v>
      </c>
      <c r="H58" s="3">
        <v>2.4593342014842001</v>
      </c>
      <c r="I58" s="3">
        <v>1.9326971698425</v>
      </c>
      <c r="J58" s="3">
        <v>3.7068493150684998</v>
      </c>
      <c r="K58" s="3">
        <v>3.3632622303459998</v>
      </c>
      <c r="L58" s="2" t="s">
        <v>356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100.91</v>
      </c>
      <c r="H59" s="3">
        <v>2.7756965649480998</v>
      </c>
      <c r="I59" s="3">
        <v>2.4043592674887</v>
      </c>
      <c r="J59" s="3">
        <v>5.1178082191780998</v>
      </c>
      <c r="K59" s="3">
        <v>4.6317781963069002</v>
      </c>
      <c r="L59" s="2" t="s">
        <v>356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95.67</v>
      </c>
      <c r="H60" s="3">
        <v>3.1719824628879998</v>
      </c>
      <c r="I60" s="3">
        <v>2.8235802702944999</v>
      </c>
      <c r="J60" s="3">
        <v>7.5397260273973004</v>
      </c>
      <c r="K60" s="3">
        <v>6.6091061082769</v>
      </c>
      <c r="L60" s="2" t="s">
        <v>356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100.02</v>
      </c>
      <c r="H61" s="3">
        <v>2.0493919763764001</v>
      </c>
      <c r="I61" s="3">
        <v>1.7813044226929</v>
      </c>
      <c r="J61" s="3">
        <v>2.2000000000000002</v>
      </c>
      <c r="K61" s="3">
        <v>2.1093557411208002</v>
      </c>
      <c r="L61" s="2" t="s">
        <v>356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101.23</v>
      </c>
      <c r="H62" s="3">
        <v>2.1586971943685</v>
      </c>
      <c r="I62" s="3">
        <v>1.8186959039567001</v>
      </c>
      <c r="J62" s="3">
        <v>2.5342465753424999</v>
      </c>
      <c r="K62" s="3">
        <v>2.3871495433489001</v>
      </c>
      <c r="L62" s="2" t="s">
        <v>356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79.52</v>
      </c>
      <c r="H63" s="3">
        <v>4.1753058009009001</v>
      </c>
      <c r="I63" s="3">
        <v>3.7775578736392998</v>
      </c>
      <c r="J63" s="3">
        <v>21.794520547945002</v>
      </c>
      <c r="K63" s="3">
        <v>15.118839169923</v>
      </c>
      <c r="L63" s="2" t="s">
        <v>356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74.08</v>
      </c>
      <c r="H64" s="3">
        <v>3.7119636606423998</v>
      </c>
      <c r="I64" s="3">
        <v>3.5657241300083999</v>
      </c>
      <c r="J64" s="3">
        <v>11.789041095889999</v>
      </c>
      <c r="K64" s="3">
        <v>10.628899532545001</v>
      </c>
      <c r="L64" s="2" t="s">
        <v>356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66.8</v>
      </c>
      <c r="H65" s="3">
        <v>4.2479267010191002</v>
      </c>
      <c r="I65" s="3">
        <v>3.8936856560484001</v>
      </c>
      <c r="J65" s="3">
        <v>27.304109589041001</v>
      </c>
      <c r="K65" s="3">
        <v>18.130946204855</v>
      </c>
      <c r="L65" s="2" t="s">
        <v>356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101.53</v>
      </c>
      <c r="H66" s="3">
        <v>2.0573757100590999</v>
      </c>
      <c r="I66" s="3">
        <v>1.6825932212121999</v>
      </c>
      <c r="J66" s="3">
        <v>1.7424657534246999</v>
      </c>
      <c r="K66" s="3">
        <v>1.6654458880048</v>
      </c>
      <c r="L66" s="2" t="s">
        <v>356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100.79</v>
      </c>
      <c r="H67" s="3">
        <v>3.5864863159703</v>
      </c>
      <c r="I67" s="3">
        <v>3.1208302302217001</v>
      </c>
      <c r="J67" s="3">
        <v>10.205479452055</v>
      </c>
      <c r="K67" s="3">
        <v>8.2340841045679998</v>
      </c>
      <c r="L67" s="2" t="s">
        <v>356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100.16</v>
      </c>
      <c r="H68" s="3">
        <v>1.9699545926269</v>
      </c>
      <c r="I68" s="3">
        <v>1.7053088054804</v>
      </c>
      <c r="J68" s="3">
        <v>1.1534246575342</v>
      </c>
      <c r="K68" s="3">
        <v>1.115968429497</v>
      </c>
      <c r="L68" s="2" t="s">
        <v>356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102.73</v>
      </c>
      <c r="H69" s="3">
        <v>2.9819831099737999</v>
      </c>
      <c r="I69" s="3">
        <v>2.5517794765478001</v>
      </c>
      <c r="J69" s="3">
        <v>6.1561643835615998</v>
      </c>
      <c r="K69" s="3">
        <v>5.3847611569016998</v>
      </c>
      <c r="L69" s="2" t="s">
        <v>356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74.55</v>
      </c>
      <c r="H70" s="3">
        <v>4.0254843928866002</v>
      </c>
      <c r="I70" s="3">
        <v>3.7528816462321002</v>
      </c>
      <c r="J70" s="3">
        <v>15.791780821918</v>
      </c>
      <c r="K70" s="3">
        <v>12.831591246538</v>
      </c>
      <c r="L70" s="2" t="s">
        <v>356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105.94</v>
      </c>
      <c r="H71" s="3">
        <v>2.8398689581614001</v>
      </c>
      <c r="I71" s="3">
        <v>2.3506433737874</v>
      </c>
      <c r="J71" s="3">
        <v>5.4931506849314999</v>
      </c>
      <c r="K71" s="3">
        <v>4.8636361863120001</v>
      </c>
      <c r="L71" s="2" t="s">
        <v>356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98.29</v>
      </c>
      <c r="H72" s="3">
        <v>1.9102112039701</v>
      </c>
      <c r="I72" s="3">
        <v>1.7958147122262</v>
      </c>
      <c r="J72" s="3">
        <v>1.6575342465753</v>
      </c>
      <c r="K72" s="3">
        <v>1.6138565667492999</v>
      </c>
      <c r="L72" s="2" t="s">
        <v>356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93.17</v>
      </c>
      <c r="H73" s="3">
        <v>2.3797200225775001</v>
      </c>
      <c r="I73" s="3">
        <v>2.3040564330284998</v>
      </c>
      <c r="J73" s="3">
        <v>3.7452054794520002</v>
      </c>
      <c r="K73" s="3">
        <v>3.6260630836486998</v>
      </c>
      <c r="L73" s="2" t="s">
        <v>356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105.39</v>
      </c>
      <c r="H74" s="3">
        <v>2.6033639748353998</v>
      </c>
      <c r="I74" s="3">
        <v>2.1320318693270002</v>
      </c>
      <c r="J74" s="3">
        <v>4.5753424657534003</v>
      </c>
      <c r="K74" s="3">
        <v>4.0829005975442998</v>
      </c>
      <c r="L74" s="2" t="s">
        <v>356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101.27</v>
      </c>
      <c r="H75" s="3">
        <v>2.1652778141788001</v>
      </c>
      <c r="I75" s="3">
        <v>1.8256641751445</v>
      </c>
      <c r="J75" s="3">
        <v>2.4054794520548</v>
      </c>
      <c r="K75" s="3">
        <v>2.2906341774958001</v>
      </c>
      <c r="L75" s="2" t="s">
        <v>356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103.21</v>
      </c>
      <c r="H76" s="3">
        <v>2.9043473526682999</v>
      </c>
      <c r="I76" s="3">
        <v>2.4679418129820001</v>
      </c>
      <c r="J76" s="3">
        <v>5.7452054794520002</v>
      </c>
      <c r="K76" s="3">
        <v>5.0763019853167002</v>
      </c>
      <c r="L76" s="2" t="s">
        <v>356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101.574</v>
      </c>
      <c r="H77" s="3">
        <v>2.0140232194663001</v>
      </c>
      <c r="I77" s="3">
        <v>1.5482201939814</v>
      </c>
      <c r="J77" s="3">
        <v>0.90410958904109995</v>
      </c>
      <c r="K77" s="3">
        <v>0.87745529003411005</v>
      </c>
      <c r="L77" s="2" t="s">
        <v>356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101.31</v>
      </c>
      <c r="H78" s="3">
        <v>2.4731548192942001</v>
      </c>
      <c r="I78" s="3">
        <v>2.1221083853452001</v>
      </c>
      <c r="J78" s="3">
        <v>4.0739726027397003</v>
      </c>
      <c r="K78" s="3">
        <v>3.7427332622103</v>
      </c>
      <c r="L78" s="2" t="s">
        <v>356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97.53</v>
      </c>
      <c r="H79" s="3">
        <v>2.0530949405360999</v>
      </c>
      <c r="I79" s="3">
        <v>1.9315036948158999</v>
      </c>
      <c r="J79" s="3">
        <v>2.3232876712329</v>
      </c>
      <c r="K79" s="3">
        <v>2.2530963646691</v>
      </c>
      <c r="L79" s="2" t="s">
        <v>356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101.02</v>
      </c>
      <c r="H80" s="3">
        <v>2.3155193737714002</v>
      </c>
      <c r="I80" s="3">
        <v>1.9713651414849001</v>
      </c>
      <c r="J80" s="3">
        <v>3.0739726027396999</v>
      </c>
      <c r="K80" s="3">
        <v>2.892350809941</v>
      </c>
      <c r="L80" s="2" t="s">
        <v>356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104.55</v>
      </c>
      <c r="H81" s="3">
        <v>2.7471658993713</v>
      </c>
      <c r="I81" s="3">
        <v>2.2645377959892001</v>
      </c>
      <c r="J81" s="3">
        <v>5.0739726027397003</v>
      </c>
      <c r="K81" s="3">
        <v>4.4954377225347999</v>
      </c>
      <c r="L81" s="2" t="s">
        <v>356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</v>
      </c>
      <c r="H82" s="3">
        <v>2.2573272303312999</v>
      </c>
      <c r="I82" s="3">
        <v>2.1711930463317</v>
      </c>
      <c r="J82" s="3">
        <v>3.1561643835615998</v>
      </c>
      <c r="K82" s="3">
        <v>3.0653005246070002</v>
      </c>
      <c r="L82" s="2" t="s">
        <v>356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102.85</v>
      </c>
      <c r="H83" s="3">
        <v>2.1015787500591001</v>
      </c>
      <c r="I83" s="3">
        <v>1.6739114788772</v>
      </c>
      <c r="J83" s="3">
        <v>2.1534246575342002</v>
      </c>
      <c r="K83" s="3">
        <v>2.0291314791984001</v>
      </c>
      <c r="L83" s="2" t="s">
        <v>356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102.37</v>
      </c>
      <c r="H84" s="3">
        <v>2.0266896305055</v>
      </c>
      <c r="I84" s="3">
        <v>1.5505353870025</v>
      </c>
      <c r="J84" s="3">
        <v>1.3232876712329</v>
      </c>
      <c r="K84" s="3">
        <v>1.2697839140889</v>
      </c>
      <c r="L84" s="2" t="s">
        <v>356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</v>
      </c>
      <c r="H85" s="3">
        <v>1.9359711565830999</v>
      </c>
      <c r="I85" s="3">
        <v>1.6313733144572999</v>
      </c>
      <c r="J85" s="3">
        <v>0.49041095890411002</v>
      </c>
      <c r="K85" s="3">
        <v>0.48655905332541</v>
      </c>
      <c r="L85" s="2" t="s">
        <v>356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98.96</v>
      </c>
      <c r="H86" s="3">
        <v>4.4071600544044003</v>
      </c>
      <c r="I86" s="3">
        <v>3.8547092000031</v>
      </c>
      <c r="J86" s="3">
        <v>29.386301369862998</v>
      </c>
      <c r="K86" s="3">
        <v>16.085882007081</v>
      </c>
      <c r="L86" s="2" t="s">
        <v>356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100.93</v>
      </c>
      <c r="H87" s="3">
        <v>2.0260148142343999</v>
      </c>
      <c r="I87" s="3">
        <v>1.5958959780474</v>
      </c>
      <c r="J87" s="3">
        <v>0.65753424657533999</v>
      </c>
      <c r="K87" s="3">
        <v>0.63618208163584999</v>
      </c>
      <c r="L87" s="2" t="s">
        <v>356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94.77</v>
      </c>
      <c r="H88" s="3">
        <v>2.1823272770517002</v>
      </c>
      <c r="I88" s="3">
        <v>2.1436345307734999</v>
      </c>
      <c r="J88" s="3">
        <v>2.8219178082192</v>
      </c>
      <c r="K88" s="3">
        <v>2.7521783799842998</v>
      </c>
      <c r="L88" s="2" t="s">
        <v>356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80.989999999999995</v>
      </c>
      <c r="H89" s="3">
        <v>3.6200703389174</v>
      </c>
      <c r="I89" s="3">
        <v>3.4100016548774001</v>
      </c>
      <c r="J89" s="3">
        <v>10.789041095889999</v>
      </c>
      <c r="K89" s="3">
        <v>9.5388766473461004</v>
      </c>
      <c r="L89" s="2" t="s">
        <v>356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98.11</v>
      </c>
      <c r="H90" s="3">
        <v>4.0527016783652003</v>
      </c>
      <c r="I90" s="3">
        <v>3.5532827194380001</v>
      </c>
      <c r="J90" s="3">
        <v>15.378082191781001</v>
      </c>
      <c r="K90" s="3">
        <v>11.194574175308</v>
      </c>
      <c r="L90" s="2" t="s">
        <v>356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99.795000000000002</v>
      </c>
      <c r="H91" s="3">
        <v>2.0394810855691001</v>
      </c>
      <c r="I91" s="3">
        <v>1.8783220735032999</v>
      </c>
      <c r="J91" s="3">
        <v>0.23835616438356</v>
      </c>
      <c r="K91" s="3">
        <v>0.23361646700988001</v>
      </c>
      <c r="L91" s="2" t="s">
        <v>356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9.8383561643835993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107.74</v>
      </c>
      <c r="H93" s="3">
        <v>2.2975700883240999</v>
      </c>
      <c r="I93" s="3">
        <v>1.7251425874729001</v>
      </c>
      <c r="J93" s="3">
        <v>3.2876712328767002</v>
      </c>
      <c r="K93" s="3">
        <v>2.9948236234416998</v>
      </c>
      <c r="L93" s="2" t="s">
        <v>356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102.66</v>
      </c>
      <c r="H94" s="3">
        <v>4.3794893658055001</v>
      </c>
      <c r="I94" s="3">
        <v>3.8155864241884001</v>
      </c>
      <c r="J94" s="3">
        <v>28.386301369862998</v>
      </c>
      <c r="K94" s="3">
        <v>15.687037759504999</v>
      </c>
      <c r="L94" s="2" t="s">
        <v>356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100.59</v>
      </c>
      <c r="H95" s="3">
        <v>3.1803631251008002</v>
      </c>
      <c r="I95" s="3">
        <v>2.7697107387833002</v>
      </c>
      <c r="J95" s="3">
        <v>7.1589041095889998</v>
      </c>
      <c r="K95" s="3">
        <v>6.2345606971406999</v>
      </c>
      <c r="L95" s="2" t="s">
        <v>356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100.77</v>
      </c>
      <c r="H96" s="3">
        <v>2.0367786405125998</v>
      </c>
      <c r="I96" s="3">
        <v>1.6250539659289001</v>
      </c>
      <c r="J96" s="3">
        <v>0.69315068493151</v>
      </c>
      <c r="K96" s="3">
        <v>0.67173467973320999</v>
      </c>
      <c r="L96" s="2" t="s">
        <v>356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100.52</v>
      </c>
      <c r="H97" s="3">
        <v>2.0821266178953</v>
      </c>
      <c r="I97" s="3">
        <v>1.6409141065607999</v>
      </c>
      <c r="J97" s="3">
        <v>0.36164383561643998</v>
      </c>
      <c r="K97" s="3">
        <v>0.35432171073653002</v>
      </c>
      <c r="L97" s="2" t="s">
        <v>356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99.974999999999994</v>
      </c>
      <c r="H98" s="3">
        <v>2.0400752828983002</v>
      </c>
      <c r="I98" s="3">
        <v>1.8060838379035999</v>
      </c>
      <c r="J98" s="3">
        <v>0.11506849315069</v>
      </c>
      <c r="K98" s="3">
        <v>0.11277396425663</v>
      </c>
      <c r="L98" s="2" t="s">
        <v>356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101.34</v>
      </c>
      <c r="H99" s="3">
        <v>2.0433223642945002</v>
      </c>
      <c r="I99" s="3">
        <v>1.6556924799348001</v>
      </c>
      <c r="J99" s="3">
        <v>1.2739726027397</v>
      </c>
      <c r="K99" s="3">
        <v>1.2264719899440999</v>
      </c>
      <c r="L99" s="2" t="s">
        <v>356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100.67</v>
      </c>
      <c r="H100" s="3">
        <v>3.0526781964004002</v>
      </c>
      <c r="I100" s="3">
        <v>2.65561212777</v>
      </c>
      <c r="J100" s="3">
        <v>6.4931506849314999</v>
      </c>
      <c r="K100" s="3">
        <v>5.7524751600614996</v>
      </c>
      <c r="L100" s="2" t="s">
        <v>356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</v>
      </c>
      <c r="H101" s="3">
        <v>2.0944681299178001</v>
      </c>
      <c r="I101" s="3">
        <v>1.7695227540539999</v>
      </c>
      <c r="J101" s="3">
        <v>1.7698630136986</v>
      </c>
      <c r="K101" s="3">
        <v>1.6969595446932</v>
      </c>
      <c r="L101" s="2" t="s">
        <v>356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103.23</v>
      </c>
      <c r="H102" s="3">
        <v>2.2361590926985002</v>
      </c>
      <c r="I102" s="3">
        <v>1.8028874563791</v>
      </c>
      <c r="J102" s="3">
        <v>2.8684931506849001</v>
      </c>
      <c r="K102" s="3">
        <v>2.6929634588392002</v>
      </c>
      <c r="L102" s="2" t="s">
        <v>356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103.85</v>
      </c>
      <c r="H103" s="3">
        <v>2.8748324683640001</v>
      </c>
      <c r="I103" s="3">
        <v>2.4138639932045001</v>
      </c>
      <c r="J103" s="3">
        <v>4.7945205479451998</v>
      </c>
      <c r="K103" s="3">
        <v>4.2906532281486003</v>
      </c>
      <c r="L103" s="2" t="s">
        <v>356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103.85</v>
      </c>
      <c r="H104" s="3">
        <v>3.0107344094716999</v>
      </c>
      <c r="I104" s="3">
        <v>2.5376146253191001</v>
      </c>
      <c r="J104" s="3">
        <v>4.7945205479451998</v>
      </c>
      <c r="K104" s="3">
        <v>4.2857742646145001</v>
      </c>
      <c r="L104" s="2" t="s">
        <v>356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105.7</v>
      </c>
      <c r="H105" s="3">
        <v>2.5917423943640001</v>
      </c>
      <c r="I105" s="3">
        <v>2.0591601995719002</v>
      </c>
      <c r="J105" s="3">
        <v>3.3945205479451999</v>
      </c>
      <c r="K105" s="3">
        <v>3.0946049957806001</v>
      </c>
      <c r="L105" s="2" t="s">
        <v>356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105.7</v>
      </c>
      <c r="H106" s="3">
        <v>2.7310554166794998</v>
      </c>
      <c r="I106" s="3">
        <v>2.1877181849574998</v>
      </c>
      <c r="J106" s="3">
        <v>3.3945205479451999</v>
      </c>
      <c r="K106" s="3">
        <v>3.0907436339682</v>
      </c>
      <c r="L106" s="2" t="s">
        <v>356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103.41</v>
      </c>
      <c r="H107" s="3">
        <v>2.2857594589072998</v>
      </c>
      <c r="I107" s="3">
        <v>1.7952466124373001</v>
      </c>
      <c r="J107" s="3">
        <v>2.0657534246574998</v>
      </c>
      <c r="K107" s="3">
        <v>1.9372798760644001</v>
      </c>
      <c r="L107" s="2" t="s">
        <v>356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103.41</v>
      </c>
      <c r="H108" s="3">
        <v>2.5204430321185001</v>
      </c>
      <c r="I108" s="3">
        <v>2.0157391945624998</v>
      </c>
      <c r="J108" s="3">
        <v>2.0657534246574998</v>
      </c>
      <c r="K108" s="3">
        <v>1.9329623561392999</v>
      </c>
      <c r="L108" s="2" t="s">
        <v>356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103.57</v>
      </c>
      <c r="H109" s="3">
        <v>2.9292771902807999</v>
      </c>
      <c r="I109" s="3">
        <v>2.4716959273026999</v>
      </c>
      <c r="J109" s="3">
        <v>4.9863013698629999</v>
      </c>
      <c r="K109" s="3">
        <v>4.4704776400382</v>
      </c>
      <c r="L109" s="2" t="s">
        <v>356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103.57</v>
      </c>
      <c r="H110" s="3">
        <v>3.0783676645873999</v>
      </c>
      <c r="I110" s="3">
        <v>2.6068524030722</v>
      </c>
      <c r="J110" s="3">
        <v>4.9863013698629999</v>
      </c>
      <c r="K110" s="3">
        <v>4.4649668220962999</v>
      </c>
      <c r="L110" s="2" t="s">
        <v>356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102.32</v>
      </c>
      <c r="H111" s="3">
        <v>4.7406693411078997</v>
      </c>
      <c r="I111" s="3">
        <v>4.4139660723335004</v>
      </c>
      <c r="J111" s="3">
        <v>31.008219178082001</v>
      </c>
      <c r="K111" s="3">
        <v>5.7912837575239999</v>
      </c>
      <c r="L111" s="2" t="s">
        <v>356</v>
      </c>
      <c r="M111" s="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9784-BB07-7E43-BECC-F331190CE648}">
  <dimension ref="A1:M111"/>
  <sheetViews>
    <sheetView workbookViewId="0">
      <selection activeCell="V16" sqref="V16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117.35</v>
      </c>
      <c r="H2" s="3">
        <v>3.2118640284451998</v>
      </c>
      <c r="I2" s="3">
        <v>2.5492226857241</v>
      </c>
      <c r="J2" s="3">
        <v>7.7068493150685002</v>
      </c>
      <c r="K2" s="3">
        <v>6.1680722662312002</v>
      </c>
      <c r="L2" s="2" t="s">
        <v>357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100.44</v>
      </c>
      <c r="H3" s="3">
        <v>1.9874702109558</v>
      </c>
      <c r="I3" s="3">
        <v>1.6961188886267999</v>
      </c>
      <c r="J3" s="3">
        <v>2.0301369863013998</v>
      </c>
      <c r="K3" s="3">
        <v>1.9380381998609999</v>
      </c>
      <c r="L3" s="2" t="s">
        <v>357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99.71</v>
      </c>
      <c r="H4" s="3">
        <v>2.1197534992179001</v>
      </c>
      <c r="I4" s="3">
        <v>1.8623915860967999</v>
      </c>
      <c r="J4" s="3">
        <v>2.7013698630137002</v>
      </c>
      <c r="K4" s="3">
        <v>2.5733823498739001</v>
      </c>
      <c r="L4" s="2" t="s">
        <v>357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102.16</v>
      </c>
      <c r="H5" s="3">
        <v>2.4691822523490998</v>
      </c>
      <c r="I5" s="3">
        <v>2.0948596114734999</v>
      </c>
      <c r="J5" s="3">
        <v>4.2</v>
      </c>
      <c r="K5" s="3">
        <v>3.8515951454369999</v>
      </c>
      <c r="L5" s="2" t="s">
        <v>357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102.41</v>
      </c>
      <c r="H6" s="3">
        <v>3.9631260909056998</v>
      </c>
      <c r="I6" s="3">
        <v>3.4412035106375001</v>
      </c>
      <c r="J6" s="3">
        <v>14.372602739726</v>
      </c>
      <c r="K6" s="3">
        <v>10.542641254284</v>
      </c>
      <c r="L6" s="2" t="s">
        <v>357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86.98</v>
      </c>
      <c r="H7" s="3">
        <v>2.9312699443111998</v>
      </c>
      <c r="I7" s="3">
        <v>2.8488156039881001</v>
      </c>
      <c r="J7" s="3">
        <v>6.2</v>
      </c>
      <c r="K7" s="3">
        <v>5.9004341673210998</v>
      </c>
      <c r="L7" s="2" t="s">
        <v>357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108.6</v>
      </c>
      <c r="H8" s="3">
        <v>4.1384289514684998</v>
      </c>
      <c r="I8" s="3">
        <v>3.5622140016784001</v>
      </c>
      <c r="J8" s="3">
        <v>19.295890410959</v>
      </c>
      <c r="K8" s="3">
        <v>12.494101578637</v>
      </c>
      <c r="L8" s="2" t="s">
        <v>357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104.23</v>
      </c>
      <c r="H9" s="3">
        <v>2.5693119345317998</v>
      </c>
      <c r="I9" s="3">
        <v>2.1345047182011001</v>
      </c>
      <c r="J9" s="3">
        <v>4.7808219178081997</v>
      </c>
      <c r="K9" s="3">
        <v>4.3102208691457999</v>
      </c>
      <c r="L9" s="2" t="s">
        <v>357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91.76</v>
      </c>
      <c r="H10" s="3">
        <v>3.0228475473790999</v>
      </c>
      <c r="I10" s="3">
        <v>2.8010493886879999</v>
      </c>
      <c r="J10" s="3">
        <v>6.7835616438355997</v>
      </c>
      <c r="K10" s="3">
        <v>6.2145454236165998</v>
      </c>
      <c r="L10" s="2" t="s">
        <v>357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99.67</v>
      </c>
      <c r="H11" s="3">
        <v>1.9341877788755</v>
      </c>
      <c r="I11" s="3">
        <v>1.7319134311283</v>
      </c>
      <c r="J11" s="3">
        <v>1.0301369863014</v>
      </c>
      <c r="K11" s="3">
        <v>0.99894390314211001</v>
      </c>
      <c r="L11" s="2" t="s">
        <v>357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87.47</v>
      </c>
      <c r="H12" s="3">
        <v>3.6412231794143999</v>
      </c>
      <c r="I12" s="3">
        <v>3.3305608399093001</v>
      </c>
      <c r="J12" s="3">
        <v>11.290410958903999</v>
      </c>
      <c r="K12" s="3">
        <v>9.5229615181713996</v>
      </c>
      <c r="L12" s="2" t="s">
        <v>357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89.36</v>
      </c>
      <c r="H13" s="3">
        <v>4.2186337291577001</v>
      </c>
      <c r="I13" s="3">
        <v>3.7448528758667998</v>
      </c>
      <c r="J13" s="3">
        <v>22.794520547945002</v>
      </c>
      <c r="K13" s="3">
        <v>14.766914927679</v>
      </c>
      <c r="L13" s="2" t="s">
        <v>357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90.89</v>
      </c>
      <c r="H14" s="3">
        <v>3.9531607316402</v>
      </c>
      <c r="I14" s="3">
        <v>3.5344549439863</v>
      </c>
      <c r="J14" s="3">
        <v>14.789041095889999</v>
      </c>
      <c r="K14" s="3">
        <v>11.276366902757999</v>
      </c>
      <c r="L14" s="2" t="s">
        <v>357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98.334999999999994</v>
      </c>
      <c r="H15" s="3">
        <v>1.9350761609367</v>
      </c>
      <c r="I15" s="3">
        <v>1.9224171756502</v>
      </c>
      <c r="J15" s="3">
        <v>0.86301369863013999</v>
      </c>
      <c r="K15" s="3">
        <v>0.84684219662819005</v>
      </c>
      <c r="L15" s="2" t="s">
        <v>357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59.85</v>
      </c>
      <c r="H16" s="3">
        <v>4.1182079901378001</v>
      </c>
      <c r="I16" s="3">
        <v>3.7204146039746</v>
      </c>
      <c r="J16" s="3">
        <v>46.810958904110002</v>
      </c>
      <c r="K16" s="3">
        <v>23.158970147026999</v>
      </c>
      <c r="L16" s="2" t="s">
        <v>357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94.5</v>
      </c>
      <c r="H17" s="3">
        <v>3.8306101724918</v>
      </c>
      <c r="I17" s="3">
        <v>3.4014756755634998</v>
      </c>
      <c r="J17" s="3">
        <v>12.786301369863001</v>
      </c>
      <c r="K17" s="3">
        <v>10.026199077594001</v>
      </c>
      <c r="L17" s="2" t="s">
        <v>357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</v>
      </c>
      <c r="H18" s="3">
        <v>1.9886999405824</v>
      </c>
      <c r="I18" s="3">
        <v>1.8484798956841999</v>
      </c>
      <c r="J18" s="3">
        <v>1.8630136986301</v>
      </c>
      <c r="K18" s="3">
        <v>1.8105082983981</v>
      </c>
      <c r="L18" s="2" t="s">
        <v>357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103.19</v>
      </c>
      <c r="H19" s="3">
        <v>2.5409786465172002</v>
      </c>
      <c r="I19" s="3">
        <v>2.1217589870997</v>
      </c>
      <c r="J19" s="3">
        <v>4.1150684931506998</v>
      </c>
      <c r="K19" s="3">
        <v>3.7432302590798998</v>
      </c>
      <c r="L19" s="2" t="s">
        <v>357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103.37</v>
      </c>
      <c r="H20" s="3">
        <v>3.4413297937094001</v>
      </c>
      <c r="I20" s="3">
        <v>2.9603727610377999</v>
      </c>
      <c r="J20" s="3">
        <v>9.1178082191780998</v>
      </c>
      <c r="K20" s="3">
        <v>7.4417646773308004</v>
      </c>
      <c r="L20" s="2" t="s">
        <v>357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94.24</v>
      </c>
      <c r="H21" s="3">
        <v>2.7967028262256002</v>
      </c>
      <c r="I21" s="3">
        <v>2.5760516350623002</v>
      </c>
      <c r="J21" s="3">
        <v>5.5342465753425003</v>
      </c>
      <c r="K21" s="3">
        <v>5.1198539572374004</v>
      </c>
      <c r="L21" s="2" t="s">
        <v>357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88.1</v>
      </c>
      <c r="H22" s="3">
        <v>2.9881118279385999</v>
      </c>
      <c r="I22" s="3">
        <v>2.8581770289950001</v>
      </c>
      <c r="J22" s="3">
        <v>6.5342465753425003</v>
      </c>
      <c r="K22" s="3">
        <v>6.1211477623867996</v>
      </c>
      <c r="L22" s="2" t="s">
        <v>357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104.62</v>
      </c>
      <c r="H23" s="3">
        <v>2.3052273314725999</v>
      </c>
      <c r="I23" s="3">
        <v>1.8385026404345</v>
      </c>
      <c r="J23" s="3">
        <v>3.2</v>
      </c>
      <c r="K23" s="3">
        <v>2.9479032005176999</v>
      </c>
      <c r="L23" s="2" t="s">
        <v>357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112.68</v>
      </c>
      <c r="H24" s="3">
        <v>3.4105925774324999</v>
      </c>
      <c r="I24" s="3">
        <v>2.8175265179785001</v>
      </c>
      <c r="J24" s="3">
        <v>9.2027397260273993</v>
      </c>
      <c r="K24" s="3">
        <v>7.2599456849099999</v>
      </c>
      <c r="L24" s="2" t="s">
        <v>357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103.54</v>
      </c>
      <c r="H25" s="3">
        <v>3.6544087815083</v>
      </c>
      <c r="I25" s="3">
        <v>3.1569403332675998</v>
      </c>
      <c r="J25" s="3">
        <v>11.709589041096001</v>
      </c>
      <c r="K25" s="3">
        <v>9.0730290299092005</v>
      </c>
      <c r="L25" s="2" t="s">
        <v>357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112.24</v>
      </c>
      <c r="H26" s="3">
        <v>3.9060208856542999</v>
      </c>
      <c r="I26" s="3">
        <v>3.3139039969987998</v>
      </c>
      <c r="J26" s="3">
        <v>14.205479452055</v>
      </c>
      <c r="K26" s="3">
        <v>10.055929867922</v>
      </c>
      <c r="L26" s="2" t="s">
        <v>357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99.02</v>
      </c>
      <c r="H27" s="3">
        <v>1.9101343996511</v>
      </c>
      <c r="I27" s="3">
        <v>1.7515881159054001</v>
      </c>
      <c r="J27" s="3">
        <v>1.5315068493151001</v>
      </c>
      <c r="K27" s="3">
        <v>1.4844571466523</v>
      </c>
      <c r="L27" s="2" t="s">
        <v>357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101.77</v>
      </c>
      <c r="H28" s="3">
        <v>2.2855647947588</v>
      </c>
      <c r="I28" s="3">
        <v>1.9312629899731</v>
      </c>
      <c r="J28" s="3">
        <v>3.5342465753424999</v>
      </c>
      <c r="K28" s="3">
        <v>3.2733912232416</v>
      </c>
      <c r="L28" s="2" t="s">
        <v>357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</v>
      </c>
      <c r="H29" s="3">
        <v>1.9099413032201999</v>
      </c>
      <c r="I29" s="3">
        <v>1.8398458917856999</v>
      </c>
      <c r="J29" s="3">
        <v>0.70136986301369997</v>
      </c>
      <c r="K29" s="3">
        <v>0.68981691665643996</v>
      </c>
      <c r="L29" s="2" t="s">
        <v>357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97.82</v>
      </c>
      <c r="H30" s="3">
        <v>1.8494716772241999</v>
      </c>
      <c r="I30" s="3">
        <v>1.8473551062225999</v>
      </c>
      <c r="J30" s="3">
        <v>1.1972602739725999</v>
      </c>
      <c r="K30" s="3">
        <v>1.1808993274301001</v>
      </c>
      <c r="L30" s="2" t="s">
        <v>357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102.95</v>
      </c>
      <c r="H31" s="3">
        <v>3.5158370810605</v>
      </c>
      <c r="I31" s="3">
        <v>3.0354955116364</v>
      </c>
      <c r="J31" s="3">
        <v>9.7068493150684994</v>
      </c>
      <c r="K31" s="3">
        <v>7.8521244883532999</v>
      </c>
      <c r="L31" s="2" t="s">
        <v>357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111.91</v>
      </c>
      <c r="H32" s="3">
        <v>3.9881774714009999</v>
      </c>
      <c r="I32" s="3">
        <v>3.3937472750564002</v>
      </c>
      <c r="J32" s="3">
        <v>15.293150684932</v>
      </c>
      <c r="K32" s="3">
        <v>10.617520239901999</v>
      </c>
      <c r="L32" s="2" t="s">
        <v>357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101.90300000000001</v>
      </c>
      <c r="H33" s="3">
        <v>2.000140780897</v>
      </c>
      <c r="I33" s="3">
        <v>1.4531627914197001</v>
      </c>
      <c r="J33" s="3">
        <v>0.77808219178082005</v>
      </c>
      <c r="K33" s="3">
        <v>0.75506632866486001</v>
      </c>
      <c r="L33" s="2" t="s">
        <v>357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87.12</v>
      </c>
      <c r="H34" s="3">
        <v>4.2078890237305</v>
      </c>
      <c r="I34" s="3">
        <v>3.7561521638766999</v>
      </c>
      <c r="J34" s="3">
        <v>21.295890410959</v>
      </c>
      <c r="K34" s="3">
        <v>14.33333529548</v>
      </c>
      <c r="L34" s="2" t="s">
        <v>357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100.039</v>
      </c>
      <c r="H35" s="3">
        <v>1.8946899161865001</v>
      </c>
      <c r="I35" s="3">
        <v>1.6488044981782</v>
      </c>
      <c r="J35" s="3">
        <v>0.53150684931506997</v>
      </c>
      <c r="K35" s="3">
        <v>0.51687473279667995</v>
      </c>
      <c r="L35" s="2" t="s">
        <v>357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71.39</v>
      </c>
      <c r="H36" s="3">
        <v>4.3174205372229997</v>
      </c>
      <c r="I36" s="3">
        <v>3.8612994289356002</v>
      </c>
      <c r="J36" s="3">
        <v>41.805479452055003</v>
      </c>
      <c r="K36" s="3">
        <v>20.569790870620999</v>
      </c>
      <c r="L36" s="2" t="s">
        <v>357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94.29</v>
      </c>
      <c r="H37" s="3">
        <v>3.2646637210097</v>
      </c>
      <c r="I37" s="3">
        <v>2.9393169130608001</v>
      </c>
      <c r="J37" s="3">
        <v>8.2876712328767006</v>
      </c>
      <c r="K37" s="3">
        <v>7.2455150905843002</v>
      </c>
      <c r="L37" s="2" t="s">
        <v>357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91.2</v>
      </c>
      <c r="H38" s="3">
        <v>3.8326121792581</v>
      </c>
      <c r="I38" s="3">
        <v>3.4360214157983999</v>
      </c>
      <c r="J38" s="3">
        <v>13.290410958903999</v>
      </c>
      <c r="K38" s="3">
        <v>10.486661183215</v>
      </c>
      <c r="L38" s="2" t="s">
        <v>357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99.1</v>
      </c>
      <c r="H39" s="3">
        <v>3.4871427681688001</v>
      </c>
      <c r="I39" s="3">
        <v>3.0577000302637001</v>
      </c>
      <c r="J39" s="3">
        <v>9.7835616438356006</v>
      </c>
      <c r="K39" s="3">
        <v>8.0735494701108994</v>
      </c>
      <c r="L39" s="2" t="s">
        <v>357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94.5</v>
      </c>
      <c r="H40" s="3">
        <v>4.2546838456513996</v>
      </c>
      <c r="I40" s="3">
        <v>3.7451638424485001</v>
      </c>
      <c r="J40" s="3">
        <v>24.298630136985999</v>
      </c>
      <c r="K40" s="3">
        <v>14.959796062051</v>
      </c>
      <c r="L40" s="2" t="s">
        <v>357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94.29</v>
      </c>
      <c r="H41" s="3">
        <v>2.6231718647209998</v>
      </c>
      <c r="I41" s="3">
        <v>2.4466708003457001</v>
      </c>
      <c r="J41" s="3">
        <v>4.8657534246575</v>
      </c>
      <c r="K41" s="3">
        <v>4.5914498137791</v>
      </c>
      <c r="L41" s="2" t="s">
        <v>357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72.760000000000005</v>
      </c>
      <c r="H42" s="3">
        <v>4.2521357693108</v>
      </c>
      <c r="I42" s="3">
        <v>3.8687871458613001</v>
      </c>
      <c r="J42" s="3">
        <v>25.298630136985999</v>
      </c>
      <c r="K42" s="3">
        <v>16.861360582905998</v>
      </c>
      <c r="L42" s="2" t="s">
        <v>357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61.16</v>
      </c>
      <c r="H43" s="3">
        <v>4.1778268110488996</v>
      </c>
      <c r="I43" s="3">
        <v>3.8812481080458001</v>
      </c>
      <c r="J43" s="3">
        <v>26.298630136985999</v>
      </c>
      <c r="K43" s="3">
        <v>18.666210530053998</v>
      </c>
      <c r="L43" s="2" t="s">
        <v>357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104.36</v>
      </c>
      <c r="H44" s="3">
        <v>4.1470434266765004</v>
      </c>
      <c r="I44" s="3">
        <v>3.5943303356395999</v>
      </c>
      <c r="J44" s="3">
        <v>18.293150684932002</v>
      </c>
      <c r="K44" s="3">
        <v>12.215974469169</v>
      </c>
      <c r="L44" s="2" t="s">
        <v>357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106.34</v>
      </c>
      <c r="H45" s="3">
        <v>3.3860942972206001</v>
      </c>
      <c r="I45" s="3">
        <v>2.8720788757526998</v>
      </c>
      <c r="J45" s="3">
        <v>8.7835616438356006</v>
      </c>
      <c r="K45" s="3">
        <v>7.1797365008145997</v>
      </c>
      <c r="L45" s="2" t="s">
        <v>357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89.54</v>
      </c>
      <c r="H46" s="3">
        <v>2.8687481902563001</v>
      </c>
      <c r="I46" s="3">
        <v>2.7475341508887001</v>
      </c>
      <c r="J46" s="3">
        <v>5.8657534246575</v>
      </c>
      <c r="K46" s="3">
        <v>5.5500887892296999</v>
      </c>
      <c r="L46" s="2" t="s">
        <v>357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86.81</v>
      </c>
      <c r="H47" s="3">
        <v>3.0694051267359002</v>
      </c>
      <c r="I47" s="3">
        <v>2.9295068187991</v>
      </c>
      <c r="J47" s="3">
        <v>7.0356164383562003</v>
      </c>
      <c r="K47" s="3">
        <v>6.5661754819895002</v>
      </c>
      <c r="L47" s="2" t="s">
        <v>357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108.22</v>
      </c>
      <c r="H48" s="3">
        <v>3.2413164124791001</v>
      </c>
      <c r="I48" s="3">
        <v>2.7088770127150998</v>
      </c>
      <c r="J48" s="3">
        <v>7.9506849315068999</v>
      </c>
      <c r="K48" s="3">
        <v>6.6230614330651001</v>
      </c>
      <c r="L48" s="2" t="s">
        <v>357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107.58</v>
      </c>
      <c r="H49" s="3">
        <v>1.9073317252582001</v>
      </c>
      <c r="I49" s="3">
        <v>1.0419885667188999</v>
      </c>
      <c r="J49" s="3">
        <v>1.4493150684931</v>
      </c>
      <c r="K49" s="3">
        <v>1.3761706089435</v>
      </c>
      <c r="L49" s="2" t="s">
        <v>357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110.46</v>
      </c>
      <c r="H50" s="3">
        <v>2.0969882420347998</v>
      </c>
      <c r="I50" s="3">
        <v>1.3283278670112</v>
      </c>
      <c r="J50" s="3">
        <v>2.4493150684931999</v>
      </c>
      <c r="K50" s="3">
        <v>2.2585692960346999</v>
      </c>
      <c r="L50" s="2" t="s">
        <v>357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111.62</v>
      </c>
      <c r="H51" s="3">
        <v>2.4847285192377999</v>
      </c>
      <c r="I51" s="3">
        <v>1.8633261954331</v>
      </c>
      <c r="J51" s="3">
        <v>4.4520547945205999</v>
      </c>
      <c r="K51" s="3">
        <v>3.9480009781894001</v>
      </c>
      <c r="L51" s="2" t="s">
        <v>357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117.31</v>
      </c>
      <c r="H52" s="3">
        <v>2.8340985232082998</v>
      </c>
      <c r="I52" s="3">
        <v>2.1434830999208998</v>
      </c>
      <c r="J52" s="3">
        <v>5.9479452054794999</v>
      </c>
      <c r="K52" s="3">
        <v>5.0150685648479998</v>
      </c>
      <c r="L52" s="2" t="s">
        <v>357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99.971000000000004</v>
      </c>
      <c r="H53" s="3">
        <v>2.2149342173119999</v>
      </c>
      <c r="I53" s="3">
        <v>2.0477673750026</v>
      </c>
      <c r="J53" s="3">
        <v>3.0136986301369999E-2</v>
      </c>
      <c r="K53" s="3">
        <v>3.2164866539304997E-2</v>
      </c>
      <c r="L53" s="2" t="s">
        <v>357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91.54</v>
      </c>
      <c r="H54" s="3">
        <v>2.7228368808902998</v>
      </c>
      <c r="I54" s="3">
        <v>2.5913357164901001</v>
      </c>
      <c r="J54" s="3">
        <v>5.2</v>
      </c>
      <c r="K54" s="3">
        <v>4.9298684410172999</v>
      </c>
      <c r="L54" s="2" t="s">
        <v>357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107.67</v>
      </c>
      <c r="H55" s="3">
        <v>3.1019034525968001</v>
      </c>
      <c r="I55" s="3">
        <v>2.5970656313483</v>
      </c>
      <c r="J55" s="3">
        <v>8.4547945205478996</v>
      </c>
      <c r="K55" s="3">
        <v>6.9908515625482996</v>
      </c>
      <c r="L55" s="2" t="s">
        <v>357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100.13</v>
      </c>
      <c r="H56" s="3">
        <v>3.6145909121474999</v>
      </c>
      <c r="I56" s="3">
        <v>3.1576958612994002</v>
      </c>
      <c r="J56" s="3">
        <v>10.369863013699</v>
      </c>
      <c r="K56" s="3">
        <v>8.4268362024360002</v>
      </c>
      <c r="L56" s="2" t="s">
        <v>357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101.75</v>
      </c>
      <c r="H57" s="3">
        <v>2.5871875892767999</v>
      </c>
      <c r="I57" s="3">
        <v>2.2059228388812002</v>
      </c>
      <c r="J57" s="3">
        <v>4.3671232876712001</v>
      </c>
      <c r="K57" s="3">
        <v>4.0090832574831996</v>
      </c>
      <c r="L57" s="2" t="s">
        <v>357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105.87</v>
      </c>
      <c r="H58" s="3">
        <v>2.441492628687</v>
      </c>
      <c r="I58" s="3">
        <v>1.915065392219</v>
      </c>
      <c r="J58" s="3">
        <v>3.7041095890411002</v>
      </c>
      <c r="K58" s="3">
        <v>3.3612737481386001</v>
      </c>
      <c r="L58" s="2" t="s">
        <v>357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100.98</v>
      </c>
      <c r="H59" s="3">
        <v>2.7607015153229999</v>
      </c>
      <c r="I59" s="3">
        <v>2.3895385208247002</v>
      </c>
      <c r="J59" s="3">
        <v>5.1150684931506998</v>
      </c>
      <c r="K59" s="3">
        <v>4.6299444080229</v>
      </c>
      <c r="L59" s="2" t="s">
        <v>357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95.74</v>
      </c>
      <c r="H60" s="3">
        <v>3.1612674773350999</v>
      </c>
      <c r="I60" s="3">
        <v>2.8130096536589999</v>
      </c>
      <c r="J60" s="3">
        <v>7.5369863013699003</v>
      </c>
      <c r="K60" s="3">
        <v>6.6074671187108001</v>
      </c>
      <c r="L60" s="2" t="s">
        <v>357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100.07</v>
      </c>
      <c r="H61" s="3">
        <v>2.0257806316924998</v>
      </c>
      <c r="I61" s="3">
        <v>1.7577859869048</v>
      </c>
      <c r="J61" s="3">
        <v>2.1972602739726002</v>
      </c>
      <c r="K61" s="3">
        <v>2.1071751196938</v>
      </c>
      <c r="L61" s="2" t="s">
        <v>357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101.26</v>
      </c>
      <c r="H62" s="3">
        <v>2.1458967483920999</v>
      </c>
      <c r="I62" s="3">
        <v>1.8059741262692</v>
      </c>
      <c r="J62" s="3">
        <v>2.5315068493150998</v>
      </c>
      <c r="K62" s="3">
        <v>2.3847869814015001</v>
      </c>
      <c r="L62" s="2" t="s">
        <v>357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79.53</v>
      </c>
      <c r="H63" s="3">
        <v>4.1746161936824002</v>
      </c>
      <c r="I63" s="3">
        <v>3.7769015463599001</v>
      </c>
      <c r="J63" s="3">
        <v>21.791780821918</v>
      </c>
      <c r="K63" s="3">
        <v>15.116673050885</v>
      </c>
      <c r="L63" s="2" t="s">
        <v>357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74.05</v>
      </c>
      <c r="H64" s="3">
        <v>3.7163777281971999</v>
      </c>
      <c r="I64" s="3">
        <v>3.5701042164454</v>
      </c>
      <c r="J64" s="3">
        <v>11.786301369863001</v>
      </c>
      <c r="K64" s="3">
        <v>10.625574119019999</v>
      </c>
      <c r="L64" s="2" t="s">
        <v>357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66.819999999999993</v>
      </c>
      <c r="H65" s="3">
        <v>4.2464369012135004</v>
      </c>
      <c r="I65" s="3">
        <v>3.8922712047524999</v>
      </c>
      <c r="J65" s="3">
        <v>27.301369863013999</v>
      </c>
      <c r="K65" s="3">
        <v>18.129885639785002</v>
      </c>
      <c r="L65" s="2" t="s">
        <v>357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101.54</v>
      </c>
      <c r="H66" s="3">
        <v>2.0500618775852</v>
      </c>
      <c r="I66" s="3">
        <v>1.6753233983316</v>
      </c>
      <c r="J66" s="3">
        <v>1.7397260273973001</v>
      </c>
      <c r="K66" s="3">
        <v>1.6628839492765</v>
      </c>
      <c r="L66" s="2" t="s">
        <v>357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100.85</v>
      </c>
      <c r="H67" s="3">
        <v>3.5793058251432002</v>
      </c>
      <c r="I67" s="3">
        <v>3.1138253534390001</v>
      </c>
      <c r="J67" s="3">
        <v>10.202739726027</v>
      </c>
      <c r="K67" s="3">
        <v>8.2326108521913</v>
      </c>
      <c r="L67" s="2" t="s">
        <v>357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100.16</v>
      </c>
      <c r="H68" s="3">
        <v>1.9695914473084</v>
      </c>
      <c r="I68" s="3">
        <v>1.7049535286616999</v>
      </c>
      <c r="J68" s="3">
        <v>1.1506849315068</v>
      </c>
      <c r="K68" s="3">
        <v>1.1132856411276999</v>
      </c>
      <c r="L68" s="2" t="s">
        <v>357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102.8</v>
      </c>
      <c r="H69" s="3">
        <v>2.9692662333127999</v>
      </c>
      <c r="I69" s="3">
        <v>2.5392561528018001</v>
      </c>
      <c r="J69" s="3">
        <v>6.1534246575343001</v>
      </c>
      <c r="K69" s="3">
        <v>5.3830304881208999</v>
      </c>
      <c r="L69" s="2" t="s">
        <v>357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74.56</v>
      </c>
      <c r="H70" s="3">
        <v>4.0247775821553997</v>
      </c>
      <c r="I70" s="3">
        <v>3.7521991982922001</v>
      </c>
      <c r="J70" s="3">
        <v>15.789041095889999</v>
      </c>
      <c r="K70" s="3">
        <v>12.829181678813001</v>
      </c>
      <c r="L70" s="2" t="s">
        <v>357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106.07</v>
      </c>
      <c r="H71" s="3">
        <v>2.8141287010631002</v>
      </c>
      <c r="I71" s="3">
        <v>2.3253073967599001</v>
      </c>
      <c r="J71" s="3">
        <v>5.4904109589040999</v>
      </c>
      <c r="K71" s="3">
        <v>4.8625539951318002</v>
      </c>
      <c r="L71" s="2" t="s">
        <v>357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98.31</v>
      </c>
      <c r="H72" s="3">
        <v>1.8993597437242999</v>
      </c>
      <c r="I72" s="3">
        <v>1.7849859224489999</v>
      </c>
      <c r="J72" s="3">
        <v>1.6547945205479</v>
      </c>
      <c r="K72" s="3">
        <v>1.6113413265945</v>
      </c>
      <c r="L72" s="2" t="s">
        <v>357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93.23</v>
      </c>
      <c r="H73" s="3">
        <v>2.3633880097248001</v>
      </c>
      <c r="I73" s="3">
        <v>2.2877426719841001</v>
      </c>
      <c r="J73" s="3">
        <v>3.7424657534247001</v>
      </c>
      <c r="K73" s="3">
        <v>3.6239778804554001</v>
      </c>
      <c r="L73" s="2" t="s">
        <v>357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105.41</v>
      </c>
      <c r="H74" s="3">
        <v>2.5980890917195998</v>
      </c>
      <c r="I74" s="3">
        <v>2.1268210293379002</v>
      </c>
      <c r="J74" s="3">
        <v>4.5726027397260003</v>
      </c>
      <c r="K74" s="3">
        <v>4.0804953547225002</v>
      </c>
      <c r="L74" s="2" t="s">
        <v>357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101.34</v>
      </c>
      <c r="H75" s="3">
        <v>2.1345532017389002</v>
      </c>
      <c r="I75" s="3">
        <v>1.7951320508707</v>
      </c>
      <c r="J75" s="3">
        <v>2.4027397260273999</v>
      </c>
      <c r="K75" s="3">
        <v>2.2886684595997</v>
      </c>
      <c r="L75" s="2" t="s">
        <v>357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103.28</v>
      </c>
      <c r="H76" s="3">
        <v>2.8908187462206998</v>
      </c>
      <c r="I76" s="3">
        <v>2.4546127367285</v>
      </c>
      <c r="J76" s="3">
        <v>5.7424657534246997</v>
      </c>
      <c r="K76" s="3">
        <v>5.0745331519306003</v>
      </c>
      <c r="L76" s="2" t="s">
        <v>357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101.562</v>
      </c>
      <c r="H77" s="3">
        <v>2.021998187366</v>
      </c>
      <c r="I77" s="3">
        <v>1.5561672741735999</v>
      </c>
      <c r="J77" s="3">
        <v>0.90136986301370003</v>
      </c>
      <c r="K77" s="3">
        <v>0.87470090718807003</v>
      </c>
      <c r="L77" s="2" t="s">
        <v>357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101.32</v>
      </c>
      <c r="H78" s="3">
        <v>2.4703308377306001</v>
      </c>
      <c r="I78" s="3">
        <v>2.1193076230151</v>
      </c>
      <c r="J78" s="3">
        <v>4.0712328767123003</v>
      </c>
      <c r="K78" s="3">
        <v>3.7401795449746</v>
      </c>
      <c r="L78" s="2" t="s">
        <v>357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97.56</v>
      </c>
      <c r="H79" s="3">
        <v>2.0407542507923</v>
      </c>
      <c r="I79" s="3">
        <v>1.9191907735445</v>
      </c>
      <c r="J79" s="3">
        <v>2.3205479452055</v>
      </c>
      <c r="K79" s="3">
        <v>2.2506881190132999</v>
      </c>
      <c r="L79" s="2" t="s">
        <v>357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101.04</v>
      </c>
      <c r="H80" s="3">
        <v>2.3083889361915002</v>
      </c>
      <c r="I80" s="3">
        <v>1.9642876809923999</v>
      </c>
      <c r="J80" s="3">
        <v>3.0712328767122998</v>
      </c>
      <c r="K80" s="3">
        <v>2.8898895101208</v>
      </c>
      <c r="L80" s="2" t="s">
        <v>357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104.66</v>
      </c>
      <c r="H81" s="3">
        <v>2.7236351821086999</v>
      </c>
      <c r="I81" s="3">
        <v>2.2413237612637</v>
      </c>
      <c r="J81" s="3">
        <v>5.0712328767123003</v>
      </c>
      <c r="K81" s="3">
        <v>4.4941171233558999</v>
      </c>
      <c r="L81" s="2" t="s">
        <v>357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94.79</v>
      </c>
      <c r="H82" s="3">
        <v>2.2278938402169999</v>
      </c>
      <c r="I82" s="3">
        <v>2.1417821448027001</v>
      </c>
      <c r="J82" s="3">
        <v>3.1534246575342002</v>
      </c>
      <c r="K82" s="3">
        <v>3.0635195573925</v>
      </c>
      <c r="L82" s="2" t="s">
        <v>357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102.85</v>
      </c>
      <c r="H83" s="3">
        <v>2.0998706919093002</v>
      </c>
      <c r="I83" s="3">
        <v>1.6722099792384</v>
      </c>
      <c r="J83" s="3">
        <v>2.1506849315068002</v>
      </c>
      <c r="K83" s="3">
        <v>2.0264839499196001</v>
      </c>
      <c r="L83" s="2" t="s">
        <v>357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102.35</v>
      </c>
      <c r="H84" s="3">
        <v>2.0383343762193</v>
      </c>
      <c r="I84" s="3">
        <v>1.5620942005961</v>
      </c>
      <c r="J84" s="3">
        <v>1.3205479452055</v>
      </c>
      <c r="K84" s="3">
        <v>1.2669515018435999</v>
      </c>
      <c r="L84" s="2" t="s">
        <v>357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100.241</v>
      </c>
      <c r="H85" s="3">
        <v>1.9310391029073</v>
      </c>
      <c r="I85" s="3">
        <v>1.6264778584046</v>
      </c>
      <c r="J85" s="3">
        <v>0.48767123287670999</v>
      </c>
      <c r="K85" s="3">
        <v>0.48389367038113001</v>
      </c>
      <c r="L85" s="2" t="s">
        <v>357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98.91</v>
      </c>
      <c r="H86" s="3">
        <v>4.4102848835891004</v>
      </c>
      <c r="I86" s="3">
        <v>3.8576325369986999</v>
      </c>
      <c r="J86" s="3">
        <v>29.383561643836</v>
      </c>
      <c r="K86" s="3">
        <v>16.079605052603998</v>
      </c>
      <c r="L86" s="2" t="s">
        <v>357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100.925</v>
      </c>
      <c r="H87" s="3">
        <v>2.0275321490181999</v>
      </c>
      <c r="I87" s="3">
        <v>1.5974413080286001</v>
      </c>
      <c r="J87" s="3">
        <v>0.65479452054793996</v>
      </c>
      <c r="K87" s="3">
        <v>0.63348643427830997</v>
      </c>
      <c r="L87" s="2" t="s">
        <v>357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94.79</v>
      </c>
      <c r="H88" s="3">
        <v>2.1765467914570999</v>
      </c>
      <c r="I88" s="3">
        <v>2.1378526250513001</v>
      </c>
      <c r="J88" s="3">
        <v>2.8191780821918</v>
      </c>
      <c r="K88" s="3">
        <v>2.7496536967824001</v>
      </c>
      <c r="L88" s="2" t="s">
        <v>357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81.010000000000005</v>
      </c>
      <c r="H89" s="3">
        <v>3.6180048213064002</v>
      </c>
      <c r="I89" s="3">
        <v>3.4079677256323002</v>
      </c>
      <c r="J89" s="3">
        <v>10.786301369863001</v>
      </c>
      <c r="K89" s="3">
        <v>9.5365363033159003</v>
      </c>
      <c r="L89" s="2" t="s">
        <v>357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98.13</v>
      </c>
      <c r="H90" s="3">
        <v>4.0509096908593998</v>
      </c>
      <c r="I90" s="3">
        <v>3.5515578143433002</v>
      </c>
      <c r="J90" s="3">
        <v>15.375342465753</v>
      </c>
      <c r="K90" s="3">
        <v>11.192562045729</v>
      </c>
      <c r="L90" s="2" t="s">
        <v>357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99.802999999999997</v>
      </c>
      <c r="H91" s="3">
        <v>2.0156324685115998</v>
      </c>
      <c r="I91" s="3">
        <v>1.8544704119772</v>
      </c>
      <c r="J91" s="3">
        <v>0.23561643835616</v>
      </c>
      <c r="K91" s="3">
        <v>0.23098458594610999</v>
      </c>
      <c r="L91" s="2" t="s">
        <v>357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9.8356164383561993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107.77</v>
      </c>
      <c r="H93" s="3">
        <v>2.2864690433899999</v>
      </c>
      <c r="I93" s="3">
        <v>1.7141646713901</v>
      </c>
      <c r="J93" s="3">
        <v>3.2849315068493001</v>
      </c>
      <c r="K93" s="3">
        <v>2.9925166973942998</v>
      </c>
      <c r="L93" s="2" t="s">
        <v>357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102.57</v>
      </c>
      <c r="H94" s="3">
        <v>4.3850390364744998</v>
      </c>
      <c r="I94" s="3">
        <v>3.8207817383978</v>
      </c>
      <c r="J94" s="3">
        <v>28.383561643836</v>
      </c>
      <c r="K94" s="3">
        <v>15.678335229994</v>
      </c>
      <c r="L94" s="2" t="s">
        <v>357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100.65</v>
      </c>
      <c r="H95" s="3">
        <v>3.1707645114591001</v>
      </c>
      <c r="I95" s="3">
        <v>2.7602740208113001</v>
      </c>
      <c r="J95" s="3">
        <v>7.1561643835615998</v>
      </c>
      <c r="K95" s="3">
        <v>6.2327483956179996</v>
      </c>
      <c r="L95" s="2" t="s">
        <v>357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100.753</v>
      </c>
      <c r="H96" s="3">
        <v>2.0567103654036001</v>
      </c>
      <c r="I96" s="3">
        <v>1.6449714007558001</v>
      </c>
      <c r="J96" s="3">
        <v>0.69041095890410997</v>
      </c>
      <c r="K96" s="3">
        <v>0.66891902071985998</v>
      </c>
      <c r="L96" s="2" t="s">
        <v>357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100.52</v>
      </c>
      <c r="H97" s="3">
        <v>2.0712175375467998</v>
      </c>
      <c r="I97" s="3">
        <v>1.6300550263275</v>
      </c>
      <c r="J97" s="3">
        <v>0.35890410958904001</v>
      </c>
      <c r="K97" s="3">
        <v>0.35167433960830002</v>
      </c>
      <c r="L97" s="2" t="s">
        <v>357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99.971000000000004</v>
      </c>
      <c r="H98" s="3">
        <v>2.0801302857250001</v>
      </c>
      <c r="I98" s="3">
        <v>1.8461095012663</v>
      </c>
      <c r="J98" s="3">
        <v>0.11232876712329</v>
      </c>
      <c r="K98" s="3">
        <v>0.11004569660094</v>
      </c>
      <c r="L98" s="2" t="s">
        <v>357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101.34</v>
      </c>
      <c r="H99" s="3">
        <v>2.0409957442932001</v>
      </c>
      <c r="I99" s="3">
        <v>1.6533795018015001</v>
      </c>
      <c r="J99" s="3">
        <v>1.2712328767123</v>
      </c>
      <c r="K99" s="3">
        <v>1.2238154344025001</v>
      </c>
      <c r="L99" s="2" t="s">
        <v>357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100.73</v>
      </c>
      <c r="H100" s="3">
        <v>3.0422762763431002</v>
      </c>
      <c r="I100" s="3">
        <v>2.6453660307681002</v>
      </c>
      <c r="J100" s="3">
        <v>6.4904109589040999</v>
      </c>
      <c r="K100" s="3">
        <v>5.7506018135512997</v>
      </c>
      <c r="L100" s="2" t="s">
        <v>357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100.85</v>
      </c>
      <c r="H101" s="3">
        <v>2.0646238023359</v>
      </c>
      <c r="I101" s="3">
        <v>1.7398358542329999</v>
      </c>
      <c r="J101" s="3">
        <v>1.7671232876712</v>
      </c>
      <c r="K101" s="3">
        <v>1.6947835801151001</v>
      </c>
      <c r="L101" s="2" t="s">
        <v>357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103.27</v>
      </c>
      <c r="H102" s="3">
        <v>2.2207464049105998</v>
      </c>
      <c r="I102" s="3">
        <v>1.7876030197404</v>
      </c>
      <c r="J102" s="3">
        <v>2.8657534246575</v>
      </c>
      <c r="K102" s="3">
        <v>2.6907200555093</v>
      </c>
      <c r="L102" s="2" t="s">
        <v>357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103.86</v>
      </c>
      <c r="H103" s="3">
        <v>2.8724424090545999</v>
      </c>
      <c r="I103" s="3">
        <v>2.4114667310087001</v>
      </c>
      <c r="J103" s="3">
        <v>4.7917808219177997</v>
      </c>
      <c r="K103" s="3">
        <v>4.2881138220714998</v>
      </c>
      <c r="L103" s="2" t="s">
        <v>357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103.86</v>
      </c>
      <c r="H104" s="3">
        <v>3.0084260728043999</v>
      </c>
      <c r="I104" s="3">
        <v>2.5352990586923001</v>
      </c>
      <c r="J104" s="3">
        <v>4.7917808219177997</v>
      </c>
      <c r="K104" s="3">
        <v>4.2832338148603002</v>
      </c>
      <c r="L104" s="2" t="s">
        <v>357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105.65</v>
      </c>
      <c r="H105" s="3">
        <v>2.6058163042637998</v>
      </c>
      <c r="I105" s="3">
        <v>2.0730187206489998</v>
      </c>
      <c r="J105" s="3">
        <v>3.3917808219177998</v>
      </c>
      <c r="K105" s="3">
        <v>3.0914510805586</v>
      </c>
      <c r="L105" s="2" t="s">
        <v>357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105.65</v>
      </c>
      <c r="H106" s="3">
        <v>2.7452673205372999</v>
      </c>
      <c r="I106" s="3">
        <v>2.2017176482715999</v>
      </c>
      <c r="J106" s="3">
        <v>3.3917808219177998</v>
      </c>
      <c r="K106" s="3">
        <v>3.0875899356074998</v>
      </c>
      <c r="L106" s="2" t="s">
        <v>357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103.42</v>
      </c>
      <c r="H107" s="3">
        <v>2.2796261309357</v>
      </c>
      <c r="I107" s="3">
        <v>1.7890330653735</v>
      </c>
      <c r="J107" s="3">
        <v>2.0630136986301002</v>
      </c>
      <c r="K107" s="3">
        <v>1.9347244070289999</v>
      </c>
      <c r="L107" s="2" t="s">
        <v>357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103.42</v>
      </c>
      <c r="H108" s="3">
        <v>2.5146212626736002</v>
      </c>
      <c r="I108" s="3">
        <v>2.0098383743264998</v>
      </c>
      <c r="J108" s="3">
        <v>2.0630136986301002</v>
      </c>
      <c r="K108" s="3">
        <v>1.9304062351757001</v>
      </c>
      <c r="L108" s="2" t="s">
        <v>357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103.35</v>
      </c>
      <c r="H109" s="3">
        <v>2.9766607071673001</v>
      </c>
      <c r="I109" s="3">
        <v>2.5183818036523999</v>
      </c>
      <c r="J109" s="3">
        <v>4.9835616438355999</v>
      </c>
      <c r="K109" s="3">
        <v>4.4652728127092001</v>
      </c>
      <c r="L109" s="2" t="s">
        <v>357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103.35</v>
      </c>
      <c r="H110" s="3">
        <v>3.1258985687680001</v>
      </c>
      <c r="I110" s="3">
        <v>2.6536903337361002</v>
      </c>
      <c r="J110" s="3">
        <v>4.9835616438355999</v>
      </c>
      <c r="K110" s="3">
        <v>4.4597656156217003</v>
      </c>
      <c r="L110" s="2" t="s">
        <v>357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102.1</v>
      </c>
      <c r="H111" s="3">
        <v>4.7510363935552</v>
      </c>
      <c r="I111" s="3">
        <v>4.4238824287060003</v>
      </c>
      <c r="J111" s="3">
        <v>31.005479452054999</v>
      </c>
      <c r="K111" s="3">
        <v>5.7879095263749996</v>
      </c>
      <c r="L111" s="2" t="s">
        <v>357</v>
      </c>
      <c r="M111" s="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F273-B00C-1E4B-A8A7-1935B31E351D}">
  <dimension ref="A1:M111"/>
  <sheetViews>
    <sheetView workbookViewId="0">
      <selection activeCell="P18" sqref="P18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117.17</v>
      </c>
      <c r="H2" s="3">
        <v>3.2356419057468</v>
      </c>
      <c r="I2" s="3">
        <v>2.5723405192522999</v>
      </c>
      <c r="J2" s="3">
        <v>7.7041095890411002</v>
      </c>
      <c r="K2" s="3">
        <v>6.1628205399580001</v>
      </c>
      <c r="L2" s="2" t="s">
        <v>358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100.41</v>
      </c>
      <c r="H3" s="3">
        <v>2.0024591106880001</v>
      </c>
      <c r="I3" s="3">
        <v>1.7110520238302001</v>
      </c>
      <c r="J3" s="3">
        <v>2.0273972602739998</v>
      </c>
      <c r="K3" s="3">
        <v>1.9350562788862</v>
      </c>
      <c r="L3" s="2" t="s">
        <v>358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99.71</v>
      </c>
      <c r="H4" s="3">
        <v>2.1198484847057002</v>
      </c>
      <c r="I4" s="3">
        <v>1.8624863461334999</v>
      </c>
      <c r="J4" s="3">
        <v>2.6986301369863002</v>
      </c>
      <c r="K4" s="3">
        <v>2.5706969843745999</v>
      </c>
      <c r="L4" s="2" t="s">
        <v>358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102.11</v>
      </c>
      <c r="H5" s="3">
        <v>2.4814361961748999</v>
      </c>
      <c r="I5" s="3">
        <v>2.1069890625948</v>
      </c>
      <c r="J5" s="3">
        <v>4.1972602739726002</v>
      </c>
      <c r="K5" s="3">
        <v>3.8483842604738001</v>
      </c>
      <c r="L5" s="2" t="s">
        <v>358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102.12</v>
      </c>
      <c r="H6" s="3">
        <v>3.9898555919856</v>
      </c>
      <c r="I6" s="3">
        <v>3.4669784767785998</v>
      </c>
      <c r="J6" s="3">
        <v>14.369863013699</v>
      </c>
      <c r="K6" s="3">
        <v>10.531791083807001</v>
      </c>
      <c r="L6" s="2" t="s">
        <v>358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86.97</v>
      </c>
      <c r="H7" s="3">
        <v>2.9342345707358</v>
      </c>
      <c r="I7" s="3">
        <v>2.8517743289872</v>
      </c>
      <c r="J7" s="3">
        <v>6.1972602739726002</v>
      </c>
      <c r="K7" s="3">
        <v>5.8975880711180002</v>
      </c>
      <c r="L7" s="2" t="s">
        <v>358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108.17</v>
      </c>
      <c r="H8" s="3">
        <v>4.1698513807133004</v>
      </c>
      <c r="I8" s="3">
        <v>3.5921639523799</v>
      </c>
      <c r="J8" s="3">
        <v>19.293150684932002</v>
      </c>
      <c r="K8" s="3">
        <v>12.474321427363</v>
      </c>
      <c r="L8" s="2" t="s">
        <v>358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104.21</v>
      </c>
      <c r="H9" s="3">
        <v>2.5732449453575001</v>
      </c>
      <c r="I9" s="3">
        <v>2.1383824890587002</v>
      </c>
      <c r="J9" s="3">
        <v>4.7780821917807996</v>
      </c>
      <c r="K9" s="3">
        <v>4.3073464242327004</v>
      </c>
      <c r="L9" s="2" t="s">
        <v>358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91.72</v>
      </c>
      <c r="H10" s="3">
        <v>3.0303695311280001</v>
      </c>
      <c r="I10" s="3">
        <v>2.8085103351388998</v>
      </c>
      <c r="J10" s="3">
        <v>6.7808219178081997</v>
      </c>
      <c r="K10" s="3">
        <v>6.2113192580357</v>
      </c>
      <c r="L10" s="2" t="s">
        <v>358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99.68</v>
      </c>
      <c r="H11" s="3">
        <v>1.925074063954</v>
      </c>
      <c r="I11" s="3">
        <v>1.7228114852826</v>
      </c>
      <c r="J11" s="3">
        <v>1.027397260274</v>
      </c>
      <c r="K11" s="3">
        <v>0.99634609829811005</v>
      </c>
      <c r="L11" s="2" t="s">
        <v>358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87.27</v>
      </c>
      <c r="H12" s="3">
        <v>3.6654344058813999</v>
      </c>
      <c r="I12" s="3">
        <v>3.3543393153043</v>
      </c>
      <c r="J12" s="3">
        <v>11.287671232877001</v>
      </c>
      <c r="K12" s="3">
        <v>9.5160668913230992</v>
      </c>
      <c r="L12" s="2" t="s">
        <v>358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89.02</v>
      </c>
      <c r="H13" s="3">
        <v>4.2443120315453999</v>
      </c>
      <c r="I13" s="3">
        <v>3.7693088326636</v>
      </c>
      <c r="J13" s="3">
        <v>22.791780821918</v>
      </c>
      <c r="K13" s="3">
        <v>14.745096439118001</v>
      </c>
      <c r="L13" s="2" t="s">
        <v>358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90.7</v>
      </c>
      <c r="H14" s="3">
        <v>3.9717139588861001</v>
      </c>
      <c r="I14" s="3">
        <v>3.5524478757514002</v>
      </c>
      <c r="J14" s="3">
        <v>14.786301369863001</v>
      </c>
      <c r="K14" s="3">
        <v>11.26791633777</v>
      </c>
      <c r="L14" s="2" t="s">
        <v>358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98.343999999999994</v>
      </c>
      <c r="H15" s="3">
        <v>1.9305689478917001</v>
      </c>
      <c r="I15" s="3">
        <v>1.9179000798301</v>
      </c>
      <c r="J15" s="3">
        <v>0.86027397260273997</v>
      </c>
      <c r="K15" s="3">
        <v>0.84419031603074002</v>
      </c>
      <c r="L15" s="2" t="s">
        <v>358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59.1</v>
      </c>
      <c r="H16" s="3">
        <v>4.1724729428528002</v>
      </c>
      <c r="I16" s="3">
        <v>3.7705344349373</v>
      </c>
      <c r="J16" s="3">
        <v>46.808219178081998</v>
      </c>
      <c r="K16" s="3">
        <v>22.999979602833001</v>
      </c>
      <c r="L16" s="2" t="s">
        <v>358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94.3</v>
      </c>
      <c r="H17" s="3">
        <v>3.8516935151790999</v>
      </c>
      <c r="I17" s="3">
        <v>3.4219815512174998</v>
      </c>
      <c r="J17" s="3">
        <v>12.783561643836</v>
      </c>
      <c r="K17" s="3">
        <v>10.018525235379</v>
      </c>
      <c r="L17" s="2" t="s">
        <v>358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98.38</v>
      </c>
      <c r="H18" s="3">
        <v>2.0012221061320998</v>
      </c>
      <c r="I18" s="3">
        <v>1.8609776513837999</v>
      </c>
      <c r="J18" s="3">
        <v>1.8602739726027</v>
      </c>
      <c r="K18" s="3">
        <v>1.8075977695953001</v>
      </c>
      <c r="L18" s="2" t="s">
        <v>358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103.2</v>
      </c>
      <c r="H19" s="3">
        <v>2.5378916523425001</v>
      </c>
      <c r="I19" s="3">
        <v>2.1187004666004001</v>
      </c>
      <c r="J19" s="3">
        <v>4.1123287671232998</v>
      </c>
      <c r="K19" s="3">
        <v>3.7406922085667</v>
      </c>
      <c r="L19" s="2" t="s">
        <v>358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103.26</v>
      </c>
      <c r="H20" s="3">
        <v>3.4553212292411999</v>
      </c>
      <c r="I20" s="3">
        <v>2.9740393273570001</v>
      </c>
      <c r="J20" s="3">
        <v>9.1150684931506998</v>
      </c>
      <c r="K20" s="3">
        <v>7.4371961305568002</v>
      </c>
      <c r="L20" s="2" t="s">
        <v>358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94.25</v>
      </c>
      <c r="H21" s="3">
        <v>2.7951914394788999</v>
      </c>
      <c r="I21" s="3">
        <v>2.5745533503562998</v>
      </c>
      <c r="J21" s="3">
        <v>5.5315068493151003</v>
      </c>
      <c r="K21" s="3">
        <v>5.1172781650812</v>
      </c>
      <c r="L21" s="2" t="s">
        <v>358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88.09</v>
      </c>
      <c r="H22" s="3">
        <v>2.9907943849476002</v>
      </c>
      <c r="I22" s="3">
        <v>2.8608477669791998</v>
      </c>
      <c r="J22" s="3">
        <v>6.5315068493151003</v>
      </c>
      <c r="K22" s="3">
        <v>6.1183028632153</v>
      </c>
      <c r="L22" s="2" t="s">
        <v>358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104.6</v>
      </c>
      <c r="H23" s="3">
        <v>2.3103974203270998</v>
      </c>
      <c r="I23" s="3">
        <v>1.8436117026529</v>
      </c>
      <c r="J23" s="3">
        <v>3.1972602739726002</v>
      </c>
      <c r="K23" s="3">
        <v>2.9450582334525</v>
      </c>
      <c r="L23" s="2" t="s">
        <v>358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112.53</v>
      </c>
      <c r="H24" s="3">
        <v>3.4283049623121</v>
      </c>
      <c r="I24" s="3">
        <v>2.8347643119930002</v>
      </c>
      <c r="J24" s="3">
        <v>9.1999999999999993</v>
      </c>
      <c r="K24" s="3">
        <v>7.2547538347352001</v>
      </c>
      <c r="L24" s="2" t="s">
        <v>358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103.34</v>
      </c>
      <c r="H25" s="3">
        <v>3.6754039846072999</v>
      </c>
      <c r="I25" s="3">
        <v>3.1773213297092999</v>
      </c>
      <c r="J25" s="3">
        <v>11.706849315068</v>
      </c>
      <c r="K25" s="3">
        <v>9.0659328714564005</v>
      </c>
      <c r="L25" s="2" t="s">
        <v>358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111.88</v>
      </c>
      <c r="H26" s="3">
        <v>3.9373997615483001</v>
      </c>
      <c r="I26" s="3">
        <v>3.3440474164209002</v>
      </c>
      <c r="J26" s="3">
        <v>14.202739726027</v>
      </c>
      <c r="K26" s="3">
        <v>10.043528813628001</v>
      </c>
      <c r="L26" s="2" t="s">
        <v>358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99.01</v>
      </c>
      <c r="H27" s="3">
        <v>1.918084683087</v>
      </c>
      <c r="I27" s="3">
        <v>1.7595140765882</v>
      </c>
      <c r="J27" s="3">
        <v>1.5287671232877</v>
      </c>
      <c r="K27" s="3">
        <v>1.4816515392869001</v>
      </c>
      <c r="L27" s="2" t="s">
        <v>358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101.73</v>
      </c>
      <c r="H28" s="3">
        <v>2.2970399305865001</v>
      </c>
      <c r="I28" s="3">
        <v>1.9426447048818001</v>
      </c>
      <c r="J28" s="3">
        <v>3.5315068493150998</v>
      </c>
      <c r="K28" s="3">
        <v>3.2702982247643</v>
      </c>
      <c r="L28" s="2" t="s">
        <v>358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99.02</v>
      </c>
      <c r="H29" s="3">
        <v>1.8866295120209</v>
      </c>
      <c r="I29" s="3">
        <v>1.8165488585878</v>
      </c>
      <c r="J29" s="3">
        <v>0.69863013698630005</v>
      </c>
      <c r="K29" s="3">
        <v>0.68728282205286995</v>
      </c>
      <c r="L29" s="2" t="s">
        <v>358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97.79</v>
      </c>
      <c r="H30" s="3">
        <v>1.8797713404542999</v>
      </c>
      <c r="I30" s="3">
        <v>1.8776515853806</v>
      </c>
      <c r="J30" s="3">
        <v>1.1945205479451999</v>
      </c>
      <c r="K30" s="3">
        <v>1.1778589451187</v>
      </c>
      <c r="L30" s="2" t="s">
        <v>358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102.7</v>
      </c>
      <c r="H31" s="3">
        <v>3.5463759808372002</v>
      </c>
      <c r="I31" s="3">
        <v>3.0652906547896999</v>
      </c>
      <c r="J31" s="3">
        <v>9.7041095890410993</v>
      </c>
      <c r="K31" s="3">
        <v>7.8448662317314</v>
      </c>
      <c r="L31" s="2" t="s">
        <v>358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111.59</v>
      </c>
      <c r="H32" s="3">
        <v>4.0147761390756997</v>
      </c>
      <c r="I32" s="3">
        <v>3.4192698113739999</v>
      </c>
      <c r="J32" s="3">
        <v>15.290410958903999</v>
      </c>
      <c r="K32" s="3">
        <v>10.605462254638001</v>
      </c>
      <c r="L32" s="2" t="s">
        <v>358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</v>
      </c>
      <c r="H33" s="3">
        <v>1.9955694768357</v>
      </c>
      <c r="I33" s="3">
        <v>1.4486177135475999</v>
      </c>
      <c r="J33" s="3">
        <v>0.77534246575343002</v>
      </c>
      <c r="K33" s="3">
        <v>0.75241283170491002</v>
      </c>
      <c r="L33" s="2" t="s">
        <v>358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86.99</v>
      </c>
      <c r="H34" s="3">
        <v>4.2183124100514</v>
      </c>
      <c r="I34" s="3">
        <v>3.7661205850244999</v>
      </c>
      <c r="J34" s="3">
        <v>21.293150684932002</v>
      </c>
      <c r="K34" s="3">
        <v>14.323904512179</v>
      </c>
      <c r="L34" s="2" t="s">
        <v>358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</v>
      </c>
      <c r="H35" s="3">
        <v>1.8735430503735</v>
      </c>
      <c r="I35" s="3">
        <v>1.6277000088633999</v>
      </c>
      <c r="J35" s="3">
        <v>0.52876712328766995</v>
      </c>
      <c r="K35" s="3">
        <v>0.51429108155709002</v>
      </c>
      <c r="L35" s="2" t="s">
        <v>358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70.62</v>
      </c>
      <c r="H36" s="3">
        <v>4.3698889401839001</v>
      </c>
      <c r="I36" s="3">
        <v>3.9098063034698001</v>
      </c>
      <c r="J36" s="3">
        <v>41.802739726026999</v>
      </c>
      <c r="K36" s="3">
        <v>20.448343906925999</v>
      </c>
      <c r="L36" s="2" t="s">
        <v>358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94.19</v>
      </c>
      <c r="H37" s="3">
        <v>3.2794785319022002</v>
      </c>
      <c r="I37" s="3">
        <v>2.9539240438120999</v>
      </c>
      <c r="J37" s="3">
        <v>8.2849315068493006</v>
      </c>
      <c r="K37" s="3">
        <v>7.2412837629176003</v>
      </c>
      <c r="L37" s="2" t="s">
        <v>358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90.95</v>
      </c>
      <c r="H38" s="3">
        <v>3.8587654278082999</v>
      </c>
      <c r="I38" s="3">
        <v>3.4614852196617001</v>
      </c>
      <c r="J38" s="3">
        <v>13.287671232877001</v>
      </c>
      <c r="K38" s="3">
        <v>10.477424109189</v>
      </c>
      <c r="L38" s="2" t="s">
        <v>358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</v>
      </c>
      <c r="H39" s="3">
        <v>3.4995926790782002</v>
      </c>
      <c r="I39" s="3">
        <v>3.0698781615606001</v>
      </c>
      <c r="J39" s="3">
        <v>9.7808219178082005</v>
      </c>
      <c r="K39" s="3">
        <v>8.0690594362041992</v>
      </c>
      <c r="L39" s="2" t="s">
        <v>358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94.12</v>
      </c>
      <c r="H40" s="3">
        <v>4.2814296991419996</v>
      </c>
      <c r="I40" s="3">
        <v>3.7704864694163001</v>
      </c>
      <c r="J40" s="3">
        <v>24.295890410959</v>
      </c>
      <c r="K40" s="3">
        <v>14.934614433502</v>
      </c>
      <c r="L40" s="2" t="s">
        <v>358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94.23</v>
      </c>
      <c r="H41" s="3">
        <v>2.6377140992875998</v>
      </c>
      <c r="I41" s="3">
        <v>2.4611345056174998</v>
      </c>
      <c r="J41" s="3">
        <v>4.8630136986301</v>
      </c>
      <c r="K41" s="3">
        <v>4.5880652378431996</v>
      </c>
      <c r="L41" s="2" t="s">
        <v>358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72.39</v>
      </c>
      <c r="H42" s="3">
        <v>4.2823137239872002</v>
      </c>
      <c r="I42" s="3">
        <v>3.8976192708784998</v>
      </c>
      <c r="J42" s="3">
        <v>25.295890410959</v>
      </c>
      <c r="K42" s="3">
        <v>16.831357867436001</v>
      </c>
      <c r="L42" s="2" t="s">
        <v>358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60.78</v>
      </c>
      <c r="H43" s="3">
        <v>4.2112418195126002</v>
      </c>
      <c r="I43" s="3">
        <v>3.9134188342031</v>
      </c>
      <c r="J43" s="3">
        <v>26.295890410959</v>
      </c>
      <c r="K43" s="3">
        <v>18.632032589550999</v>
      </c>
      <c r="L43" s="2" t="s">
        <v>358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103.99</v>
      </c>
      <c r="H44" s="3">
        <v>4.175837673727</v>
      </c>
      <c r="I44" s="3">
        <v>3.6218217461837998</v>
      </c>
      <c r="J44" s="3">
        <v>18.290410958904001</v>
      </c>
      <c r="K44" s="3">
        <v>12.199146137971001</v>
      </c>
      <c r="L44" s="2" t="s">
        <v>358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106.31</v>
      </c>
      <c r="H45" s="3">
        <v>3.3897805749769998</v>
      </c>
      <c r="I45" s="3">
        <v>2.8756703219877999</v>
      </c>
      <c r="J45" s="3">
        <v>8.7808219178082005</v>
      </c>
      <c r="K45" s="3">
        <v>7.1766141570027999</v>
      </c>
      <c r="L45" s="2" t="s">
        <v>358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89.46</v>
      </c>
      <c r="H46" s="3">
        <v>2.8857424478562002</v>
      </c>
      <c r="I46" s="3">
        <v>2.7644582113860001</v>
      </c>
      <c r="J46" s="3">
        <v>5.8630136986301</v>
      </c>
      <c r="K46" s="3">
        <v>5.5464154763791003</v>
      </c>
      <c r="L46" s="2" t="s">
        <v>358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86.73</v>
      </c>
      <c r="H47" s="3">
        <v>3.0841873218015001</v>
      </c>
      <c r="I47" s="3">
        <v>2.9442173498163</v>
      </c>
      <c r="J47" s="3">
        <v>7.0328767123288003</v>
      </c>
      <c r="K47" s="3">
        <v>6.5624025858661996</v>
      </c>
      <c r="L47" s="2" t="s">
        <v>358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108.28</v>
      </c>
      <c r="H48" s="3">
        <v>3.2326187509358002</v>
      </c>
      <c r="I48" s="3">
        <v>2.7003724730793</v>
      </c>
      <c r="J48" s="3">
        <v>7.9479452054794999</v>
      </c>
      <c r="K48" s="3">
        <v>6.6213438727625</v>
      </c>
      <c r="L48" s="2" t="s">
        <v>358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107.56</v>
      </c>
      <c r="H49" s="3">
        <v>1.9113028805068999</v>
      </c>
      <c r="I49" s="3">
        <v>1.045869629244</v>
      </c>
      <c r="J49" s="3">
        <v>1.4465753424657</v>
      </c>
      <c r="K49" s="3">
        <v>1.3734271553063999</v>
      </c>
      <c r="L49" s="2" t="s">
        <v>358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110.37</v>
      </c>
      <c r="H50" s="3">
        <v>2.1284614410553999</v>
      </c>
      <c r="I50" s="3">
        <v>1.3593106708988001</v>
      </c>
      <c r="J50" s="3">
        <v>2.4465753424657999</v>
      </c>
      <c r="K50" s="3">
        <v>2.2551318775010998</v>
      </c>
      <c r="L50" s="2" t="s">
        <v>358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111.54</v>
      </c>
      <c r="H51" s="3">
        <v>2.5013289737885001</v>
      </c>
      <c r="I51" s="3">
        <v>1.8796266419398</v>
      </c>
      <c r="J51" s="3">
        <v>4.4493150684931999</v>
      </c>
      <c r="K51" s="3">
        <v>3.9445315179141001</v>
      </c>
      <c r="L51" s="2" t="s">
        <v>358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117.25</v>
      </c>
      <c r="H52" s="3">
        <v>2.8430393222084001</v>
      </c>
      <c r="I52" s="3">
        <v>2.1521937480253999</v>
      </c>
      <c r="J52" s="3">
        <v>5.9452054794520999</v>
      </c>
      <c r="K52" s="3">
        <v>5.0117614021410999</v>
      </c>
      <c r="L52" s="2" t="s">
        <v>358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99.974999999999994</v>
      </c>
      <c r="H53" s="3">
        <v>2.1521563883689998</v>
      </c>
      <c r="I53" s="3">
        <v>1.9865036833292</v>
      </c>
      <c r="J53" s="3">
        <v>2.7397260273973E-2</v>
      </c>
      <c r="K53" s="3">
        <v>2.9502518309899001E-2</v>
      </c>
      <c r="L53" s="2" t="s">
        <v>358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91.53</v>
      </c>
      <c r="H54" s="3">
        <v>2.7259618979170002</v>
      </c>
      <c r="I54" s="3">
        <v>2.5944516508081001</v>
      </c>
      <c r="J54" s="3">
        <v>5.1972602739726002</v>
      </c>
      <c r="K54" s="3">
        <v>4.9270377472888001</v>
      </c>
      <c r="L54" s="2" t="s">
        <v>358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107.52</v>
      </c>
      <c r="H55" s="3">
        <v>3.1214426255755998</v>
      </c>
      <c r="I55" s="3">
        <v>2.6161466914770002</v>
      </c>
      <c r="J55" s="3">
        <v>8.4520547945204996</v>
      </c>
      <c r="K55" s="3">
        <v>6.9858614567617998</v>
      </c>
      <c r="L55" s="2" t="s">
        <v>358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99.97</v>
      </c>
      <c r="H56" s="3">
        <v>3.6335322201564</v>
      </c>
      <c r="I56" s="3">
        <v>3.1761715411785998</v>
      </c>
      <c r="J56" s="3">
        <v>10.367123287670999</v>
      </c>
      <c r="K56" s="3">
        <v>8.4211068210435993</v>
      </c>
      <c r="L56" s="2" t="s">
        <v>358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101.75</v>
      </c>
      <c r="H57" s="3">
        <v>2.5869333763703</v>
      </c>
      <c r="I57" s="3">
        <v>2.2056699493705998</v>
      </c>
      <c r="J57" s="3">
        <v>4.3643835616438</v>
      </c>
      <c r="K57" s="3">
        <v>4.0064241552736997</v>
      </c>
      <c r="L57" s="2" t="s">
        <v>358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105.86</v>
      </c>
      <c r="H58" s="3">
        <v>2.4430906011824001</v>
      </c>
      <c r="I58" s="3">
        <v>1.9166351664036001</v>
      </c>
      <c r="J58" s="3">
        <v>3.7013698630137002</v>
      </c>
      <c r="K58" s="3">
        <v>3.3585379561518001</v>
      </c>
      <c r="L58" s="2" t="s">
        <v>358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100.9</v>
      </c>
      <c r="H59" s="3">
        <v>2.7776004178644</v>
      </c>
      <c r="I59" s="3">
        <v>2.4062420613461999</v>
      </c>
      <c r="J59" s="3">
        <v>5.1123287671232998</v>
      </c>
      <c r="K59" s="3">
        <v>4.6263411645017003</v>
      </c>
      <c r="L59" s="2" t="s">
        <v>358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95.64</v>
      </c>
      <c r="H60" s="3">
        <v>3.1771165447457999</v>
      </c>
      <c r="I60" s="3">
        <v>2.8286531505424</v>
      </c>
      <c r="J60" s="3">
        <v>7.5342465753425003</v>
      </c>
      <c r="K60" s="3">
        <v>6.6033082259608999</v>
      </c>
      <c r="L60" s="2" t="s">
        <v>358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100.07</v>
      </c>
      <c r="H61" s="3">
        <v>2.0257204781646001</v>
      </c>
      <c r="I61" s="3">
        <v>1.7577290858832</v>
      </c>
      <c r="J61" s="3">
        <v>2.1945205479452001</v>
      </c>
      <c r="K61" s="3">
        <v>2.1044910754488999</v>
      </c>
      <c r="L61" s="2" t="s">
        <v>358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101.26</v>
      </c>
      <c r="H62" s="3">
        <v>2.1453573659799998</v>
      </c>
      <c r="I62" s="3">
        <v>1.8054320155037999</v>
      </c>
      <c r="J62" s="3">
        <v>2.5287671232876998</v>
      </c>
      <c r="K62" s="3">
        <v>2.3821182528953</v>
      </c>
      <c r="L62" s="2" t="s">
        <v>358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79.14</v>
      </c>
      <c r="H63" s="3">
        <v>4.2070552977244002</v>
      </c>
      <c r="I63" s="3">
        <v>3.8080396537029002</v>
      </c>
      <c r="J63" s="3">
        <v>21.789041095889999</v>
      </c>
      <c r="K63" s="3">
        <v>15.092220840474999</v>
      </c>
      <c r="L63" s="2" t="s">
        <v>358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73.94</v>
      </c>
      <c r="H64" s="3">
        <v>3.7309475333124</v>
      </c>
      <c r="I64" s="3">
        <v>3.5845478382892</v>
      </c>
      <c r="J64" s="3">
        <v>11.783561643836</v>
      </c>
      <c r="K64" s="3">
        <v>10.620676005678</v>
      </c>
      <c r="L64" s="2" t="s">
        <v>358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66.239999999999995</v>
      </c>
      <c r="H65" s="3">
        <v>4.2944017593824002</v>
      </c>
      <c r="I65" s="3">
        <v>3.9380552366075001</v>
      </c>
      <c r="J65" s="3">
        <v>27.298630136985999</v>
      </c>
      <c r="K65" s="3">
        <v>18.076767449489999</v>
      </c>
      <c r="L65" s="2" t="s">
        <v>358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101.54</v>
      </c>
      <c r="H66" s="3">
        <v>2.0486129458457998</v>
      </c>
      <c r="I66" s="3">
        <v>1.6738849728234999</v>
      </c>
      <c r="J66" s="3">
        <v>1.7369863013699001</v>
      </c>
      <c r="K66" s="3">
        <v>1.6602235045789999</v>
      </c>
      <c r="L66" s="2" t="s">
        <v>358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100.72</v>
      </c>
      <c r="H67" s="3">
        <v>3.5947787019589001</v>
      </c>
      <c r="I67" s="3">
        <v>3.1289200046914001</v>
      </c>
      <c r="J67" s="3">
        <v>10.199999999999999</v>
      </c>
      <c r="K67" s="3">
        <v>8.2274415496701003</v>
      </c>
      <c r="L67" s="2" t="s">
        <v>358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100.17</v>
      </c>
      <c r="H68" s="3">
        <v>1.9603035879491</v>
      </c>
      <c r="I68" s="3">
        <v>1.6956946447821999</v>
      </c>
      <c r="J68" s="3">
        <v>1.1479452054793999</v>
      </c>
      <c r="K68" s="3">
        <v>1.1107011332172001</v>
      </c>
      <c r="L68" s="2" t="s">
        <v>358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102.72</v>
      </c>
      <c r="H69" s="3">
        <v>2.9833555689843001</v>
      </c>
      <c r="I69" s="3">
        <v>2.5531282305112</v>
      </c>
      <c r="J69" s="3">
        <v>6.1506849315069001</v>
      </c>
      <c r="K69" s="3">
        <v>5.3793400741228998</v>
      </c>
      <c r="L69" s="2" t="s">
        <v>358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74.38</v>
      </c>
      <c r="H70" s="3">
        <v>4.0438597346469001</v>
      </c>
      <c r="I70" s="3">
        <v>3.7708649704195998</v>
      </c>
      <c r="J70" s="3">
        <v>15.786301369863001</v>
      </c>
      <c r="K70" s="3">
        <v>12.82049615239</v>
      </c>
      <c r="L70" s="2" t="s">
        <v>358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105.96</v>
      </c>
      <c r="H71" s="3">
        <v>2.8349234323686998</v>
      </c>
      <c r="I71" s="3">
        <v>2.3457652003021998</v>
      </c>
      <c r="J71" s="3">
        <v>5.4876712328766999</v>
      </c>
      <c r="K71" s="3">
        <v>4.8586118008697996</v>
      </c>
      <c r="L71" s="2" t="s">
        <v>358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98.31</v>
      </c>
      <c r="H72" s="3">
        <v>1.9010890737965001</v>
      </c>
      <c r="I72" s="3">
        <v>1.7867085255838999</v>
      </c>
      <c r="J72" s="3">
        <v>1.6520547945205</v>
      </c>
      <c r="K72" s="3">
        <v>1.6086251200096</v>
      </c>
      <c r="L72" s="2" t="s">
        <v>358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93.22</v>
      </c>
      <c r="H73" s="3">
        <v>2.3677439038279</v>
      </c>
      <c r="I73" s="3">
        <v>2.2920989661762001</v>
      </c>
      <c r="J73" s="3">
        <v>3.7397260273973001</v>
      </c>
      <c r="K73" s="3">
        <v>3.6211439231645999</v>
      </c>
      <c r="L73" s="2" t="s">
        <v>358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105.39</v>
      </c>
      <c r="H74" s="3">
        <v>2.6019723377283999</v>
      </c>
      <c r="I74" s="3">
        <v>2.1306399012480002</v>
      </c>
      <c r="J74" s="3">
        <v>4.5698630136986003</v>
      </c>
      <c r="K74" s="3">
        <v>4.0776300424512</v>
      </c>
      <c r="L74" s="2" t="s">
        <v>358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101.34</v>
      </c>
      <c r="H75" s="3">
        <v>2.1339072822812999</v>
      </c>
      <c r="I75" s="3">
        <v>1.7944909483883</v>
      </c>
      <c r="J75" s="3">
        <v>2.4</v>
      </c>
      <c r="K75" s="3">
        <v>2.2860010310433001</v>
      </c>
      <c r="L75" s="2" t="s">
        <v>358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103.21</v>
      </c>
      <c r="H76" s="3">
        <v>2.9037782939837</v>
      </c>
      <c r="I76" s="3">
        <v>2.4673791807766001</v>
      </c>
      <c r="J76" s="3">
        <v>5.7397260273972996</v>
      </c>
      <c r="K76" s="3">
        <v>5.0710147523940003</v>
      </c>
      <c r="L76" s="2" t="s">
        <v>358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101.56699999999999</v>
      </c>
      <c r="H77" s="3">
        <v>2.0111876357512002</v>
      </c>
      <c r="I77" s="3">
        <v>1.5454338013199</v>
      </c>
      <c r="J77" s="3">
        <v>0.89863013698630001</v>
      </c>
      <c r="K77" s="3">
        <v>0.87210610767861996</v>
      </c>
      <c r="L77" s="2" t="s">
        <v>358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101.32</v>
      </c>
      <c r="H78" s="3">
        <v>2.4701129529935999</v>
      </c>
      <c r="I78" s="3">
        <v>2.1190885119360998</v>
      </c>
      <c r="J78" s="3">
        <v>4.0684931506849003</v>
      </c>
      <c r="K78" s="3">
        <v>3.7375151120354002</v>
      </c>
      <c r="L78" s="2" t="s">
        <v>358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97.55</v>
      </c>
      <c r="H79" s="3">
        <v>2.0465939256099999</v>
      </c>
      <c r="I79" s="3">
        <v>1.9250171196407</v>
      </c>
      <c r="J79" s="3">
        <v>2.3178082191781</v>
      </c>
      <c r="K79" s="3">
        <v>2.2478725549927998</v>
      </c>
      <c r="L79" s="2" t="s">
        <v>358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101.04</v>
      </c>
      <c r="H80" s="3">
        <v>2.3080707192641001</v>
      </c>
      <c r="I80" s="3">
        <v>1.9639751087979</v>
      </c>
      <c r="J80" s="3">
        <v>3.0684931506848998</v>
      </c>
      <c r="K80" s="3">
        <v>2.8872212515258999</v>
      </c>
      <c r="L80" s="2" t="s">
        <v>358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104.62</v>
      </c>
      <c r="H81" s="3">
        <v>2.7315281966404998</v>
      </c>
      <c r="I81" s="3">
        <v>2.2491013968389</v>
      </c>
      <c r="J81" s="3">
        <v>5.0684931506849003</v>
      </c>
      <c r="K81" s="3">
        <v>4.4909987394552999</v>
      </c>
      <c r="L81" s="2" t="s">
        <v>358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94.8</v>
      </c>
      <c r="H82" s="3">
        <v>2.2259512717271002</v>
      </c>
      <c r="I82" s="3">
        <v>2.1398458244809002</v>
      </c>
      <c r="J82" s="3">
        <v>3.1506849315068002</v>
      </c>
      <c r="K82" s="3">
        <v>3.0608987917274</v>
      </c>
      <c r="L82" s="2" t="s">
        <v>358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102.9</v>
      </c>
      <c r="H83" s="3">
        <v>2.0744256037616</v>
      </c>
      <c r="I83" s="3">
        <v>1.6469540249711001</v>
      </c>
      <c r="J83" s="3">
        <v>2.1479452054794002</v>
      </c>
      <c r="K83" s="3">
        <v>2.0243334232881001</v>
      </c>
      <c r="L83" s="2" t="s">
        <v>358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102.37</v>
      </c>
      <c r="H84" s="3">
        <v>2.0193326655111998</v>
      </c>
      <c r="I84" s="3">
        <v>1.5431957847983</v>
      </c>
      <c r="J84" s="3">
        <v>1.3178082191781</v>
      </c>
      <c r="K84" s="3">
        <v>1.2645060723591</v>
      </c>
      <c r="L84" s="2" t="s">
        <v>358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</v>
      </c>
      <c r="H85" s="3">
        <v>1.9301036170664001</v>
      </c>
      <c r="I85" s="3">
        <v>1.6255942469071001</v>
      </c>
      <c r="J85" s="3">
        <v>0.48493150684932002</v>
      </c>
      <c r="K85" s="3">
        <v>0.48120938726751</v>
      </c>
      <c r="L85" s="2" t="s">
        <v>358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98.36</v>
      </c>
      <c r="H86" s="3">
        <v>4.4448036542278997</v>
      </c>
      <c r="I86" s="3">
        <v>3.8899119461076999</v>
      </c>
      <c r="J86" s="3">
        <v>29.380821917807999</v>
      </c>
      <c r="K86" s="3">
        <v>16.036647177513998</v>
      </c>
      <c r="L86" s="2" t="s">
        <v>358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</v>
      </c>
      <c r="H87" s="3">
        <v>2.0290630532749998</v>
      </c>
      <c r="I87" s="3">
        <v>1.5990001292475999</v>
      </c>
      <c r="J87" s="3">
        <v>0.65205479452055004</v>
      </c>
      <c r="K87" s="3">
        <v>0.63079078351573004</v>
      </c>
      <c r="L87" s="2" t="s">
        <v>358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94.97</v>
      </c>
      <c r="H88" s="3">
        <v>2.1094263726808</v>
      </c>
      <c r="I88" s="3">
        <v>2.0707655881170002</v>
      </c>
      <c r="J88" s="3">
        <v>2.8164383561644</v>
      </c>
      <c r="K88" s="3">
        <v>2.748789419051</v>
      </c>
      <c r="L88" s="2" t="s">
        <v>358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80.900000000000006</v>
      </c>
      <c r="H89" s="3">
        <v>3.6327151385067999</v>
      </c>
      <c r="I89" s="3">
        <v>3.4225060469726998</v>
      </c>
      <c r="J89" s="3">
        <v>10.783561643836</v>
      </c>
      <c r="K89" s="3">
        <v>9.5317299349530007</v>
      </c>
      <c r="L89" s="2" t="s">
        <v>358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97.84</v>
      </c>
      <c r="H90" s="3">
        <v>4.0772449022534998</v>
      </c>
      <c r="I90" s="3">
        <v>3.5769378243691001</v>
      </c>
      <c r="J90" s="3">
        <v>15.372602739726</v>
      </c>
      <c r="K90" s="3">
        <v>11.18080427568</v>
      </c>
      <c r="L90" s="2" t="s">
        <v>358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99.811000000000007</v>
      </c>
      <c r="H91" s="3">
        <v>1.9912760856724001</v>
      </c>
      <c r="I91" s="3">
        <v>1.830110096863</v>
      </c>
      <c r="J91" s="3">
        <v>0.23287671232877</v>
      </c>
      <c r="K91" s="3">
        <v>0.22835262624450001</v>
      </c>
      <c r="L91" s="2" t="s">
        <v>358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9.8328767123287992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107.75</v>
      </c>
      <c r="H93" s="3">
        <v>2.2907231452219001</v>
      </c>
      <c r="I93" s="3">
        <v>1.7183427698861</v>
      </c>
      <c r="J93" s="3">
        <v>3.2821917808219001</v>
      </c>
      <c r="K93" s="3">
        <v>2.9896960410965998</v>
      </c>
      <c r="L93" s="2" t="s">
        <v>358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101.94</v>
      </c>
      <c r="H94" s="3">
        <v>4.4241459702833001</v>
      </c>
      <c r="I94" s="3">
        <v>3.8573908832704</v>
      </c>
      <c r="J94" s="3">
        <v>28.380821917807999</v>
      </c>
      <c r="K94" s="3">
        <v>15.632903333308001</v>
      </c>
      <c r="L94" s="2" t="s">
        <v>358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100.55</v>
      </c>
      <c r="H95" s="3">
        <v>3.1866289275775999</v>
      </c>
      <c r="I95" s="3">
        <v>2.7758776201386</v>
      </c>
      <c r="J95" s="3">
        <v>7.1534246575343001</v>
      </c>
      <c r="K95" s="3">
        <v>6.2287000666968</v>
      </c>
      <c r="L95" s="2" t="s">
        <v>358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100.774</v>
      </c>
      <c r="H96" s="3">
        <v>2.0218625628800999</v>
      </c>
      <c r="I96" s="3">
        <v>1.6102330021042</v>
      </c>
      <c r="J96" s="3">
        <v>0.68767123287670995</v>
      </c>
      <c r="K96" s="3">
        <v>0.66645929335761001</v>
      </c>
      <c r="L96" s="2" t="s">
        <v>358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100.524</v>
      </c>
      <c r="H97" s="3">
        <v>2.0491027269076998</v>
      </c>
      <c r="I97" s="3">
        <v>1.6079986234278001</v>
      </c>
      <c r="J97" s="3">
        <v>0.35616438356163999</v>
      </c>
      <c r="K97" s="3">
        <v>0.34906437259699002</v>
      </c>
      <c r="L97" s="2" t="s">
        <v>358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99.977999999999994</v>
      </c>
      <c r="H98" s="3">
        <v>2.0236432331021001</v>
      </c>
      <c r="I98" s="3">
        <v>1.7895780814594999</v>
      </c>
      <c r="J98" s="3">
        <v>0.10958904109589</v>
      </c>
      <c r="K98" s="3">
        <v>0.10742075368974</v>
      </c>
      <c r="L98" s="2" t="s">
        <v>358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101.36</v>
      </c>
      <c r="H99" s="3">
        <v>2.0226136140381001</v>
      </c>
      <c r="I99" s="3">
        <v>1.6350852955277999</v>
      </c>
      <c r="J99" s="3">
        <v>1.2684931506849</v>
      </c>
      <c r="K99" s="3">
        <v>1.2213537408112001</v>
      </c>
      <c r="L99" s="2" t="s">
        <v>358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100.81</v>
      </c>
      <c r="H100" s="3">
        <v>3.0284249149194</v>
      </c>
      <c r="I100" s="3">
        <v>2.6317216770303999</v>
      </c>
      <c r="J100" s="3">
        <v>6.4876712328766999</v>
      </c>
      <c r="K100" s="3">
        <v>5.7489883938987996</v>
      </c>
      <c r="L100" s="2" t="s">
        <v>358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100.84</v>
      </c>
      <c r="H101" s="3">
        <v>2.0696571294248001</v>
      </c>
      <c r="I101" s="3">
        <v>1.7448439796007</v>
      </c>
      <c r="J101" s="3">
        <v>1.7643835616437999</v>
      </c>
      <c r="K101" s="3">
        <v>1.6920137858140001</v>
      </c>
      <c r="L101" s="2" t="s">
        <v>358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103.26</v>
      </c>
      <c r="H102" s="3">
        <v>2.2232397432561002</v>
      </c>
      <c r="I102" s="3">
        <v>1.7900709213271999</v>
      </c>
      <c r="J102" s="3">
        <v>2.8630136986301</v>
      </c>
      <c r="K102" s="3">
        <v>2.6879693098552999</v>
      </c>
      <c r="L102" s="2" t="s">
        <v>358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103.8</v>
      </c>
      <c r="H103" s="3">
        <v>2.8856786068195999</v>
      </c>
      <c r="I103" s="3">
        <v>2.4244792895942</v>
      </c>
      <c r="J103" s="3">
        <v>4.7890410958903997</v>
      </c>
      <c r="K103" s="3">
        <v>4.2847656203581002</v>
      </c>
      <c r="L103" s="2" t="s">
        <v>358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103.8</v>
      </c>
      <c r="H104" s="3">
        <v>3.0217619110107998</v>
      </c>
      <c r="I104" s="3">
        <v>2.5484126107248</v>
      </c>
      <c r="J104" s="3">
        <v>4.7890410958903997</v>
      </c>
      <c r="K104" s="3">
        <v>4.2798858531314004</v>
      </c>
      <c r="L104" s="2" t="s">
        <v>358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105.68</v>
      </c>
      <c r="H105" s="3">
        <v>2.5955094020306002</v>
      </c>
      <c r="I105" s="3">
        <v>2.0628145726587999</v>
      </c>
      <c r="J105" s="3">
        <v>3.3890410958903998</v>
      </c>
      <c r="K105" s="3">
        <v>3.0891346684477998</v>
      </c>
      <c r="L105" s="2" t="s">
        <v>358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105.68</v>
      </c>
      <c r="H106" s="3">
        <v>2.7350681357324</v>
      </c>
      <c r="I106" s="3">
        <v>2.1916185715360998</v>
      </c>
      <c r="J106" s="3">
        <v>3.3890410958903998</v>
      </c>
      <c r="K106" s="3">
        <v>3.0852724925091999</v>
      </c>
      <c r="L106" s="2" t="s">
        <v>358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103.38</v>
      </c>
      <c r="H107" s="3">
        <v>2.2981655465644</v>
      </c>
      <c r="I107" s="3">
        <v>1.8072851147822999</v>
      </c>
      <c r="J107" s="3">
        <v>2.0602739726027002</v>
      </c>
      <c r="K107" s="3">
        <v>1.9316743788338</v>
      </c>
      <c r="L107" s="2" t="s">
        <v>358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103.38</v>
      </c>
      <c r="H108" s="3">
        <v>2.5335283715696999</v>
      </c>
      <c r="I108" s="3">
        <v>2.0284584052093</v>
      </c>
      <c r="J108" s="3">
        <v>2.0602739726027002</v>
      </c>
      <c r="K108" s="3">
        <v>1.9273567148658</v>
      </c>
      <c r="L108" s="2" t="s">
        <v>358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103.48</v>
      </c>
      <c r="H109" s="3">
        <v>2.9483432520708002</v>
      </c>
      <c r="I109" s="3">
        <v>2.4904395709099001</v>
      </c>
      <c r="J109" s="3">
        <v>4.9808219178081998</v>
      </c>
      <c r="K109" s="3">
        <v>4.4641311167945004</v>
      </c>
      <c r="L109" s="2" t="s">
        <v>358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103.48</v>
      </c>
      <c r="H110" s="3">
        <v>3.0976351346295998</v>
      </c>
      <c r="I110" s="3">
        <v>2.625799264191</v>
      </c>
      <c r="J110" s="3">
        <v>4.9808219178081998</v>
      </c>
      <c r="K110" s="3">
        <v>4.4586203056356002</v>
      </c>
      <c r="L110" s="2" t="s">
        <v>358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100.85</v>
      </c>
      <c r="H111" s="3">
        <v>4.8105247653088998</v>
      </c>
      <c r="I111" s="3">
        <v>4.4807712917644</v>
      </c>
      <c r="J111" s="3">
        <v>31.002739726026999</v>
      </c>
      <c r="K111" s="3">
        <v>5.7708170848591998</v>
      </c>
      <c r="L111" s="2" t="s">
        <v>358</v>
      </c>
      <c r="M111" s="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79BA-539A-E441-A90A-7B26D58ED5A5}">
  <dimension ref="A1:M111"/>
  <sheetViews>
    <sheetView workbookViewId="0">
      <selection activeCell="V10" sqref="V10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117.09</v>
      </c>
      <c r="H2" s="3">
        <v>3.2458144259855999</v>
      </c>
      <c r="I2" s="3">
        <v>2.5822197329295999</v>
      </c>
      <c r="J2" s="3">
        <v>7.7013698630137002</v>
      </c>
      <c r="K2" s="3">
        <v>6.1590559662790003</v>
      </c>
      <c r="L2" s="2" t="s">
        <v>359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100.4</v>
      </c>
      <c r="H3" s="3">
        <v>2.0072903305968</v>
      </c>
      <c r="I3" s="3">
        <v>1.7158625633005</v>
      </c>
      <c r="J3" s="3">
        <v>2.0246575342466002</v>
      </c>
      <c r="K3" s="3">
        <v>1.932275210319</v>
      </c>
      <c r="L3" s="2" t="s">
        <v>359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99.64</v>
      </c>
      <c r="H4" s="3">
        <v>2.1471237961616998</v>
      </c>
      <c r="I4" s="3">
        <v>1.8896361275161</v>
      </c>
      <c r="J4" s="3">
        <v>2.6958904109589001</v>
      </c>
      <c r="K4" s="3">
        <v>2.5672944535733002</v>
      </c>
      <c r="L4" s="2" t="s">
        <v>359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102.04</v>
      </c>
      <c r="H5" s="3">
        <v>2.4987646072760001</v>
      </c>
      <c r="I5" s="3">
        <v>2.1241414624220001</v>
      </c>
      <c r="J5" s="3">
        <v>4.1945205479452001</v>
      </c>
      <c r="K5" s="3">
        <v>3.8449518893803001</v>
      </c>
      <c r="L5" s="2" t="s">
        <v>359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101.84</v>
      </c>
      <c r="H6" s="3">
        <v>4.0157613561119998</v>
      </c>
      <c r="I6" s="3">
        <v>3.4919568240003001</v>
      </c>
      <c r="J6" s="3">
        <v>14.367123287670999</v>
      </c>
      <c r="K6" s="3">
        <v>10.521194464649</v>
      </c>
      <c r="L6" s="2" t="s">
        <v>359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86.83</v>
      </c>
      <c r="H7" s="3">
        <v>2.9625314291565998</v>
      </c>
      <c r="I7" s="3">
        <v>2.8799870801175</v>
      </c>
      <c r="J7" s="3">
        <v>6.1945205479452001</v>
      </c>
      <c r="K7" s="3">
        <v>5.8931676463327003</v>
      </c>
      <c r="L7" s="2" t="s">
        <v>359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107.78</v>
      </c>
      <c r="H8" s="3">
        <v>4.1984957981984996</v>
      </c>
      <c r="I8" s="3">
        <v>3.61946275202</v>
      </c>
      <c r="J8" s="3">
        <v>19.290410958904001</v>
      </c>
      <c r="K8" s="3">
        <v>12.456059049958</v>
      </c>
      <c r="L8" s="2" t="s">
        <v>359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104.13</v>
      </c>
      <c r="H9" s="3">
        <v>2.5904659451721002</v>
      </c>
      <c r="I9" s="3">
        <v>2.1553818829154001</v>
      </c>
      <c r="J9" s="3">
        <v>4.7753424657533996</v>
      </c>
      <c r="K9" s="3">
        <v>4.3037856545733</v>
      </c>
      <c r="L9" s="2" t="s">
        <v>359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91.55</v>
      </c>
      <c r="H10" s="3">
        <v>3.0606669329387999</v>
      </c>
      <c r="I10" s="3">
        <v>2.8385601911995999</v>
      </c>
      <c r="J10" s="3">
        <v>6.7780821917807996</v>
      </c>
      <c r="K10" s="3">
        <v>6.2063783554017</v>
      </c>
      <c r="L10" s="2" t="s">
        <v>359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99.67</v>
      </c>
      <c r="H11" s="3">
        <v>1.9359434729473</v>
      </c>
      <c r="I11" s="3">
        <v>1.7336628189162999</v>
      </c>
      <c r="J11" s="3">
        <v>1.0246575342466</v>
      </c>
      <c r="K11" s="3">
        <v>0.99355114570686998</v>
      </c>
      <c r="L11" s="2" t="s">
        <v>359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87.05</v>
      </c>
      <c r="H12" s="3">
        <v>3.6921243260408998</v>
      </c>
      <c r="I12" s="3">
        <v>3.3805498846856001</v>
      </c>
      <c r="J12" s="3">
        <v>11.284931506849</v>
      </c>
      <c r="K12" s="3">
        <v>9.5087379201135995</v>
      </c>
      <c r="L12" s="2" t="s">
        <v>359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88.41</v>
      </c>
      <c r="H13" s="3">
        <v>4.2906654784293004</v>
      </c>
      <c r="I13" s="3">
        <v>3.8134476251414</v>
      </c>
      <c r="J13" s="3">
        <v>22.789041095889999</v>
      </c>
      <c r="K13" s="3">
        <v>14.707821522977</v>
      </c>
      <c r="L13" s="2" t="s">
        <v>359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90.43</v>
      </c>
      <c r="H14" s="3">
        <v>3.9981147207287</v>
      </c>
      <c r="I14" s="3">
        <v>3.5780500374619999</v>
      </c>
      <c r="J14" s="3">
        <v>14.783561643836</v>
      </c>
      <c r="K14" s="3">
        <v>11.257005401904999</v>
      </c>
      <c r="L14" s="2" t="s">
        <v>359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98.337999999999994</v>
      </c>
      <c r="H15" s="3">
        <v>1.9438726587969</v>
      </c>
      <c r="I15" s="3">
        <v>1.9312143596381</v>
      </c>
      <c r="J15" s="3">
        <v>0.85753424657534005</v>
      </c>
      <c r="K15" s="3">
        <v>0.84139324468114995</v>
      </c>
      <c r="L15" s="2" t="s">
        <v>359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58.28</v>
      </c>
      <c r="H16" s="3">
        <v>4.2330194512907999</v>
      </c>
      <c r="I16" s="3">
        <v>3.8264105946539</v>
      </c>
      <c r="J16" s="3">
        <v>46.805479452055003</v>
      </c>
      <c r="K16" s="3">
        <v>22.823467408386001</v>
      </c>
      <c r="L16" s="2" t="s">
        <v>359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94.02</v>
      </c>
      <c r="H17" s="3">
        <v>3.8812691036414999</v>
      </c>
      <c r="I17" s="3">
        <v>3.4507475696114001</v>
      </c>
      <c r="J17" s="3">
        <v>12.780821917808</v>
      </c>
      <c r="K17" s="3">
        <v>10.008823486015</v>
      </c>
      <c r="L17" s="2" t="s">
        <v>359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98.48</v>
      </c>
      <c r="H18" s="3">
        <v>1.9463590171848999</v>
      </c>
      <c r="I18" s="3">
        <v>1.8062385939012</v>
      </c>
      <c r="J18" s="3">
        <v>1.8575342465753</v>
      </c>
      <c r="K18" s="3">
        <v>1.8058931512222001</v>
      </c>
      <c r="L18" s="2" t="s">
        <v>359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103.06</v>
      </c>
      <c r="H19" s="3">
        <v>2.5732247882502</v>
      </c>
      <c r="I19" s="3">
        <v>2.1536396314331001</v>
      </c>
      <c r="J19" s="3">
        <v>4.1095890410958997</v>
      </c>
      <c r="K19" s="3">
        <v>3.7364903566182002</v>
      </c>
      <c r="L19" s="2" t="s">
        <v>359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103.11</v>
      </c>
      <c r="H20" s="3">
        <v>3.4744829128302999</v>
      </c>
      <c r="I20" s="3">
        <v>2.9927565432076002</v>
      </c>
      <c r="J20" s="3">
        <v>9.1123287671232998</v>
      </c>
      <c r="K20" s="3">
        <v>7.4319191087001002</v>
      </c>
      <c r="L20" s="2" t="s">
        <v>359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94.07</v>
      </c>
      <c r="H21" s="3">
        <v>2.8328117041656</v>
      </c>
      <c r="I21" s="3">
        <v>2.6119101704477998</v>
      </c>
      <c r="J21" s="3">
        <v>5.5287671232877003</v>
      </c>
      <c r="K21" s="3">
        <v>5.1123893312232003</v>
      </c>
      <c r="L21" s="2" t="s">
        <v>359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87.93</v>
      </c>
      <c r="H22" s="3">
        <v>3.0212126930897001</v>
      </c>
      <c r="I22" s="3">
        <v>2.8911165199515998</v>
      </c>
      <c r="J22" s="3">
        <v>6.5287671232877003</v>
      </c>
      <c r="K22" s="3">
        <v>6.1135500269260001</v>
      </c>
      <c r="L22" s="2" t="s">
        <v>359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104.58</v>
      </c>
      <c r="H23" s="3">
        <v>2.3155807021053998</v>
      </c>
      <c r="I23" s="3">
        <v>1.8487338139131999</v>
      </c>
      <c r="J23" s="3">
        <v>3.1945205479452001</v>
      </c>
      <c r="K23" s="3">
        <v>2.9422131272308998</v>
      </c>
      <c r="L23" s="2" t="s">
        <v>359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112.39</v>
      </c>
      <c r="H24" s="3">
        <v>3.4448465300847002</v>
      </c>
      <c r="I24" s="3">
        <v>2.8508607339586001</v>
      </c>
      <c r="J24" s="3">
        <v>9.1972602739725993</v>
      </c>
      <c r="K24" s="3">
        <v>7.2497311257453001</v>
      </c>
      <c r="L24" s="2" t="s">
        <v>359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103.07</v>
      </c>
      <c r="H25" s="3">
        <v>3.7038649112522002</v>
      </c>
      <c r="I25" s="3">
        <v>3.2049501875744002</v>
      </c>
      <c r="J25" s="3">
        <v>11.704109589041</v>
      </c>
      <c r="K25" s="3">
        <v>9.0572542376276992</v>
      </c>
      <c r="L25" s="2" t="s">
        <v>359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111.65</v>
      </c>
      <c r="H26" s="3">
        <v>3.9574646986205999</v>
      </c>
      <c r="I26" s="3">
        <v>3.3633183593872</v>
      </c>
      <c r="J26" s="3">
        <v>14.2</v>
      </c>
      <c r="K26" s="3">
        <v>10.034649485533</v>
      </c>
      <c r="L26" s="2" t="s">
        <v>359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99.01</v>
      </c>
      <c r="H27" s="3">
        <v>1.9192757750400999</v>
      </c>
      <c r="I27" s="3">
        <v>1.7607034324197</v>
      </c>
      <c r="J27" s="3">
        <v>1.5260273972603</v>
      </c>
      <c r="K27" s="3">
        <v>1.4789458439781</v>
      </c>
      <c r="L27" s="2" t="s">
        <v>359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101.67</v>
      </c>
      <c r="H28" s="3">
        <v>2.3144840322646001</v>
      </c>
      <c r="I28" s="3">
        <v>1.9599410420359</v>
      </c>
      <c r="J28" s="3">
        <v>3.5287671232876998</v>
      </c>
      <c r="K28" s="3">
        <v>3.2669905424708001</v>
      </c>
      <c r="L28" s="2" t="s">
        <v>359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99.022000000000006</v>
      </c>
      <c r="H29" s="3">
        <v>1.8891566861469</v>
      </c>
      <c r="I29" s="3">
        <v>1.8190740694116001</v>
      </c>
      <c r="J29" s="3">
        <v>0.69589041095890003</v>
      </c>
      <c r="K29" s="3">
        <v>0.68457612947836</v>
      </c>
      <c r="L29" s="2" t="s">
        <v>359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97.76</v>
      </c>
      <c r="H30" s="3">
        <v>1.9102267618040001</v>
      </c>
      <c r="I30" s="3">
        <v>1.9081125151736</v>
      </c>
      <c r="J30" s="3">
        <v>1.1917808219178001</v>
      </c>
      <c r="K30" s="3">
        <v>1.1748185751475</v>
      </c>
      <c r="L30" s="2" t="s">
        <v>359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102.56</v>
      </c>
      <c r="H31" s="3">
        <v>3.5634881708349</v>
      </c>
      <c r="I31" s="3">
        <v>3.0819834976761999</v>
      </c>
      <c r="J31" s="3">
        <v>9.7013698630136993</v>
      </c>
      <c r="K31" s="3">
        <v>7.8396368693984</v>
      </c>
      <c r="L31" s="2" t="s">
        <v>359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111.2</v>
      </c>
      <c r="H32" s="3">
        <v>4.0473629200239003</v>
      </c>
      <c r="I32" s="3">
        <v>3.4505362674929998</v>
      </c>
      <c r="J32" s="3">
        <v>15.287671232877001</v>
      </c>
      <c r="K32" s="3">
        <v>10.591283900634</v>
      </c>
      <c r="L32" s="2" t="s">
        <v>359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101.872</v>
      </c>
      <c r="H33" s="3">
        <v>2.0228088877039001</v>
      </c>
      <c r="I33" s="3">
        <v>1.4757312849273001</v>
      </c>
      <c r="J33" s="3">
        <v>0.77260273972603</v>
      </c>
      <c r="K33" s="3">
        <v>0.74952694195823</v>
      </c>
      <c r="L33" s="2" t="s">
        <v>359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86.54</v>
      </c>
      <c r="H34" s="3">
        <v>4.2543402253444</v>
      </c>
      <c r="I34" s="3">
        <v>3.8005649440017999</v>
      </c>
      <c r="J34" s="3">
        <v>21.290410958904001</v>
      </c>
      <c r="K34" s="3">
        <v>14.29776130015</v>
      </c>
      <c r="L34" s="2" t="s">
        <v>359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100.04300000000001</v>
      </c>
      <c r="H35" s="3">
        <v>1.8862329968586</v>
      </c>
      <c r="I35" s="3">
        <v>1.640388103589</v>
      </c>
      <c r="J35" s="3">
        <v>0.52602739726027004</v>
      </c>
      <c r="K35" s="3">
        <v>0.51153765611519997</v>
      </c>
      <c r="L35" s="2" t="s">
        <v>359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69.92</v>
      </c>
      <c r="H36" s="3">
        <v>4.4183579595799003</v>
      </c>
      <c r="I36" s="3">
        <v>3.9545887078997</v>
      </c>
      <c r="J36" s="3">
        <v>41.8</v>
      </c>
      <c r="K36" s="3">
        <v>20.336254698424</v>
      </c>
      <c r="L36" s="2" t="s">
        <v>359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94.15</v>
      </c>
      <c r="H37" s="3">
        <v>3.2855627511162</v>
      </c>
      <c r="I37" s="3">
        <v>2.9599247228553001</v>
      </c>
      <c r="J37" s="3">
        <v>8.2821917808219006</v>
      </c>
      <c r="K37" s="3">
        <v>7.2379830858806002</v>
      </c>
      <c r="L37" s="2" t="s">
        <v>359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90.7</v>
      </c>
      <c r="H38" s="3">
        <v>3.8850160444227999</v>
      </c>
      <c r="I38" s="3">
        <v>3.4870427888575</v>
      </c>
      <c r="J38" s="3">
        <v>13.284931506849</v>
      </c>
      <c r="K38" s="3">
        <v>10.468162411487</v>
      </c>
      <c r="L38" s="2" t="s">
        <v>359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98.76</v>
      </c>
      <c r="H39" s="3">
        <v>3.5295000741967</v>
      </c>
      <c r="I39" s="3">
        <v>3.0991304010973</v>
      </c>
      <c r="J39" s="3">
        <v>9.7780821917808005</v>
      </c>
      <c r="K39" s="3">
        <v>8.0619869155061004</v>
      </c>
      <c r="L39" s="2" t="s">
        <v>359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93.44</v>
      </c>
      <c r="H40" s="3">
        <v>4.3296419896699998</v>
      </c>
      <c r="I40" s="3">
        <v>3.8161246056081999</v>
      </c>
      <c r="J40" s="3">
        <v>24.293150684932002</v>
      </c>
      <c r="K40" s="3">
        <v>14.891335550158001</v>
      </c>
      <c r="L40" s="2" t="s">
        <v>359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94.19</v>
      </c>
      <c r="H41" s="3">
        <v>2.6476585796635002</v>
      </c>
      <c r="I41" s="3">
        <v>2.4710278214019001</v>
      </c>
      <c r="J41" s="3">
        <v>4.8602739726027</v>
      </c>
      <c r="K41" s="3">
        <v>4.5849074239554</v>
      </c>
      <c r="L41" s="2" t="s">
        <v>359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71.83</v>
      </c>
      <c r="H42" s="3">
        <v>4.3283068832653999</v>
      </c>
      <c r="I42" s="3">
        <v>3.9415485834898001</v>
      </c>
      <c r="J42" s="3">
        <v>25.293150684932002</v>
      </c>
      <c r="K42" s="3">
        <v>16.786983928626999</v>
      </c>
      <c r="L42" s="2" t="s">
        <v>359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60.2</v>
      </c>
      <c r="H43" s="3">
        <v>4.2626552076374002</v>
      </c>
      <c r="I43" s="3">
        <v>3.9629017233209001</v>
      </c>
      <c r="J43" s="3">
        <v>26.293150684932002</v>
      </c>
      <c r="K43" s="3">
        <v>18.580793359853001</v>
      </c>
      <c r="L43" s="2" t="s">
        <v>359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103.55</v>
      </c>
      <c r="H44" s="3">
        <v>4.2102686788810999</v>
      </c>
      <c r="I44" s="3">
        <v>3.6546915615399</v>
      </c>
      <c r="J44" s="3">
        <v>18.287671232876999</v>
      </c>
      <c r="K44" s="3">
        <v>12.179538630591001</v>
      </c>
      <c r="L44" s="2" t="s">
        <v>359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106.05</v>
      </c>
      <c r="H45" s="3">
        <v>3.4234117868870002</v>
      </c>
      <c r="I45" s="3">
        <v>2.9084925532841002</v>
      </c>
      <c r="J45" s="3">
        <v>8.7780821917808005</v>
      </c>
      <c r="K45" s="3">
        <v>7.1696561505186001</v>
      </c>
      <c r="L45" s="2" t="s">
        <v>359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89.36</v>
      </c>
      <c r="H46" s="3">
        <v>2.9068014754277001</v>
      </c>
      <c r="I46" s="3">
        <v>2.7854273324381</v>
      </c>
      <c r="J46" s="3">
        <v>5.8602739726027</v>
      </c>
      <c r="K46" s="3">
        <v>5.5425019712052999</v>
      </c>
      <c r="L46" s="2" t="s">
        <v>359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86.64</v>
      </c>
      <c r="H47" s="3">
        <v>3.1007466394991998</v>
      </c>
      <c r="I47" s="3">
        <v>2.9606977665669998</v>
      </c>
      <c r="J47" s="3">
        <v>7.0301369863014003</v>
      </c>
      <c r="K47" s="3">
        <v>6.5584967425835998</v>
      </c>
      <c r="L47" s="2" t="s">
        <v>359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107.96</v>
      </c>
      <c r="H48" s="3">
        <v>3.2768965652212998</v>
      </c>
      <c r="I48" s="3">
        <v>2.7436331304888002</v>
      </c>
      <c r="J48" s="3">
        <v>7.9452054794520999</v>
      </c>
      <c r="K48" s="3">
        <v>6.6139260570162</v>
      </c>
      <c r="L48" s="2" t="s">
        <v>359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107.52</v>
      </c>
      <c r="H49" s="3">
        <v>1.928805696175</v>
      </c>
      <c r="I49" s="3">
        <v>1.0631318883329</v>
      </c>
      <c r="J49" s="3">
        <v>1.4438356164384001</v>
      </c>
      <c r="K49" s="3">
        <v>1.3704968896284</v>
      </c>
      <c r="L49" s="2" t="s">
        <v>359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110.3</v>
      </c>
      <c r="H50" s="3">
        <v>2.1520102279543001</v>
      </c>
      <c r="I50" s="3">
        <v>1.3824912188270999</v>
      </c>
      <c r="J50" s="3">
        <v>2.4438356164383999</v>
      </c>
      <c r="K50" s="3">
        <v>2.2518860387877999</v>
      </c>
      <c r="L50" s="2" t="s">
        <v>359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111.5</v>
      </c>
      <c r="H51" s="3">
        <v>2.5088834888168998</v>
      </c>
      <c r="I51" s="3">
        <v>1.8870362428103999</v>
      </c>
      <c r="J51" s="3">
        <v>4.4465753424657999</v>
      </c>
      <c r="K51" s="3">
        <v>3.9414966045175999</v>
      </c>
      <c r="L51" s="2" t="s">
        <v>359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117.12</v>
      </c>
      <c r="H52" s="3">
        <v>2.8638862496809998</v>
      </c>
      <c r="I52" s="3">
        <v>2.1725336063481002</v>
      </c>
      <c r="J52" s="3">
        <v>5.9424657534246998</v>
      </c>
      <c r="K52" s="3">
        <v>5.0075991310183996</v>
      </c>
      <c r="L52" s="2" t="s">
        <v>359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99.974000000000004</v>
      </c>
      <c r="H53" s="3">
        <v>2.2557449846497</v>
      </c>
      <c r="I53" s="3">
        <v>2.0916957585658</v>
      </c>
      <c r="J53" s="3">
        <v>2.4657534246574998E-2</v>
      </c>
      <c r="K53" s="3">
        <v>2.6793289918044999E-2</v>
      </c>
      <c r="L53" s="2" t="s">
        <v>359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91.37</v>
      </c>
      <c r="H54" s="3">
        <v>2.7622999720707</v>
      </c>
      <c r="I54" s="3">
        <v>2.6306558720625</v>
      </c>
      <c r="J54" s="3">
        <v>5.1945205479452001</v>
      </c>
      <c r="K54" s="3">
        <v>4.9224700861528996</v>
      </c>
      <c r="L54" s="2" t="s">
        <v>359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107.36</v>
      </c>
      <c r="H55" s="3">
        <v>3.1423579145795002</v>
      </c>
      <c r="I55" s="3">
        <v>2.6365724504403998</v>
      </c>
      <c r="J55" s="3">
        <v>8.4493150684930995</v>
      </c>
      <c r="K55" s="3">
        <v>6.9807084533642998</v>
      </c>
      <c r="L55" s="2" t="s">
        <v>359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99.79</v>
      </c>
      <c r="H56" s="3">
        <v>3.654894395411</v>
      </c>
      <c r="I56" s="3">
        <v>3.1970093162638999</v>
      </c>
      <c r="J56" s="3">
        <v>10.364383561644001</v>
      </c>
      <c r="K56" s="3">
        <v>8.4149842379305007</v>
      </c>
      <c r="L56" s="2" t="s">
        <v>359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101.62</v>
      </c>
      <c r="H57" s="3">
        <v>2.6184803757883999</v>
      </c>
      <c r="I57" s="3">
        <v>2.2368872902607002</v>
      </c>
      <c r="J57" s="3">
        <v>4.3616438356164</v>
      </c>
      <c r="K57" s="3">
        <v>4.0023239403988002</v>
      </c>
      <c r="L57" s="2" t="s">
        <v>359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105.75</v>
      </c>
      <c r="H58" s="3">
        <v>2.4725331536844002</v>
      </c>
      <c r="I58" s="3">
        <v>1.9457130735774</v>
      </c>
      <c r="J58" s="3">
        <v>3.6986301369863002</v>
      </c>
      <c r="K58" s="3">
        <v>3.3547340546587998</v>
      </c>
      <c r="L58" s="2" t="s">
        <v>359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100.84</v>
      </c>
      <c r="H59" s="3">
        <v>2.7902702525361001</v>
      </c>
      <c r="I59" s="3">
        <v>2.4187658629458002</v>
      </c>
      <c r="J59" s="3">
        <v>5.1095890410958997</v>
      </c>
      <c r="K59" s="3">
        <v>4.6229733695619002</v>
      </c>
      <c r="L59" s="2" t="s">
        <v>359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95.56</v>
      </c>
      <c r="H60" s="3">
        <v>3.1898631839443001</v>
      </c>
      <c r="I60" s="3">
        <v>2.8412364594245001</v>
      </c>
      <c r="J60" s="3">
        <v>7.5315068493151003</v>
      </c>
      <c r="K60" s="3">
        <v>6.5994444454673999</v>
      </c>
      <c r="L60" s="2" t="s">
        <v>359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100.03</v>
      </c>
      <c r="H61" s="3">
        <v>2.0445651015795998</v>
      </c>
      <c r="I61" s="3">
        <v>1.776500487314</v>
      </c>
      <c r="J61" s="3">
        <v>2.1917808219178001</v>
      </c>
      <c r="K61" s="3">
        <v>2.1014044008544999</v>
      </c>
      <c r="L61" s="2" t="s">
        <v>359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101.18</v>
      </c>
      <c r="H62" s="3">
        <v>2.1776303751424</v>
      </c>
      <c r="I62" s="3">
        <v>1.8374998448912001</v>
      </c>
      <c r="J62" s="3">
        <v>2.5260273972602998</v>
      </c>
      <c r="K62" s="3">
        <v>2.3786329443135998</v>
      </c>
      <c r="L62" s="2" t="s">
        <v>359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78.63</v>
      </c>
      <c r="H63" s="3">
        <v>4.2497509363471</v>
      </c>
      <c r="I63" s="3">
        <v>3.8490145464246002</v>
      </c>
      <c r="J63" s="3">
        <v>21.786301369863001</v>
      </c>
      <c r="K63" s="3">
        <v>15.060852386063999</v>
      </c>
      <c r="L63" s="2" t="s">
        <v>359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73.64</v>
      </c>
      <c r="H64" s="3">
        <v>3.7697534047877999</v>
      </c>
      <c r="I64" s="3">
        <v>3.6230070039703999</v>
      </c>
      <c r="J64" s="3">
        <v>11.780821917808</v>
      </c>
      <c r="K64" s="3">
        <v>10.612025250067999</v>
      </c>
      <c r="L64" s="2" t="s">
        <v>359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65.8</v>
      </c>
      <c r="H65" s="3">
        <v>4.3311995210941996</v>
      </c>
      <c r="I65" s="3">
        <v>3.9731721669755999</v>
      </c>
      <c r="J65" s="3">
        <v>27.295890410959</v>
      </c>
      <c r="K65" s="3">
        <v>18.035373160323001</v>
      </c>
      <c r="L65" s="2" t="s">
        <v>359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101.49</v>
      </c>
      <c r="H66" s="3">
        <v>2.0766491037935002</v>
      </c>
      <c r="I66" s="3">
        <v>1.7017639273873</v>
      </c>
      <c r="J66" s="3">
        <v>1.7342465753425</v>
      </c>
      <c r="K66" s="3">
        <v>1.6570705357683</v>
      </c>
      <c r="L66" s="2" t="s">
        <v>359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100.44</v>
      </c>
      <c r="H67" s="3">
        <v>3.6282373495834999</v>
      </c>
      <c r="I67" s="3">
        <v>3.1615611029032</v>
      </c>
      <c r="J67" s="3">
        <v>10.197260273973001</v>
      </c>
      <c r="K67" s="3">
        <v>8.2193394138732003</v>
      </c>
      <c r="L67" s="2" t="s">
        <v>359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100.18</v>
      </c>
      <c r="H68" s="3">
        <v>1.950973754701</v>
      </c>
      <c r="I68" s="3">
        <v>1.6864027088005</v>
      </c>
      <c r="J68" s="3">
        <v>1.1452054794521001</v>
      </c>
      <c r="K68" s="3">
        <v>1.1081166157483999</v>
      </c>
      <c r="L68" s="2" t="s">
        <v>359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102.57</v>
      </c>
      <c r="H69" s="3">
        <v>3.0100131379853998</v>
      </c>
      <c r="I69" s="3">
        <v>2.5793733184934</v>
      </c>
      <c r="J69" s="3">
        <v>6.1479452054795001</v>
      </c>
      <c r="K69" s="3">
        <v>5.3747326741150996</v>
      </c>
      <c r="L69" s="2" t="s">
        <v>359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74.05</v>
      </c>
      <c r="H70" s="3">
        <v>4.0787134651925996</v>
      </c>
      <c r="I70" s="3">
        <v>3.8049520954010001</v>
      </c>
      <c r="J70" s="3">
        <v>15.783561643836</v>
      </c>
      <c r="K70" s="3">
        <v>12.806804294059001</v>
      </c>
      <c r="L70" s="2" t="s">
        <v>359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105.86</v>
      </c>
      <c r="H71" s="3">
        <v>2.8538201464108002</v>
      </c>
      <c r="I71" s="3">
        <v>2.3643553207397998</v>
      </c>
      <c r="J71" s="3">
        <v>5.4849315068492999</v>
      </c>
      <c r="K71" s="3">
        <v>4.8547875755609002</v>
      </c>
      <c r="L71" s="2" t="s">
        <v>359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98.28</v>
      </c>
      <c r="H72" s="3">
        <v>1.9217668333313001</v>
      </c>
      <c r="I72" s="3">
        <v>1.8073668989319001</v>
      </c>
      <c r="J72" s="3">
        <v>1.6493150684930999</v>
      </c>
      <c r="K72" s="3">
        <v>1.6056077324074001</v>
      </c>
      <c r="L72" s="2" t="s">
        <v>359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93.14</v>
      </c>
      <c r="H73" s="3">
        <v>2.3928480806288999</v>
      </c>
      <c r="I73" s="3">
        <v>2.3171798059447002</v>
      </c>
      <c r="J73" s="3">
        <v>3.7369863013699001</v>
      </c>
      <c r="K73" s="3">
        <v>3.6175608413257998</v>
      </c>
      <c r="L73" s="2" t="s">
        <v>359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105.27</v>
      </c>
      <c r="H74" s="3">
        <v>2.6287974157215999</v>
      </c>
      <c r="I74" s="3">
        <v>2.1570949721174002</v>
      </c>
      <c r="J74" s="3">
        <v>4.5671232876712002</v>
      </c>
      <c r="K74" s="3">
        <v>4.0736140250190997</v>
      </c>
      <c r="L74" s="2" t="s">
        <v>359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101.28</v>
      </c>
      <c r="H75" s="3">
        <v>2.1591295030482001</v>
      </c>
      <c r="I75" s="3">
        <v>1.8195533103246999</v>
      </c>
      <c r="J75" s="3">
        <v>2.3972602739725999</v>
      </c>
      <c r="K75" s="3">
        <v>2.2827321062435</v>
      </c>
      <c r="L75" s="2" t="s">
        <v>359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103.12</v>
      </c>
      <c r="H76" s="3">
        <v>2.9205528154653</v>
      </c>
      <c r="I76" s="3">
        <v>2.4839062246821002</v>
      </c>
      <c r="J76" s="3">
        <v>5.7369863013698996</v>
      </c>
      <c r="K76" s="3">
        <v>5.0672454641767004</v>
      </c>
      <c r="L76" s="2" t="s">
        <v>359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101.551</v>
      </c>
      <c r="H77" s="3">
        <v>2.0236364833109</v>
      </c>
      <c r="I77" s="3">
        <v>1.5578434839024</v>
      </c>
      <c r="J77" s="3">
        <v>0.89589041095889999</v>
      </c>
      <c r="K77" s="3">
        <v>0.86931427297426001</v>
      </c>
      <c r="L77" s="2" t="s">
        <v>359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101.49</v>
      </c>
      <c r="H78" s="3">
        <v>2.4255518322095</v>
      </c>
      <c r="I78" s="3">
        <v>2.0749432956768001</v>
      </c>
      <c r="J78" s="3">
        <v>4.0657534246575002</v>
      </c>
      <c r="K78" s="3">
        <v>3.7367316300338</v>
      </c>
      <c r="L78" s="2" t="s">
        <v>359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97.78</v>
      </c>
      <c r="H79" s="3">
        <v>1.9432392744489999</v>
      </c>
      <c r="I79" s="3">
        <v>1.8218998475802</v>
      </c>
      <c r="J79" s="3">
        <v>2.3150684931507</v>
      </c>
      <c r="K79" s="3">
        <v>2.2474992513314</v>
      </c>
      <c r="L79" s="2" t="s">
        <v>359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100.97</v>
      </c>
      <c r="H80" s="3">
        <v>2.3316653612180001</v>
      </c>
      <c r="I80" s="3">
        <v>1.9873944058010999</v>
      </c>
      <c r="J80" s="3">
        <v>3.0657534246574998</v>
      </c>
      <c r="K80" s="3">
        <v>2.8838285307819</v>
      </c>
      <c r="L80" s="2" t="s">
        <v>359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104.47</v>
      </c>
      <c r="H81" s="3">
        <v>2.7625267537505001</v>
      </c>
      <c r="I81" s="3">
        <v>2.2796707174455002</v>
      </c>
      <c r="J81" s="3">
        <v>5.0657534246575002</v>
      </c>
      <c r="K81" s="3">
        <v>4.4865607623040997</v>
      </c>
      <c r="L81" s="2" t="s">
        <v>359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94.73</v>
      </c>
      <c r="H82" s="3">
        <v>2.2515568499096998</v>
      </c>
      <c r="I82" s="3">
        <v>2.1654380606751</v>
      </c>
      <c r="J82" s="3">
        <v>3.1479452054794002</v>
      </c>
      <c r="K82" s="3">
        <v>3.0574385485814002</v>
      </c>
      <c r="L82" s="2" t="s">
        <v>359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102.81</v>
      </c>
      <c r="H83" s="3">
        <v>2.1154642188431998</v>
      </c>
      <c r="I83" s="3">
        <v>1.6876786229986001</v>
      </c>
      <c r="J83" s="3">
        <v>2.1452054794520001</v>
      </c>
      <c r="K83" s="3">
        <v>2.0207911840981998</v>
      </c>
      <c r="L83" s="2" t="s">
        <v>359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102.33</v>
      </c>
      <c r="H84" s="3">
        <v>2.0463834748932999</v>
      </c>
      <c r="I84" s="3">
        <v>1.5700692645106999</v>
      </c>
      <c r="J84" s="3">
        <v>1.3150684931507</v>
      </c>
      <c r="K84" s="3">
        <v>1.2614802665416001</v>
      </c>
      <c r="L84" s="2" t="s">
        <v>359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</v>
      </c>
      <c r="H85" s="3">
        <v>1.9271028524296001</v>
      </c>
      <c r="I85" s="3">
        <v>1.6226683234315999</v>
      </c>
      <c r="J85" s="3">
        <v>0.48219178082191999</v>
      </c>
      <c r="K85" s="3">
        <v>0.47853464242012</v>
      </c>
      <c r="L85" s="2" t="s">
        <v>359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97.71</v>
      </c>
      <c r="H86" s="3">
        <v>4.4859633457276002</v>
      </c>
      <c r="I86" s="3">
        <v>3.9283911988628</v>
      </c>
      <c r="J86" s="3">
        <v>29.378082191781001</v>
      </c>
      <c r="K86" s="3">
        <v>15.985973272933</v>
      </c>
      <c r="L86" s="2" t="s">
        <v>359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100.92700000000001</v>
      </c>
      <c r="H87" s="3">
        <v>2.0122838553648998</v>
      </c>
      <c r="I87" s="3">
        <v>1.5823008904763001</v>
      </c>
      <c r="J87" s="3">
        <v>0.64931506849315002</v>
      </c>
      <c r="K87" s="3">
        <v>0.62820720092865001</v>
      </c>
      <c r="L87" s="2" t="s">
        <v>359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94.75</v>
      </c>
      <c r="H88" s="3">
        <v>2.1956977608378998</v>
      </c>
      <c r="I88" s="3">
        <v>2.1569986470143001</v>
      </c>
      <c r="J88" s="3">
        <v>2.8136986301369999</v>
      </c>
      <c r="K88" s="3">
        <v>2.7437734498333</v>
      </c>
      <c r="L88" s="2" t="s">
        <v>359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80.66</v>
      </c>
      <c r="H89" s="3">
        <v>3.6642925800784001</v>
      </c>
      <c r="I89" s="3">
        <v>3.4537076948425001</v>
      </c>
      <c r="J89" s="3">
        <v>10.780821917808</v>
      </c>
      <c r="K89" s="3">
        <v>9.5244453437596004</v>
      </c>
      <c r="L89" s="2" t="s">
        <v>359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97.52</v>
      </c>
      <c r="H90" s="3">
        <v>4.1064258634944997</v>
      </c>
      <c r="I90" s="3">
        <v>3.6050592196585001</v>
      </c>
      <c r="J90" s="3">
        <v>15.369863013699</v>
      </c>
      <c r="K90" s="3">
        <v>11.168060047337001</v>
      </c>
      <c r="L90" s="2" t="s">
        <v>359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99.822999999999993</v>
      </c>
      <c r="H91" s="3">
        <v>1.9491111312819001</v>
      </c>
      <c r="I91" s="3">
        <v>1.7879753996439001</v>
      </c>
      <c r="J91" s="3">
        <v>0.23013698630137</v>
      </c>
      <c r="K91" s="3">
        <v>0.22575859773279999</v>
      </c>
      <c r="L91" s="2" t="s">
        <v>359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9.8301369863013992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107.68</v>
      </c>
      <c r="H93" s="3">
        <v>2.3103727551093001</v>
      </c>
      <c r="I93" s="3">
        <v>1.7377169905822001</v>
      </c>
      <c r="J93" s="3">
        <v>3.2794520547945001</v>
      </c>
      <c r="K93" s="3">
        <v>2.9863616332028999</v>
      </c>
      <c r="L93" s="2" t="s">
        <v>359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101.28</v>
      </c>
      <c r="H94" s="3">
        <v>4.4654950096323001</v>
      </c>
      <c r="I94" s="3">
        <v>3.8960868595617</v>
      </c>
      <c r="J94" s="3">
        <v>28.378082191781001</v>
      </c>
      <c r="K94" s="3">
        <v>15.585057825967001</v>
      </c>
      <c r="L94" s="2" t="s">
        <v>359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101.09</v>
      </c>
      <c r="H95" s="3">
        <v>3.1008170415540999</v>
      </c>
      <c r="I95" s="3">
        <v>2.6914900875118</v>
      </c>
      <c r="J95" s="3">
        <v>7.1506849315069001</v>
      </c>
      <c r="K95" s="3">
        <v>6.2335792788584001</v>
      </c>
      <c r="L95" s="2" t="s">
        <v>359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100.76900000000001</v>
      </c>
      <c r="H96" s="3">
        <v>2.0244710119546001</v>
      </c>
      <c r="I96" s="3">
        <v>1.6128751880189001</v>
      </c>
      <c r="J96" s="3">
        <v>0.68493150684932003</v>
      </c>
      <c r="K96" s="3">
        <v>0.66375604531238996</v>
      </c>
      <c r="L96" s="2" t="s">
        <v>359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100.529</v>
      </c>
      <c r="H97" s="3">
        <v>2.0238742198469999</v>
      </c>
      <c r="I97" s="3">
        <v>1.5828298014025</v>
      </c>
      <c r="J97" s="3">
        <v>0.35342465753425001</v>
      </c>
      <c r="K97" s="3">
        <v>0.34646377369857001</v>
      </c>
      <c r="L97" s="2" t="s">
        <v>359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99.98</v>
      </c>
      <c r="H98" s="3">
        <v>2.0102141199766002</v>
      </c>
      <c r="I98" s="3">
        <v>1.7762401243891</v>
      </c>
      <c r="J98" s="3">
        <v>0.10684931506849001</v>
      </c>
      <c r="K98" s="3">
        <v>0.10474884983090001</v>
      </c>
      <c r="L98" s="2" t="s">
        <v>359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101.33</v>
      </c>
      <c r="H99" s="3">
        <v>2.0443475129003001</v>
      </c>
      <c r="I99" s="3">
        <v>1.6567172172347999</v>
      </c>
      <c r="J99" s="3">
        <v>1.2657534246575</v>
      </c>
      <c r="K99" s="3">
        <v>1.2184049737100999</v>
      </c>
      <c r="L99" s="2" t="s">
        <v>359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100.6</v>
      </c>
      <c r="H100" s="3">
        <v>3.0646438285651998</v>
      </c>
      <c r="I100" s="3">
        <v>2.6674015451531998</v>
      </c>
      <c r="J100" s="3">
        <v>6.4849315068492999</v>
      </c>
      <c r="K100" s="3">
        <v>5.7435969361027999</v>
      </c>
      <c r="L100" s="2" t="s">
        <v>359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100.82</v>
      </c>
      <c r="H101" s="3">
        <v>2.0805369888267</v>
      </c>
      <c r="I101" s="3">
        <v>1.7556748721766</v>
      </c>
      <c r="J101" s="3">
        <v>1.7616438356163999</v>
      </c>
      <c r="K101" s="3">
        <v>1.6891451376474</v>
      </c>
      <c r="L101" s="2" t="s">
        <v>359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103.2</v>
      </c>
      <c r="H102" s="3">
        <v>2.2436945107759998</v>
      </c>
      <c r="I102" s="3">
        <v>1.8103464073308</v>
      </c>
      <c r="J102" s="3">
        <v>2.8602739726027</v>
      </c>
      <c r="K102" s="3">
        <v>2.6847111367099998</v>
      </c>
      <c r="L102" s="2" t="s">
        <v>359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103.74</v>
      </c>
      <c r="H103" s="3">
        <v>2.8989389883349999</v>
      </c>
      <c r="I103" s="3">
        <v>2.4375156505589999</v>
      </c>
      <c r="J103" s="3">
        <v>4.7863013698629997</v>
      </c>
      <c r="K103" s="3">
        <v>4.2814169967032001</v>
      </c>
      <c r="L103" s="2" t="s">
        <v>359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103.74</v>
      </c>
      <c r="H104" s="3">
        <v>3.0351220888811001</v>
      </c>
      <c r="I104" s="3">
        <v>2.5615501328233998</v>
      </c>
      <c r="J104" s="3">
        <v>4.7863013698629997</v>
      </c>
      <c r="K104" s="3">
        <v>4.2765374697362999</v>
      </c>
      <c r="L104" s="2" t="s">
        <v>359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105.6</v>
      </c>
      <c r="H105" s="3">
        <v>2.6187742312125</v>
      </c>
      <c r="I105" s="3">
        <v>2.0857463396477001</v>
      </c>
      <c r="J105" s="3">
        <v>3.3863013698629998</v>
      </c>
      <c r="K105" s="3">
        <v>3.0856664993934002</v>
      </c>
      <c r="L105" s="2" t="s">
        <v>359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105.6</v>
      </c>
      <c r="H106" s="3">
        <v>2.7584829319570998</v>
      </c>
      <c r="I106" s="3">
        <v>2.2147042440049001</v>
      </c>
      <c r="J106" s="3">
        <v>3.3863013698629998</v>
      </c>
      <c r="K106" s="3">
        <v>3.0818050081792001</v>
      </c>
      <c r="L106" s="2" t="s">
        <v>359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103.35</v>
      </c>
      <c r="H107" s="3">
        <v>2.311816317745</v>
      </c>
      <c r="I107" s="3">
        <v>1.8206890928831001</v>
      </c>
      <c r="J107" s="3">
        <v>2.0575342465753002</v>
      </c>
      <c r="K107" s="3">
        <v>1.9287232034235</v>
      </c>
      <c r="L107" s="2" t="s">
        <v>359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103.35</v>
      </c>
      <c r="H108" s="3">
        <v>2.5475368973434001</v>
      </c>
      <c r="I108" s="3">
        <v>2.0422196242232</v>
      </c>
      <c r="J108" s="3">
        <v>2.0575342465753002</v>
      </c>
      <c r="K108" s="3">
        <v>1.9244058160741</v>
      </c>
      <c r="L108" s="2" t="s">
        <v>359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103.38</v>
      </c>
      <c r="H109" s="3">
        <v>2.9698144391511998</v>
      </c>
      <c r="I109" s="3">
        <v>2.5115789650260001</v>
      </c>
      <c r="J109" s="3">
        <v>4.9780821917807998</v>
      </c>
      <c r="K109" s="3">
        <v>4.4603187176867998</v>
      </c>
      <c r="L109" s="2" t="s">
        <v>359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103.38</v>
      </c>
      <c r="H110" s="3">
        <v>3.1192219765946998</v>
      </c>
      <c r="I110" s="3">
        <v>2.6470571576159001</v>
      </c>
      <c r="J110" s="3">
        <v>4.9780821917807998</v>
      </c>
      <c r="K110" s="3">
        <v>4.4548090477839004</v>
      </c>
      <c r="L110" s="2" t="s">
        <v>359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100.68</v>
      </c>
      <c r="H111" s="3">
        <v>4.8186886049173001</v>
      </c>
      <c r="I111" s="3">
        <v>4.4885756937957</v>
      </c>
      <c r="J111" s="3">
        <v>31</v>
      </c>
      <c r="K111" s="3">
        <v>5.7680485046937999</v>
      </c>
      <c r="L111" s="2" t="s">
        <v>359</v>
      </c>
      <c r="M111" s="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1129-20DC-404E-90D3-395AAF884203}">
  <dimension ref="A1:M111"/>
  <sheetViews>
    <sheetView workbookViewId="0">
      <selection activeCell="R20" sqref="R20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116.94</v>
      </c>
      <c r="H2" s="3">
        <v>3.2640915177763001</v>
      </c>
      <c r="I2" s="3">
        <v>2.5999494598183999</v>
      </c>
      <c r="J2" s="3">
        <v>7.6931506849315001</v>
      </c>
      <c r="K2" s="3">
        <v>6.1491012008758004</v>
      </c>
      <c r="L2" s="2" t="s">
        <v>360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100.43</v>
      </c>
      <c r="H3" s="3">
        <v>1.9911251586739001</v>
      </c>
      <c r="I3" s="3">
        <v>1.6997509009188001</v>
      </c>
      <c r="J3" s="3">
        <v>2.0164383561644001</v>
      </c>
      <c r="K3" s="3">
        <v>1.9245348209616999</v>
      </c>
      <c r="L3" s="2" t="s">
        <v>360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99.68</v>
      </c>
      <c r="H4" s="3">
        <v>2.1319055257080999</v>
      </c>
      <c r="I4" s="3">
        <v>1.8744984725781</v>
      </c>
      <c r="J4" s="3">
        <v>2.6876712328767001</v>
      </c>
      <c r="K4" s="3">
        <v>2.5596483407378998</v>
      </c>
      <c r="L4" s="2" t="s">
        <v>360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102.05</v>
      </c>
      <c r="H5" s="3">
        <v>2.4952288537741998</v>
      </c>
      <c r="I5" s="3">
        <v>2.1206368170526</v>
      </c>
      <c r="J5" s="3">
        <v>4.1863013698630001</v>
      </c>
      <c r="K5" s="3">
        <v>3.8370876533256002</v>
      </c>
      <c r="L5" s="2" t="s">
        <v>360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101.59</v>
      </c>
      <c r="H6" s="3">
        <v>4.0389256098758999</v>
      </c>
      <c r="I6" s="3">
        <v>3.5142909198668</v>
      </c>
      <c r="J6" s="3">
        <v>14.358904109589</v>
      </c>
      <c r="K6" s="3">
        <v>10.506174165045</v>
      </c>
      <c r="L6" s="2" t="s">
        <v>360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86.79</v>
      </c>
      <c r="H7" s="3">
        <v>2.9734513179008002</v>
      </c>
      <c r="I7" s="3">
        <v>2.8908811635039999</v>
      </c>
      <c r="J7" s="3">
        <v>6.1863013698630001</v>
      </c>
      <c r="K7" s="3">
        <v>5.8845072994369998</v>
      </c>
      <c r="L7" s="2" t="s">
        <v>360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107.3</v>
      </c>
      <c r="H8" s="3">
        <v>4.2338717420811003</v>
      </c>
      <c r="I8" s="3">
        <v>3.6531678774063998</v>
      </c>
      <c r="J8" s="3">
        <v>19.282191780822</v>
      </c>
      <c r="K8" s="3">
        <v>12.428868006603</v>
      </c>
      <c r="L8" s="2" t="s">
        <v>360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104.1</v>
      </c>
      <c r="H9" s="3">
        <v>2.5956855368578</v>
      </c>
      <c r="I9" s="3">
        <v>2.1605192809763998</v>
      </c>
      <c r="J9" s="3">
        <v>4.7671232876712004</v>
      </c>
      <c r="K9" s="3">
        <v>4.2955047853827004</v>
      </c>
      <c r="L9" s="2" t="s">
        <v>360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91.54</v>
      </c>
      <c r="H10" s="3">
        <v>3.0640591291000998</v>
      </c>
      <c r="I10" s="3">
        <v>2.8419345964969001</v>
      </c>
      <c r="J10" s="3">
        <v>6.7698630136986004</v>
      </c>
      <c r="K10" s="3">
        <v>6.1981481126751996</v>
      </c>
      <c r="L10" s="2" t="s">
        <v>360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99.68</v>
      </c>
      <c r="H11" s="3">
        <v>1.9285076931965</v>
      </c>
      <c r="I11" s="3">
        <v>1.726242143653</v>
      </c>
      <c r="J11" s="3">
        <v>1.0164383561643999</v>
      </c>
      <c r="K11" s="3">
        <v>0.9855606534811</v>
      </c>
      <c r="L11" s="2" t="s">
        <v>360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86.85</v>
      </c>
      <c r="H12" s="3">
        <v>3.7171257202691002</v>
      </c>
      <c r="I12" s="3">
        <v>3.4051137655215</v>
      </c>
      <c r="J12" s="3">
        <v>11.276712328766999</v>
      </c>
      <c r="K12" s="3">
        <v>9.4964232593162006</v>
      </c>
      <c r="L12" s="2" t="s">
        <v>360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88.05</v>
      </c>
      <c r="H13" s="3">
        <v>4.3183951073342</v>
      </c>
      <c r="I13" s="3">
        <v>3.8398561732702001</v>
      </c>
      <c r="J13" s="3">
        <v>22.780821917808002</v>
      </c>
      <c r="K13" s="3">
        <v>14.679211745339</v>
      </c>
      <c r="L13" s="2" t="s">
        <v>360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90.08</v>
      </c>
      <c r="H14" s="3">
        <v>4.0327285756722002</v>
      </c>
      <c r="I14" s="3">
        <v>3.6116213878057999</v>
      </c>
      <c r="J14" s="3">
        <v>14.775342465753001</v>
      </c>
      <c r="K14" s="3">
        <v>11.238251022355</v>
      </c>
      <c r="L14" s="2" t="s">
        <v>360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98.372</v>
      </c>
      <c r="H15" s="3">
        <v>1.9218686670611</v>
      </c>
      <c r="I15" s="3">
        <v>1.9092001951002999</v>
      </c>
      <c r="J15" s="3">
        <v>0.84931506849314997</v>
      </c>
      <c r="K15" s="3">
        <v>0.83350525520593999</v>
      </c>
      <c r="L15" s="2" t="s">
        <v>360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57.9</v>
      </c>
      <c r="H16" s="3">
        <v>4.2616830369368</v>
      </c>
      <c r="I16" s="3">
        <v>3.8528642314264001</v>
      </c>
      <c r="J16" s="3">
        <v>46.797260273973002</v>
      </c>
      <c r="K16" s="3">
        <v>22.733483411040002</v>
      </c>
      <c r="L16" s="2" t="s">
        <v>360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93.84</v>
      </c>
      <c r="H17" s="3">
        <v>3.9006157468175</v>
      </c>
      <c r="I17" s="3">
        <v>3.4695688342043001</v>
      </c>
      <c r="J17" s="3">
        <v>12.772602739726</v>
      </c>
      <c r="K17" s="3">
        <v>9.9962915873806999</v>
      </c>
      <c r="L17" s="2" t="s">
        <v>360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98.41</v>
      </c>
      <c r="H18" s="3">
        <v>1.9895792265773999</v>
      </c>
      <c r="I18" s="3">
        <v>1.8493670126409001</v>
      </c>
      <c r="J18" s="3">
        <v>1.8493150684932</v>
      </c>
      <c r="K18" s="3">
        <v>1.7970611269523999</v>
      </c>
      <c r="L18" s="2" t="s">
        <v>360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103.06</v>
      </c>
      <c r="H19" s="3">
        <v>2.5716931186762002</v>
      </c>
      <c r="I19" s="3">
        <v>2.1521155506044001</v>
      </c>
      <c r="J19" s="3">
        <v>4.1013698630136997</v>
      </c>
      <c r="K19" s="3">
        <v>3.7285435538512002</v>
      </c>
      <c r="L19" s="2" t="s">
        <v>360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102.96</v>
      </c>
      <c r="H20" s="3">
        <v>3.4934802677530001</v>
      </c>
      <c r="I20" s="3">
        <v>3.0113085495992</v>
      </c>
      <c r="J20" s="3">
        <v>9.1041095890410997</v>
      </c>
      <c r="K20" s="3">
        <v>7.4213713007909998</v>
      </c>
      <c r="L20" s="2" t="s">
        <v>360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94.09</v>
      </c>
      <c r="H21" s="3">
        <v>2.8303713290913999</v>
      </c>
      <c r="I21" s="3">
        <v>2.6094944657888002</v>
      </c>
      <c r="J21" s="3">
        <v>5.5205479452055002</v>
      </c>
      <c r="K21" s="3">
        <v>5.1045405872489997</v>
      </c>
      <c r="L21" s="2" t="s">
        <v>360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87.9</v>
      </c>
      <c r="H22" s="3">
        <v>3.0293288866021002</v>
      </c>
      <c r="I22" s="3">
        <v>2.8992025396693002</v>
      </c>
      <c r="J22" s="3">
        <v>6.5205479452055002</v>
      </c>
      <c r="K22" s="3">
        <v>6.1050143051810997</v>
      </c>
      <c r="L22" s="2" t="s">
        <v>360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104.6</v>
      </c>
      <c r="H23" s="3">
        <v>2.3053995631999</v>
      </c>
      <c r="I23" s="3">
        <v>1.8386404580663001</v>
      </c>
      <c r="J23" s="3">
        <v>3.1863013698630001</v>
      </c>
      <c r="K23" s="3">
        <v>2.9345076947503999</v>
      </c>
      <c r="L23" s="2" t="s">
        <v>360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112.21</v>
      </c>
      <c r="H24" s="3">
        <v>3.4654999313128001</v>
      </c>
      <c r="I24" s="3">
        <v>2.8709441870880998</v>
      </c>
      <c r="J24" s="3">
        <v>9.1890410958903992</v>
      </c>
      <c r="K24" s="3">
        <v>7.2388236523223997</v>
      </c>
      <c r="L24" s="2" t="s">
        <v>360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102.86</v>
      </c>
      <c r="H25" s="3">
        <v>3.7259276129545</v>
      </c>
      <c r="I25" s="3">
        <v>3.2263638842837001</v>
      </c>
      <c r="J25" s="3">
        <v>11.695890410959001</v>
      </c>
      <c r="K25" s="3">
        <v>9.0446509925490997</v>
      </c>
      <c r="L25" s="2" t="s">
        <v>360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111.4</v>
      </c>
      <c r="H26" s="3">
        <v>3.9790479906713001</v>
      </c>
      <c r="I26" s="3">
        <v>3.3840370762298999</v>
      </c>
      <c r="J26" s="3">
        <v>14.191780821918</v>
      </c>
      <c r="K26" s="3">
        <v>10.020028836106</v>
      </c>
      <c r="L26" s="2" t="s">
        <v>360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99.01</v>
      </c>
      <c r="H27" s="3">
        <v>1.9228620916143999</v>
      </c>
      <c r="I27" s="3">
        <v>1.7642843797126</v>
      </c>
      <c r="J27" s="3">
        <v>1.5178082191780999</v>
      </c>
      <c r="K27" s="3">
        <v>1.4708289465927</v>
      </c>
      <c r="L27" s="2" t="s">
        <v>360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101.71</v>
      </c>
      <c r="H28" s="3">
        <v>2.3014694049381998</v>
      </c>
      <c r="I28" s="3">
        <v>1.9470196421846999</v>
      </c>
      <c r="J28" s="3">
        <v>3.5205479452055002</v>
      </c>
      <c r="K28" s="3">
        <v>3.2594258888769998</v>
      </c>
      <c r="L28" s="2" t="s">
        <v>360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99.052000000000007</v>
      </c>
      <c r="H29" s="3">
        <v>1.8617634690260001</v>
      </c>
      <c r="I29" s="3">
        <v>1.7917211271597</v>
      </c>
      <c r="J29" s="3">
        <v>0.68767123287670995</v>
      </c>
      <c r="K29" s="3">
        <v>0.67668620531805002</v>
      </c>
      <c r="L29" s="2" t="s">
        <v>360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97.8</v>
      </c>
      <c r="H30" s="3">
        <v>1.8884972018056001</v>
      </c>
      <c r="I30" s="3">
        <v>1.8863832467124999</v>
      </c>
      <c r="J30" s="3">
        <v>1.1835616438356</v>
      </c>
      <c r="K30" s="3">
        <v>1.1670022902932</v>
      </c>
      <c r="L30" s="2" t="s">
        <v>360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102.39</v>
      </c>
      <c r="H31" s="3">
        <v>3.5841747484133002</v>
      </c>
      <c r="I31" s="3">
        <v>3.1021629422002999</v>
      </c>
      <c r="J31" s="3">
        <v>9.6931506849314992</v>
      </c>
      <c r="K31" s="3">
        <v>7.8285791289736997</v>
      </c>
      <c r="L31" s="2" t="s">
        <v>360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110.93</v>
      </c>
      <c r="H32" s="3">
        <v>4.0697554899717003</v>
      </c>
      <c r="I32" s="3">
        <v>3.4720055612132001</v>
      </c>
      <c r="J32" s="3">
        <v>15.279452054795</v>
      </c>
      <c r="K32" s="3">
        <v>10.575452978071</v>
      </c>
      <c r="L32" s="2" t="s">
        <v>360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101.886</v>
      </c>
      <c r="H33" s="3">
        <v>1.9795603401260999</v>
      </c>
      <c r="I33" s="3">
        <v>1.4326844648103001</v>
      </c>
      <c r="J33" s="3">
        <v>0.76438356164384003</v>
      </c>
      <c r="K33" s="3">
        <v>0.74178006240737004</v>
      </c>
      <c r="L33" s="2" t="s">
        <v>360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86.14</v>
      </c>
      <c r="H34" s="3">
        <v>4.2867746812550998</v>
      </c>
      <c r="I34" s="3">
        <v>3.8315779127981999</v>
      </c>
      <c r="J34" s="3">
        <v>21.282191780822</v>
      </c>
      <c r="K34" s="3">
        <v>14.268703488890999</v>
      </c>
      <c r="L34" s="2" t="s">
        <v>360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100.05800000000001</v>
      </c>
      <c r="H35" s="3">
        <v>1.8559337891844001</v>
      </c>
      <c r="I35" s="3">
        <v>1.6101516869632</v>
      </c>
      <c r="J35" s="3">
        <v>0.51780821917807995</v>
      </c>
      <c r="K35" s="3">
        <v>0.50361690020712002</v>
      </c>
      <c r="L35" s="2" t="s">
        <v>360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69.540000000000006</v>
      </c>
      <c r="H36" s="3">
        <v>4.4451128002097997</v>
      </c>
      <c r="I36" s="3">
        <v>3.9793123855634001</v>
      </c>
      <c r="J36" s="3">
        <v>41.791780821918003</v>
      </c>
      <c r="K36" s="3">
        <v>20.268086335384002</v>
      </c>
      <c r="L36" s="2" t="s">
        <v>360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93.94</v>
      </c>
      <c r="H37" s="3">
        <v>3.3170266154071002</v>
      </c>
      <c r="I37" s="3">
        <v>2.9909487037768998</v>
      </c>
      <c r="J37" s="3">
        <v>8.2739726027397005</v>
      </c>
      <c r="K37" s="3">
        <v>7.2266774368725004</v>
      </c>
      <c r="L37" s="2" t="s">
        <v>360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90.44</v>
      </c>
      <c r="H38" s="3">
        <v>3.9127407019099998</v>
      </c>
      <c r="I38" s="3">
        <v>3.5140405123919001</v>
      </c>
      <c r="J38" s="3">
        <v>13.276712328766999</v>
      </c>
      <c r="K38" s="3">
        <v>10.453255506374999</v>
      </c>
      <c r="L38" s="2" t="s">
        <v>360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98.71</v>
      </c>
      <c r="H39" s="3">
        <v>3.5358714582414001</v>
      </c>
      <c r="I39" s="3">
        <v>3.1053627342954</v>
      </c>
      <c r="J39" s="3">
        <v>9.7698630136986004</v>
      </c>
      <c r="K39" s="3">
        <v>8.0531056861790997</v>
      </c>
      <c r="L39" s="2" t="s">
        <v>360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93.08</v>
      </c>
      <c r="H40" s="3">
        <v>4.3554537822699002</v>
      </c>
      <c r="I40" s="3">
        <v>3.8405575390293998</v>
      </c>
      <c r="J40" s="3">
        <v>24.284931506848999</v>
      </c>
      <c r="K40" s="3">
        <v>14.861697067150001</v>
      </c>
      <c r="L40" s="2" t="s">
        <v>360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94.23</v>
      </c>
      <c r="H41" s="3">
        <v>2.6405324353486002</v>
      </c>
      <c r="I41" s="3">
        <v>2.4639516824351002</v>
      </c>
      <c r="J41" s="3">
        <v>4.8520547945204999</v>
      </c>
      <c r="K41" s="3">
        <v>4.5772497373574002</v>
      </c>
      <c r="L41" s="2" t="s">
        <v>360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71.45</v>
      </c>
      <c r="H42" s="3">
        <v>4.3601277884364</v>
      </c>
      <c r="I42" s="3">
        <v>3.9719518470025998</v>
      </c>
      <c r="J42" s="3">
        <v>25.284931506848999</v>
      </c>
      <c r="K42" s="3">
        <v>16.750206472696</v>
      </c>
      <c r="L42" s="2" t="s">
        <v>360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59.89</v>
      </c>
      <c r="H43" s="3">
        <v>4.2909059923623998</v>
      </c>
      <c r="I43" s="3">
        <v>3.990110597088</v>
      </c>
      <c r="J43" s="3">
        <v>26.284931506848999</v>
      </c>
      <c r="K43" s="3">
        <v>18.546165734990002</v>
      </c>
      <c r="L43" s="2" t="s">
        <v>360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103.16</v>
      </c>
      <c r="H44" s="3">
        <v>4.2409149461195002</v>
      </c>
      <c r="I44" s="3">
        <v>3.6839412400519</v>
      </c>
      <c r="J44" s="3">
        <v>18.279452054795001</v>
      </c>
      <c r="K44" s="3">
        <v>12.156541207857</v>
      </c>
      <c r="L44" s="2" t="s">
        <v>360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</v>
      </c>
      <c r="H45" s="3">
        <v>3.4293320762359998</v>
      </c>
      <c r="I45" s="3">
        <v>2.9142537587485999</v>
      </c>
      <c r="J45" s="3">
        <v>8.7698630136986004</v>
      </c>
      <c r="K45" s="3">
        <v>7.1609511918358004</v>
      </c>
      <c r="L45" s="2" t="s">
        <v>360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89.35</v>
      </c>
      <c r="H46" s="3">
        <v>2.9115858798357999</v>
      </c>
      <c r="I46" s="3">
        <v>2.7902025959149999</v>
      </c>
      <c r="J46" s="3">
        <v>5.8520547945204999</v>
      </c>
      <c r="K46" s="3">
        <v>5.5342312629782002</v>
      </c>
      <c r="L46" s="2" t="s">
        <v>360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86.57</v>
      </c>
      <c r="H47" s="3">
        <v>3.1154808479117002</v>
      </c>
      <c r="I47" s="3">
        <v>2.9753703804893998</v>
      </c>
      <c r="J47" s="3">
        <v>7.0219178082192002</v>
      </c>
      <c r="K47" s="3">
        <v>6.5494155992970997</v>
      </c>
      <c r="L47" s="2" t="s">
        <v>360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107.86</v>
      </c>
      <c r="H48" s="3">
        <v>3.2898826106243</v>
      </c>
      <c r="I48" s="3">
        <v>2.7563045233148</v>
      </c>
      <c r="J48" s="3">
        <v>7.9369863013698998</v>
      </c>
      <c r="K48" s="3">
        <v>6.6045718248338003</v>
      </c>
      <c r="L48" s="2" t="s">
        <v>360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</v>
      </c>
      <c r="H49" s="3">
        <v>1.9137457126841999</v>
      </c>
      <c r="I49" s="3">
        <v>1.0481390538127999</v>
      </c>
      <c r="J49" s="3">
        <v>1.4356164383562</v>
      </c>
      <c r="K49" s="3">
        <v>1.3626402045029999</v>
      </c>
      <c r="L49" s="2" t="s">
        <v>360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110.35</v>
      </c>
      <c r="H50" s="3">
        <v>2.1183679231568999</v>
      </c>
      <c r="I50" s="3">
        <v>1.3492258493792999</v>
      </c>
      <c r="J50" s="3">
        <v>2.4356164383561998</v>
      </c>
      <c r="K50" s="3">
        <v>2.2446420555222999</v>
      </c>
      <c r="L50" s="2" t="s">
        <v>360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111.5</v>
      </c>
      <c r="H51" s="3">
        <v>2.5043319060301998</v>
      </c>
      <c r="I51" s="3">
        <v>1.8825068939142999</v>
      </c>
      <c r="J51" s="3">
        <v>4.4383561643835998</v>
      </c>
      <c r="K51" s="3">
        <v>3.9336963588617002</v>
      </c>
      <c r="L51" s="2" t="s">
        <v>360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117.07</v>
      </c>
      <c r="H52" s="3">
        <v>2.8687139669763999</v>
      </c>
      <c r="I52" s="3">
        <v>2.1771808072654002</v>
      </c>
      <c r="J52" s="3">
        <v>5.9342465753424998</v>
      </c>
      <c r="K52" s="3">
        <v>4.9992622514144003</v>
      </c>
      <c r="L52" s="2" t="s">
        <v>360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99.988</v>
      </c>
      <c r="H53" s="3">
        <v>1.8755933516490999</v>
      </c>
      <c r="I53" s="3">
        <v>1.7188409747116</v>
      </c>
      <c r="J53" s="3">
        <v>1.6438356164384001E-2</v>
      </c>
      <c r="K53" s="3">
        <v>1.8825157226705001E-2</v>
      </c>
      <c r="L53" s="2" t="s">
        <v>360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91.4</v>
      </c>
      <c r="H54" s="3">
        <v>2.7584520899744001</v>
      </c>
      <c r="I54" s="3">
        <v>2.626835856749</v>
      </c>
      <c r="J54" s="3">
        <v>5.1863013698630001</v>
      </c>
      <c r="K54" s="3">
        <v>4.9146727483227997</v>
      </c>
      <c r="L54" s="2" t="s">
        <v>360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107.23</v>
      </c>
      <c r="H55" s="3">
        <v>3.1586113404969001</v>
      </c>
      <c r="I55" s="3">
        <v>2.6524538835673002</v>
      </c>
      <c r="J55" s="3">
        <v>8.4410958904110007</v>
      </c>
      <c r="K55" s="3">
        <v>6.970801370847</v>
      </c>
      <c r="L55" s="2" t="s">
        <v>360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99.65</v>
      </c>
      <c r="H56" s="3">
        <v>3.6715568018100999</v>
      </c>
      <c r="I56" s="3">
        <v>3.2132663605401</v>
      </c>
      <c r="J56" s="3">
        <v>10.356164383562</v>
      </c>
      <c r="K56" s="3">
        <v>8.4043426710318005</v>
      </c>
      <c r="L56" s="2" t="s">
        <v>360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101.61</v>
      </c>
      <c r="H57" s="3">
        <v>2.6202199629340002</v>
      </c>
      <c r="I57" s="3">
        <v>2.2386048153888001</v>
      </c>
      <c r="J57" s="3">
        <v>4.3534246575341999</v>
      </c>
      <c r="K57" s="3">
        <v>3.9942358158073001</v>
      </c>
      <c r="L57" s="2" t="s">
        <v>360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105.82</v>
      </c>
      <c r="H58" s="3">
        <v>2.4495139396713999</v>
      </c>
      <c r="I58" s="3">
        <v>1.9229476670673999</v>
      </c>
      <c r="J58" s="3">
        <v>3.6904109589041001</v>
      </c>
      <c r="K58" s="3">
        <v>3.3475944356032001</v>
      </c>
      <c r="L58" s="2" t="s">
        <v>360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100.78</v>
      </c>
      <c r="H59" s="3">
        <v>2.8027631974996998</v>
      </c>
      <c r="I59" s="3">
        <v>2.4311181440412999</v>
      </c>
      <c r="J59" s="3">
        <v>5.1013698630136997</v>
      </c>
      <c r="K59" s="3">
        <v>4.6142861011771004</v>
      </c>
      <c r="L59" s="2" t="s">
        <v>360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95.4</v>
      </c>
      <c r="H60" s="3">
        <v>3.2156585125392998</v>
      </c>
      <c r="I60" s="3">
        <v>2.8667020603772002</v>
      </c>
      <c r="J60" s="3">
        <v>7.5232876712329002</v>
      </c>
      <c r="K60" s="3">
        <v>6.5890362500638</v>
      </c>
      <c r="L60" s="2" t="s">
        <v>360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100.07</v>
      </c>
      <c r="H61" s="3">
        <v>2.0254750881568002</v>
      </c>
      <c r="I61" s="3">
        <v>1.7574917159725001</v>
      </c>
      <c r="J61" s="3">
        <v>2.1835616438356</v>
      </c>
      <c r="K61" s="3">
        <v>2.0937549681769001</v>
      </c>
      <c r="L61" s="2" t="s">
        <v>360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101.22</v>
      </c>
      <c r="H62" s="3">
        <v>2.1596437523267</v>
      </c>
      <c r="I62" s="3">
        <v>1.8196117956755999</v>
      </c>
      <c r="J62" s="3">
        <v>2.5178082191781002</v>
      </c>
      <c r="K62" s="3">
        <v>2.3710350612370998</v>
      </c>
      <c r="L62" s="2" t="s">
        <v>360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78.53</v>
      </c>
      <c r="H63" s="3">
        <v>4.2585668759333002</v>
      </c>
      <c r="I63" s="3">
        <v>3.8574913283733001</v>
      </c>
      <c r="J63" s="3">
        <v>21.778082191780999</v>
      </c>
      <c r="K63" s="3">
        <v>15.047032153033999</v>
      </c>
      <c r="L63" s="2" t="s">
        <v>360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73.540000000000006</v>
      </c>
      <c r="H64" s="3">
        <v>3.7844110252346002</v>
      </c>
      <c r="I64" s="3">
        <v>3.6375472932241002</v>
      </c>
      <c r="J64" s="3">
        <v>11.772602739726</v>
      </c>
      <c r="K64" s="3">
        <v>10.601835732069</v>
      </c>
      <c r="L64" s="2" t="s">
        <v>360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65.38</v>
      </c>
      <c r="H65" s="3">
        <v>4.3669535711799998</v>
      </c>
      <c r="I65" s="3">
        <v>4.0073020025149004</v>
      </c>
      <c r="J65" s="3">
        <v>27.287671232876999</v>
      </c>
      <c r="K65" s="3">
        <v>17.98980305369</v>
      </c>
      <c r="L65" s="2" t="s">
        <v>360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101.52</v>
      </c>
      <c r="H66" s="3">
        <v>2.0546213153487001</v>
      </c>
      <c r="I66" s="3">
        <v>1.6798677469718</v>
      </c>
      <c r="J66" s="3">
        <v>1.7260273972603</v>
      </c>
      <c r="K66" s="3">
        <v>1.6493847036211</v>
      </c>
      <c r="L66" s="2" t="s">
        <v>360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100.26</v>
      </c>
      <c r="H67" s="3">
        <v>3.6497793879852001</v>
      </c>
      <c r="I67" s="3">
        <v>3.1825773248626001</v>
      </c>
      <c r="J67" s="3">
        <v>10.18904109589</v>
      </c>
      <c r="K67" s="3">
        <v>8.2078959965172</v>
      </c>
      <c r="L67" s="2" t="s">
        <v>360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</v>
      </c>
      <c r="H68" s="3">
        <v>1.9317308429758</v>
      </c>
      <c r="I68" s="3">
        <v>1.6672256686888001</v>
      </c>
      <c r="J68" s="3">
        <v>1.1369863013699</v>
      </c>
      <c r="K68" s="3">
        <v>1.1002647386552999</v>
      </c>
      <c r="L68" s="2" t="s">
        <v>360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102.52</v>
      </c>
      <c r="H69" s="3">
        <v>3.0183995320914998</v>
      </c>
      <c r="I69" s="3">
        <v>2.5876242435806001</v>
      </c>
      <c r="J69" s="3">
        <v>6.1397260273973</v>
      </c>
      <c r="K69" s="3">
        <v>5.3661419125443004</v>
      </c>
      <c r="L69" s="2" t="s">
        <v>360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73.819999999999993</v>
      </c>
      <c r="H70" s="3">
        <v>4.1039173584258997</v>
      </c>
      <c r="I70" s="3">
        <v>3.8296164215967998</v>
      </c>
      <c r="J70" s="3">
        <v>15.775342465753001</v>
      </c>
      <c r="K70" s="3">
        <v>12.790907583476001</v>
      </c>
      <c r="L70" s="2" t="s">
        <v>360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105.87</v>
      </c>
      <c r="H71" s="3">
        <v>2.8502957199586998</v>
      </c>
      <c r="I71" s="3">
        <v>2.3608723770506002</v>
      </c>
      <c r="J71" s="3">
        <v>5.4767123287670998</v>
      </c>
      <c r="K71" s="3">
        <v>4.8470125079760003</v>
      </c>
      <c r="L71" s="2" t="s">
        <v>360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98.32</v>
      </c>
      <c r="H72" s="3">
        <v>1.9016938850434999</v>
      </c>
      <c r="I72" s="3">
        <v>1.7873325457897</v>
      </c>
      <c r="J72" s="3">
        <v>1.641095890411</v>
      </c>
      <c r="K72" s="3">
        <v>1.5978610971560001</v>
      </c>
      <c r="L72" s="2" t="s">
        <v>360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93.17</v>
      </c>
      <c r="H73" s="3">
        <v>2.3882145391770999</v>
      </c>
      <c r="I73" s="3">
        <v>2.3125593811093998</v>
      </c>
      <c r="J73" s="3">
        <v>3.7287671232877</v>
      </c>
      <c r="K73" s="3">
        <v>3.6097007000466999</v>
      </c>
      <c r="L73" s="2" t="s">
        <v>360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105.26</v>
      </c>
      <c r="H74" s="3">
        <v>2.6290463152496999</v>
      </c>
      <c r="I74" s="3">
        <v>2.1573116367365999</v>
      </c>
      <c r="J74" s="3">
        <v>4.5589041095890002</v>
      </c>
      <c r="K74" s="3">
        <v>4.0655929132380004</v>
      </c>
      <c r="L74" s="2" t="s">
        <v>360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101.28</v>
      </c>
      <c r="H75" s="3">
        <v>2.1572698231134</v>
      </c>
      <c r="I75" s="3">
        <v>1.8177032565822999</v>
      </c>
      <c r="J75" s="3">
        <v>2.3890410958903998</v>
      </c>
      <c r="K75" s="3">
        <v>2.2747297232667001</v>
      </c>
      <c r="L75" s="2" t="s">
        <v>360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103.08</v>
      </c>
      <c r="H76" s="3">
        <v>2.9273193788535998</v>
      </c>
      <c r="I76" s="3">
        <v>2.4905690944293002</v>
      </c>
      <c r="J76" s="3">
        <v>5.7287671232877004</v>
      </c>
      <c r="K76" s="3">
        <v>5.0588136222121003</v>
      </c>
      <c r="L76" s="2" t="s">
        <v>360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101.554</v>
      </c>
      <c r="H77" s="3">
        <v>2.0042907085349002</v>
      </c>
      <c r="I77" s="3">
        <v>1.5386496390925</v>
      </c>
      <c r="J77" s="3">
        <v>0.88767123287671001</v>
      </c>
      <c r="K77" s="3">
        <v>0.86141711061286996</v>
      </c>
      <c r="L77" s="2" t="s">
        <v>360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101.2</v>
      </c>
      <c r="H78" s="3">
        <v>2.5006542837444998</v>
      </c>
      <c r="I78" s="3">
        <v>2.1493336012727</v>
      </c>
      <c r="J78" s="3">
        <v>4.0575342465753002</v>
      </c>
      <c r="K78" s="3">
        <v>3.7255280954895</v>
      </c>
      <c r="L78" s="2" t="s">
        <v>360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97.58</v>
      </c>
      <c r="H79" s="3">
        <v>2.0380752936511999</v>
      </c>
      <c r="I79" s="3">
        <v>1.9165215112039</v>
      </c>
      <c r="J79" s="3">
        <v>2.3068493150684999</v>
      </c>
      <c r="K79" s="3">
        <v>2.2373231033830998</v>
      </c>
      <c r="L79" s="2" t="s">
        <v>360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101.01</v>
      </c>
      <c r="H80" s="3">
        <v>2.3170623928682001</v>
      </c>
      <c r="I80" s="3">
        <v>1.9729061616595001</v>
      </c>
      <c r="J80" s="3">
        <v>3.0575342465753002</v>
      </c>
      <c r="K80" s="3">
        <v>2.8762378449454</v>
      </c>
      <c r="L80" s="2" t="s">
        <v>360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104.46</v>
      </c>
      <c r="H81" s="3">
        <v>2.7632156201375002</v>
      </c>
      <c r="I81" s="3">
        <v>2.2803280093045002</v>
      </c>
      <c r="J81" s="3">
        <v>5.0575342465753002</v>
      </c>
      <c r="K81" s="3">
        <v>4.4785232417965997</v>
      </c>
      <c r="L81" s="2" t="s">
        <v>360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94.75</v>
      </c>
      <c r="H82" s="3">
        <v>2.2492182011300001</v>
      </c>
      <c r="I82" s="3">
        <v>2.1631123037789002</v>
      </c>
      <c r="J82" s="3">
        <v>3.1397260273973</v>
      </c>
      <c r="K82" s="3">
        <v>3.0494714112272998</v>
      </c>
      <c r="L82" s="2" t="s">
        <v>360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102.82</v>
      </c>
      <c r="H83" s="3">
        <v>2.1055865533660998</v>
      </c>
      <c r="I83" s="3">
        <v>1.6778553912048</v>
      </c>
      <c r="J83" s="3">
        <v>2.1369863013699</v>
      </c>
      <c r="K83" s="3">
        <v>2.0129479967947002</v>
      </c>
      <c r="L83" s="2" t="s">
        <v>360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102.34</v>
      </c>
      <c r="H84" s="3">
        <v>2.0276392714181002</v>
      </c>
      <c r="I84" s="3">
        <v>1.5514027293663</v>
      </c>
      <c r="J84" s="3">
        <v>1.3068493150685001</v>
      </c>
      <c r="K84" s="3">
        <v>1.2536602213242001</v>
      </c>
      <c r="L84" s="2" t="s">
        <v>360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100.247</v>
      </c>
      <c r="H85" s="3">
        <v>1.9034599970374</v>
      </c>
      <c r="I85" s="3">
        <v>1.5991859761859</v>
      </c>
      <c r="J85" s="3">
        <v>0.47397260273973002</v>
      </c>
      <c r="K85" s="3">
        <v>0.47057632508121999</v>
      </c>
      <c r="L85" s="2" t="s">
        <v>360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97.09</v>
      </c>
      <c r="H86" s="3">
        <v>4.5256117550733999</v>
      </c>
      <c r="I86" s="3">
        <v>3.9654482086651002</v>
      </c>
      <c r="J86" s="3">
        <v>29.369863013699</v>
      </c>
      <c r="K86" s="3">
        <v>15.931867341285001</v>
      </c>
      <c r="L86" s="2" t="s">
        <v>360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100.92700000000001</v>
      </c>
      <c r="H87" s="3">
        <v>1.9935946315787001</v>
      </c>
      <c r="I87" s="3">
        <v>1.5637437626163999</v>
      </c>
      <c r="J87" s="3">
        <v>0.64109589041096005</v>
      </c>
      <c r="K87" s="3">
        <v>0.62026018296815</v>
      </c>
      <c r="L87" s="2" t="s">
        <v>360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94.79</v>
      </c>
      <c r="H88" s="3">
        <v>2.1860205451536001</v>
      </c>
      <c r="I88" s="3">
        <v>2.1473290640024998</v>
      </c>
      <c r="J88" s="3">
        <v>2.8054794520547999</v>
      </c>
      <c r="K88" s="3">
        <v>2.7359915845307001</v>
      </c>
      <c r="L88" s="2" t="s">
        <v>360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80.53</v>
      </c>
      <c r="H89" s="3">
        <v>3.6827483844338</v>
      </c>
      <c r="I89" s="3">
        <v>3.4719583444693001</v>
      </c>
      <c r="J89" s="3">
        <v>10.772602739726</v>
      </c>
      <c r="K89" s="3">
        <v>9.5138056342079995</v>
      </c>
      <c r="L89" s="2" t="s">
        <v>360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97.39</v>
      </c>
      <c r="H90" s="3">
        <v>4.1183909590705996</v>
      </c>
      <c r="I90" s="3">
        <v>3.6165953273484002</v>
      </c>
      <c r="J90" s="3">
        <v>15.361643835616</v>
      </c>
      <c r="K90" s="3">
        <v>11.156019253769999</v>
      </c>
      <c r="L90" s="2" t="s">
        <v>360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99.837999999999994</v>
      </c>
      <c r="H91" s="3">
        <v>1.9101402810103001</v>
      </c>
      <c r="I91" s="3">
        <v>1.7489595777569</v>
      </c>
      <c r="J91" s="3">
        <v>0.22191780821918</v>
      </c>
      <c r="K91" s="3">
        <v>0.21777783992312</v>
      </c>
      <c r="L91" s="2" t="s">
        <v>360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9.8219178082191991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107.69</v>
      </c>
      <c r="H93" s="3">
        <v>2.3016380471259001</v>
      </c>
      <c r="I93" s="3">
        <v>1.7290352149556001</v>
      </c>
      <c r="J93" s="3">
        <v>3.2712328767123</v>
      </c>
      <c r="K93" s="3">
        <v>2.9786189687575</v>
      </c>
      <c r="L93" s="2" t="s">
        <v>360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100.71</v>
      </c>
      <c r="H94" s="3">
        <v>4.5015129935967</v>
      </c>
      <c r="I94" s="3">
        <v>3.9297873162257999</v>
      </c>
      <c r="J94" s="3">
        <v>28.369863013699</v>
      </c>
      <c r="K94" s="3">
        <v>15.537834268394001</v>
      </c>
      <c r="L94" s="2" t="s">
        <v>360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100.37</v>
      </c>
      <c r="H95" s="3">
        <v>3.2151702618300999</v>
      </c>
      <c r="I95" s="3">
        <v>2.8039554938234001</v>
      </c>
      <c r="J95" s="3">
        <v>7.1424657534247</v>
      </c>
      <c r="K95" s="3">
        <v>6.2155773524251003</v>
      </c>
      <c r="L95" s="2" t="s">
        <v>360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100.758</v>
      </c>
      <c r="H96" s="3">
        <v>2.0265516626703</v>
      </c>
      <c r="I96" s="3">
        <v>1.6150437922031</v>
      </c>
      <c r="J96" s="3">
        <v>0.67671232876711995</v>
      </c>
      <c r="K96" s="3">
        <v>0.65568375578149996</v>
      </c>
      <c r="L96" s="2" t="s">
        <v>360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100.52</v>
      </c>
      <c r="H97" s="3">
        <v>2.0141271540655001</v>
      </c>
      <c r="I97" s="3">
        <v>1.5732073577799</v>
      </c>
      <c r="J97" s="3">
        <v>0.34520547945204999</v>
      </c>
      <c r="K97" s="3">
        <v>0.33843756977940997</v>
      </c>
      <c r="L97" s="2" t="s">
        <v>360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99.986000000000004</v>
      </c>
      <c r="H98" s="3">
        <v>1.9655103466774999</v>
      </c>
      <c r="I98" s="3">
        <v>1.7315308102236</v>
      </c>
      <c r="J98" s="3">
        <v>9.8630136986301006E-2</v>
      </c>
      <c r="K98" s="3">
        <v>9.6733156994212005E-2</v>
      </c>
      <c r="L98" s="2" t="s">
        <v>360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101.35</v>
      </c>
      <c r="H99" s="3">
        <v>2.0211097948568999</v>
      </c>
      <c r="I99" s="3">
        <v>1.6336023448026</v>
      </c>
      <c r="J99" s="3">
        <v>1.2575342465753001</v>
      </c>
      <c r="K99" s="3">
        <v>1.2106302062772001</v>
      </c>
      <c r="L99" s="2" t="s">
        <v>360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100.48</v>
      </c>
      <c r="H100" s="3">
        <v>3.0853153925736998</v>
      </c>
      <c r="I100" s="3">
        <v>2.6877672413956</v>
      </c>
      <c r="J100" s="3">
        <v>6.4767123287670998</v>
      </c>
      <c r="K100" s="3">
        <v>5.7340649066197003</v>
      </c>
      <c r="L100" s="2" t="s">
        <v>360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100.83</v>
      </c>
      <c r="H101" s="3">
        <v>2.0723517590261999</v>
      </c>
      <c r="I101" s="3">
        <v>1.7475431674220001</v>
      </c>
      <c r="J101" s="3">
        <v>1.7534246575343</v>
      </c>
      <c r="K101" s="3">
        <v>1.6812316140771999</v>
      </c>
      <c r="L101" s="2" t="s">
        <v>360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103.24</v>
      </c>
      <c r="H102" s="3">
        <v>2.2260622359793998</v>
      </c>
      <c r="I102" s="3">
        <v>1.7928560941594001</v>
      </c>
      <c r="J102" s="3">
        <v>2.8520547945205998</v>
      </c>
      <c r="K102" s="3">
        <v>2.6771691970805001</v>
      </c>
      <c r="L102" s="2" t="s">
        <v>360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103.72</v>
      </c>
      <c r="H103" s="3">
        <v>2.9029812800668999</v>
      </c>
      <c r="I103" s="3">
        <v>2.4413775269412001</v>
      </c>
      <c r="J103" s="3">
        <v>4.7780821917807996</v>
      </c>
      <c r="K103" s="3">
        <v>4.2732206764776004</v>
      </c>
      <c r="L103" s="2" t="s">
        <v>360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103.72</v>
      </c>
      <c r="H104" s="3">
        <v>3.0394236708992999</v>
      </c>
      <c r="I104" s="3">
        <v>2.5656722134406</v>
      </c>
      <c r="J104" s="3">
        <v>4.7780821917807996</v>
      </c>
      <c r="K104" s="3">
        <v>4.2683389261341</v>
      </c>
      <c r="L104" s="2" t="s">
        <v>360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105.67</v>
      </c>
      <c r="H105" s="3">
        <v>2.5939073672019002</v>
      </c>
      <c r="I105" s="3">
        <v>2.0610968940035002</v>
      </c>
      <c r="J105" s="3">
        <v>3.3780821917808002</v>
      </c>
      <c r="K105" s="3">
        <v>3.0785078291239998</v>
      </c>
      <c r="L105" s="2" t="s">
        <v>360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105.67</v>
      </c>
      <c r="H106" s="3">
        <v>2.7339486081725002</v>
      </c>
      <c r="I106" s="3">
        <v>2.1903829891318001</v>
      </c>
      <c r="J106" s="3">
        <v>3.3780821917808002</v>
      </c>
      <c r="K106" s="3">
        <v>3.0746435471364002</v>
      </c>
      <c r="L106" s="2" t="s">
        <v>360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103.38</v>
      </c>
      <c r="H107" s="3">
        <v>2.2933893893233002</v>
      </c>
      <c r="I107" s="3">
        <v>1.8020116798717001</v>
      </c>
      <c r="J107" s="3">
        <v>2.0493150684931001</v>
      </c>
      <c r="K107" s="3">
        <v>1.9210568294946</v>
      </c>
      <c r="L107" s="2" t="s">
        <v>360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103.38</v>
      </c>
      <c r="H108" s="3">
        <v>2.5300554470191998</v>
      </c>
      <c r="I108" s="3">
        <v>2.0244812351268</v>
      </c>
      <c r="J108" s="3">
        <v>2.0493150684931001</v>
      </c>
      <c r="K108" s="3">
        <v>1.9167374732758</v>
      </c>
      <c r="L108" s="2" t="s">
        <v>360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103.35</v>
      </c>
      <c r="H109" s="3">
        <v>2.9758011787054</v>
      </c>
      <c r="I109" s="3">
        <v>2.5174009148885998</v>
      </c>
      <c r="J109" s="3">
        <v>4.9698630136985997</v>
      </c>
      <c r="K109" s="3">
        <v>4.4520161602902997</v>
      </c>
      <c r="L109" s="2" t="s">
        <v>360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103.35</v>
      </c>
      <c r="H110" s="3">
        <v>3.1254841315722999</v>
      </c>
      <c r="I110" s="3">
        <v>2.6531567342404001</v>
      </c>
      <c r="J110" s="3">
        <v>4.9698630136985997</v>
      </c>
      <c r="K110" s="3">
        <v>4.4465043254302001</v>
      </c>
      <c r="L110" s="2" t="s">
        <v>360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99.63</v>
      </c>
      <c r="H111" s="3">
        <v>4.8695240322252999</v>
      </c>
      <c r="I111" s="3">
        <v>4.5371715452763999</v>
      </c>
      <c r="J111" s="3">
        <v>30.991780821917999</v>
      </c>
      <c r="K111" s="3">
        <v>5.7523569459332</v>
      </c>
      <c r="L111" s="2" t="s">
        <v>360</v>
      </c>
      <c r="M111" s="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5DD4-FD56-1F44-86C0-380B1B18F0A6}">
  <dimension ref="A1:M111"/>
  <sheetViews>
    <sheetView workbookViewId="0">
      <selection activeCell="S16" sqref="S16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117.38</v>
      </c>
      <c r="H2" s="3">
        <v>3.2032160571362001</v>
      </c>
      <c r="I2" s="3">
        <v>2.5407029237006999</v>
      </c>
      <c r="J2" s="3">
        <v>7.6904109589041001</v>
      </c>
      <c r="K2" s="3">
        <v>6.1530890984511002</v>
      </c>
      <c r="L2" s="2" t="s">
        <v>361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100.69</v>
      </c>
      <c r="H3" s="3">
        <v>1.8578129773393</v>
      </c>
      <c r="I3" s="3">
        <v>1.566887577376</v>
      </c>
      <c r="J3" s="3">
        <v>2.0136986301370001</v>
      </c>
      <c r="K3" s="3">
        <v>1.9244635539279999</v>
      </c>
      <c r="L3" s="2" t="s">
        <v>361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99.82</v>
      </c>
      <c r="H4" s="3">
        <v>2.0774828285848002</v>
      </c>
      <c r="I4" s="3">
        <v>1.8203375368438</v>
      </c>
      <c r="J4" s="3">
        <v>2.6849315068493</v>
      </c>
      <c r="K4" s="3">
        <v>2.5583968546332998</v>
      </c>
      <c r="L4" s="2" t="s">
        <v>361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102.28</v>
      </c>
      <c r="H5" s="3">
        <v>2.4367409231142001</v>
      </c>
      <c r="I5" s="3">
        <v>2.0627417896514002</v>
      </c>
      <c r="J5" s="3">
        <v>4.1835616438356</v>
      </c>
      <c r="K5" s="3">
        <v>3.8369713464197002</v>
      </c>
      <c r="L5" s="2" t="s">
        <v>361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102.03</v>
      </c>
      <c r="H6" s="3">
        <v>3.9980357289498998</v>
      </c>
      <c r="I6" s="3">
        <v>3.4748644327562999</v>
      </c>
      <c r="J6" s="3">
        <v>14.356164383562</v>
      </c>
      <c r="K6" s="3">
        <v>10.516104842901999</v>
      </c>
      <c r="L6" s="2" t="s">
        <v>361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87.07</v>
      </c>
      <c r="H7" s="3">
        <v>2.9198651647818998</v>
      </c>
      <c r="I7" s="3">
        <v>2.8374634524708999</v>
      </c>
      <c r="J7" s="3">
        <v>6.1835616438356</v>
      </c>
      <c r="K7" s="3">
        <v>5.8851718993729003</v>
      </c>
      <c r="L7" s="2" t="s">
        <v>361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107.98</v>
      </c>
      <c r="H8" s="3">
        <v>4.1835691917658</v>
      </c>
      <c r="I8" s="3">
        <v>3.6052232965284001</v>
      </c>
      <c r="J8" s="3">
        <v>19.279452054795001</v>
      </c>
      <c r="K8" s="3">
        <v>12.453686194018999</v>
      </c>
      <c r="L8" s="2" t="s">
        <v>361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104.36</v>
      </c>
      <c r="H9" s="3">
        <v>2.5375772358478002</v>
      </c>
      <c r="I9" s="3">
        <v>2.1031228719812001</v>
      </c>
      <c r="J9" s="3">
        <v>4.7643835616438004</v>
      </c>
      <c r="K9" s="3">
        <v>4.2958313943634003</v>
      </c>
      <c r="L9" s="2" t="s">
        <v>361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91.81</v>
      </c>
      <c r="H10" s="3">
        <v>3.0172842176563002</v>
      </c>
      <c r="I10" s="3">
        <v>2.7955526648572002</v>
      </c>
      <c r="J10" s="3">
        <v>6.7671232876712004</v>
      </c>
      <c r="K10" s="3">
        <v>6.1990079418050001</v>
      </c>
      <c r="L10" s="2" t="s">
        <v>361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99.74</v>
      </c>
      <c r="H11" s="3">
        <v>1.8686546114616001</v>
      </c>
      <c r="I11" s="3">
        <v>1.6665262010579001</v>
      </c>
      <c r="J11" s="3">
        <v>1.0136986301369999</v>
      </c>
      <c r="K11" s="3">
        <v>0.98345586497713999</v>
      </c>
      <c r="L11" s="2" t="s">
        <v>361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87.36</v>
      </c>
      <c r="H12" s="3">
        <v>3.6561789315112998</v>
      </c>
      <c r="I12" s="3">
        <v>3.3452760359924998</v>
      </c>
      <c r="J12" s="3">
        <v>11.273972602740001</v>
      </c>
      <c r="K12" s="3">
        <v>9.5044766171189004</v>
      </c>
      <c r="L12" s="2" t="s">
        <v>361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88.56</v>
      </c>
      <c r="H13" s="3">
        <v>4.2795122553644003</v>
      </c>
      <c r="I13" s="3">
        <v>3.8028435306874999</v>
      </c>
      <c r="J13" s="3">
        <v>22.778082191780999</v>
      </c>
      <c r="K13" s="3">
        <v>14.705649660102001</v>
      </c>
      <c r="L13" s="2" t="s">
        <v>361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90.61</v>
      </c>
      <c r="H14" s="3">
        <v>3.9811119858738002</v>
      </c>
      <c r="I14" s="3">
        <v>3.5615786791777002</v>
      </c>
      <c r="J14" s="3">
        <v>14.772602739726</v>
      </c>
      <c r="K14" s="3">
        <v>11.25179619661</v>
      </c>
      <c r="L14" s="2" t="s">
        <v>361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98.42</v>
      </c>
      <c r="H15" s="3">
        <v>1.8703278795256</v>
      </c>
      <c r="I15" s="3">
        <v>1.8576385039242</v>
      </c>
      <c r="J15" s="3">
        <v>0.84657534246574995</v>
      </c>
      <c r="K15" s="3">
        <v>0.83123067667449002</v>
      </c>
      <c r="L15" s="2" t="s">
        <v>361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58.4</v>
      </c>
      <c r="H16" s="3">
        <v>4.2243343618572</v>
      </c>
      <c r="I16" s="3">
        <v>3.8184262066903001</v>
      </c>
      <c r="J16" s="3">
        <v>46.794520547944998</v>
      </c>
      <c r="K16" s="3">
        <v>22.837857152801998</v>
      </c>
      <c r="L16" s="2" t="s">
        <v>361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94.3</v>
      </c>
      <c r="H17" s="3">
        <v>3.8522242919655998</v>
      </c>
      <c r="I17" s="3">
        <v>3.4225094516080001</v>
      </c>
      <c r="J17" s="3">
        <v>12.769863013699</v>
      </c>
      <c r="K17" s="3">
        <v>10.005207963104001</v>
      </c>
      <c r="L17" s="2" t="s">
        <v>361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98.45</v>
      </c>
      <c r="H18" s="3">
        <v>1.9682789474782001</v>
      </c>
      <c r="I18" s="3">
        <v>1.8281194058699</v>
      </c>
      <c r="J18" s="3">
        <v>1.8465753424658</v>
      </c>
      <c r="K18" s="3">
        <v>1.794753569249</v>
      </c>
      <c r="L18" s="2" t="s">
        <v>361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103.32</v>
      </c>
      <c r="H19" s="3">
        <v>2.5044574755617002</v>
      </c>
      <c r="I19" s="3">
        <v>2.0856162001746998</v>
      </c>
      <c r="J19" s="3">
        <v>4.0986301369862996</v>
      </c>
      <c r="K19" s="3">
        <v>3.7287776972436002</v>
      </c>
      <c r="L19" s="2" t="s">
        <v>361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103.44</v>
      </c>
      <c r="H20" s="3">
        <v>3.4316469539908998</v>
      </c>
      <c r="I20" s="3">
        <v>2.9508983515712002</v>
      </c>
      <c r="J20" s="3">
        <v>9.1013698630136997</v>
      </c>
      <c r="K20" s="3">
        <v>7.4272007400074003</v>
      </c>
      <c r="L20" s="2" t="s">
        <v>361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94.32</v>
      </c>
      <c r="H21" s="3">
        <v>2.7834945348836002</v>
      </c>
      <c r="I21" s="3">
        <v>2.5629548813274998</v>
      </c>
      <c r="J21" s="3">
        <v>5.5178082191781002</v>
      </c>
      <c r="K21" s="3">
        <v>5.1046424344614998</v>
      </c>
      <c r="L21" s="2" t="s">
        <v>361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88.17</v>
      </c>
      <c r="H22" s="3">
        <v>2.9802019339918</v>
      </c>
      <c r="I22" s="3">
        <v>2.8503241496255001</v>
      </c>
      <c r="J22" s="3">
        <v>6.5178082191781002</v>
      </c>
      <c r="K22" s="3">
        <v>6.1057298787266001</v>
      </c>
      <c r="L22" s="2" t="s">
        <v>361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104.75</v>
      </c>
      <c r="H23" s="3">
        <v>2.2558408513975001</v>
      </c>
      <c r="I23" s="3">
        <v>1.7895902889738</v>
      </c>
      <c r="J23" s="3">
        <v>3.1835616438356</v>
      </c>
      <c r="K23" s="3">
        <v>2.9334245825719001</v>
      </c>
      <c r="L23" s="2" t="s">
        <v>361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112.68</v>
      </c>
      <c r="H24" s="3">
        <v>3.4081868479057</v>
      </c>
      <c r="I24" s="3">
        <v>2.8151270624595002</v>
      </c>
      <c r="J24" s="3">
        <v>9.1863013698629992</v>
      </c>
      <c r="K24" s="3">
        <v>7.2443945173255999</v>
      </c>
      <c r="L24" s="2" t="s">
        <v>361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103.36</v>
      </c>
      <c r="H25" s="3">
        <v>3.6729185429798998</v>
      </c>
      <c r="I25" s="3">
        <v>3.1749026831971001</v>
      </c>
      <c r="J25" s="3">
        <v>11.693150684931</v>
      </c>
      <c r="K25" s="3">
        <v>9.0532467198913</v>
      </c>
      <c r="L25" s="2" t="s">
        <v>361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111.94</v>
      </c>
      <c r="H26" s="3">
        <v>3.9313344144272002</v>
      </c>
      <c r="I26" s="3">
        <v>3.3381899151366001</v>
      </c>
      <c r="J26" s="3">
        <v>14.18904109589</v>
      </c>
      <c r="K26" s="3">
        <v>10.032235764609</v>
      </c>
      <c r="L26" s="2" t="s">
        <v>361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99.09</v>
      </c>
      <c r="H27" s="3">
        <v>1.8694074748517999</v>
      </c>
      <c r="I27" s="3">
        <v>1.7109556682233</v>
      </c>
      <c r="J27" s="3">
        <v>1.5150684931506999</v>
      </c>
      <c r="K27" s="3">
        <v>1.4689223614516</v>
      </c>
      <c r="L27" s="2" t="s">
        <v>361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101.7</v>
      </c>
      <c r="H28" s="3">
        <v>2.3040718194297001</v>
      </c>
      <c r="I28" s="3">
        <v>1.949594742957</v>
      </c>
      <c r="J28" s="3">
        <v>3.5178082191781002</v>
      </c>
      <c r="K28" s="3">
        <v>3.2566541568353</v>
      </c>
      <c r="L28" s="2" t="s">
        <v>361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99.088999999999999</v>
      </c>
      <c r="H29" s="3">
        <v>1.8129031342046</v>
      </c>
      <c r="I29" s="3">
        <v>1.7428770384956001</v>
      </c>
      <c r="J29" s="3">
        <v>0.68493150684932003</v>
      </c>
      <c r="K29" s="3">
        <v>0.67431507394002999</v>
      </c>
      <c r="L29" s="2" t="s">
        <v>361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97.9</v>
      </c>
      <c r="H30" s="3">
        <v>1.8051589586318</v>
      </c>
      <c r="I30" s="3">
        <v>1.8030341548194999</v>
      </c>
      <c r="J30" s="3">
        <v>1.1808219178082</v>
      </c>
      <c r="K30" s="3">
        <v>1.1652664580044001</v>
      </c>
      <c r="L30" s="2" t="s">
        <v>361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102.89</v>
      </c>
      <c r="H31" s="3">
        <v>3.5226178951581999</v>
      </c>
      <c r="I31" s="3">
        <v>3.0421060191528002</v>
      </c>
      <c r="J31" s="3">
        <v>9.6904109589040992</v>
      </c>
      <c r="K31" s="3">
        <v>7.8352213360096004</v>
      </c>
      <c r="L31" s="2" t="s">
        <v>361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111.64</v>
      </c>
      <c r="H32" s="3">
        <v>4.0099929164920001</v>
      </c>
      <c r="I32" s="3">
        <v>3.4146473168215001</v>
      </c>
      <c r="J32" s="3">
        <v>15.276712328766999</v>
      </c>
      <c r="K32" s="3">
        <v>10.593986375547001</v>
      </c>
      <c r="L32" s="2" t="s">
        <v>361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101.93</v>
      </c>
      <c r="H33" s="3">
        <v>1.9141935973341999</v>
      </c>
      <c r="I33" s="3">
        <v>1.3676250409677999</v>
      </c>
      <c r="J33" s="3">
        <v>0.76164383561644</v>
      </c>
      <c r="K33" s="3">
        <v>0.73956342071419001</v>
      </c>
      <c r="L33" s="2" t="s">
        <v>361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86.72</v>
      </c>
      <c r="H34" s="3">
        <v>4.2402932010551</v>
      </c>
      <c r="I34" s="3">
        <v>3.787153688394</v>
      </c>
      <c r="J34" s="3">
        <v>21.279452054795001</v>
      </c>
      <c r="K34" s="3">
        <v>14.296417332999001</v>
      </c>
      <c r="L34" s="2" t="s">
        <v>361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100.102</v>
      </c>
      <c r="H35" s="3">
        <v>1.7702922079951999</v>
      </c>
      <c r="I35" s="3">
        <v>1.5246324406705001</v>
      </c>
      <c r="J35" s="3">
        <v>0.51506849315069003</v>
      </c>
      <c r="K35" s="3">
        <v>0.50134498476828004</v>
      </c>
      <c r="L35" s="2" t="s">
        <v>361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70.150000000000006</v>
      </c>
      <c r="H36" s="3">
        <v>4.4025746956744003</v>
      </c>
      <c r="I36" s="3">
        <v>3.9400329964555998</v>
      </c>
      <c r="J36" s="3">
        <v>41.789041095889999</v>
      </c>
      <c r="K36" s="3">
        <v>20.361371556925999</v>
      </c>
      <c r="L36" s="2" t="s">
        <v>361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94.31</v>
      </c>
      <c r="H37" s="3">
        <v>3.2632279643614002</v>
      </c>
      <c r="I37" s="3">
        <v>2.9379187518837999</v>
      </c>
      <c r="J37" s="3">
        <v>8.2712328767123005</v>
      </c>
      <c r="K37" s="3">
        <v>7.2297492001314998</v>
      </c>
      <c r="L37" s="2" t="s">
        <v>361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91.02</v>
      </c>
      <c r="H38" s="3">
        <v>3.8522458766958998</v>
      </c>
      <c r="I38" s="3">
        <v>3.4551562131599001</v>
      </c>
      <c r="J38" s="3">
        <v>13.273972602740001</v>
      </c>
      <c r="K38" s="3">
        <v>10.465878624262</v>
      </c>
      <c r="L38" s="2" t="s">
        <v>361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99.06</v>
      </c>
      <c r="H39" s="3">
        <v>3.4923186236110002</v>
      </c>
      <c r="I39" s="3">
        <v>3.0627612268422002</v>
      </c>
      <c r="J39" s="3">
        <v>9.7671232876712004</v>
      </c>
      <c r="K39" s="3">
        <v>8.0568996401953008</v>
      </c>
      <c r="L39" s="2" t="s">
        <v>361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93.56</v>
      </c>
      <c r="H40" s="3">
        <v>4.3212424999012002</v>
      </c>
      <c r="I40" s="3">
        <v>3.8081813627601999</v>
      </c>
      <c r="J40" s="3">
        <v>24.282191780822</v>
      </c>
      <c r="K40" s="3">
        <v>14.887912599965</v>
      </c>
      <c r="L40" s="2" t="s">
        <v>361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94.41</v>
      </c>
      <c r="H41" s="3">
        <v>2.5996218673268001</v>
      </c>
      <c r="I41" s="3">
        <v>2.4232662598802999</v>
      </c>
      <c r="J41" s="3">
        <v>4.8493150684930999</v>
      </c>
      <c r="K41" s="3">
        <v>4.5765866557133004</v>
      </c>
      <c r="L41" s="2" t="s">
        <v>361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71.989999999999995</v>
      </c>
      <c r="H42" s="3">
        <v>4.3157298116133003</v>
      </c>
      <c r="I42" s="3">
        <v>3.9295683048515002</v>
      </c>
      <c r="J42" s="3">
        <v>25.282191780822</v>
      </c>
      <c r="K42" s="3">
        <v>16.787897477013001</v>
      </c>
      <c r="L42" s="2" t="s">
        <v>361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60.34</v>
      </c>
      <c r="H43" s="3">
        <v>4.2510539470645003</v>
      </c>
      <c r="I43" s="3">
        <v>3.9517760989136002</v>
      </c>
      <c r="J43" s="3">
        <v>26.282191780822</v>
      </c>
      <c r="K43" s="3">
        <v>18.581257499425998</v>
      </c>
      <c r="L43" s="2" t="s">
        <v>361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103.76</v>
      </c>
      <c r="H44" s="3">
        <v>4.1937061655396999</v>
      </c>
      <c r="I44" s="3">
        <v>3.6388710881444002</v>
      </c>
      <c r="J44" s="3">
        <v>18.276712328767001</v>
      </c>
      <c r="K44" s="3">
        <v>12.177187821088999</v>
      </c>
      <c r="L44" s="2" t="s">
        <v>361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106.38</v>
      </c>
      <c r="H45" s="3">
        <v>3.3796271016477002</v>
      </c>
      <c r="I45" s="3">
        <v>2.8657282010213998</v>
      </c>
      <c r="J45" s="3">
        <v>8.7671232876712004</v>
      </c>
      <c r="K45" s="3">
        <v>7.1646644146487999</v>
      </c>
      <c r="L45" s="2" t="s">
        <v>361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89.63</v>
      </c>
      <c r="H46" s="3">
        <v>2.8560524369513001</v>
      </c>
      <c r="I46" s="3">
        <v>2.7349125360792002</v>
      </c>
      <c r="J46" s="3">
        <v>5.8493150684930999</v>
      </c>
      <c r="K46" s="3">
        <v>5.5348619255282996</v>
      </c>
      <c r="L46" s="2" t="s">
        <v>361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86.88</v>
      </c>
      <c r="H47" s="3">
        <v>3.0620125206986</v>
      </c>
      <c r="I47" s="3">
        <v>2.9221751411988</v>
      </c>
      <c r="J47" s="3">
        <v>7.0191780821918002</v>
      </c>
      <c r="K47" s="3">
        <v>6.5507832824556997</v>
      </c>
      <c r="L47" s="2" t="s">
        <v>361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108.25</v>
      </c>
      <c r="H48" s="3">
        <v>3.2350622329123002</v>
      </c>
      <c r="I48" s="3">
        <v>2.7027290274979001</v>
      </c>
      <c r="J48" s="3">
        <v>7.9342465753424998</v>
      </c>
      <c r="K48" s="3">
        <v>6.6078115097939003</v>
      </c>
      <c r="L48" s="2" t="s">
        <v>361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107.61</v>
      </c>
      <c r="H49" s="3">
        <v>1.8293410052776</v>
      </c>
      <c r="I49" s="3">
        <v>0.96466304722064</v>
      </c>
      <c r="J49" s="3">
        <v>1.4328767123288</v>
      </c>
      <c r="K49" s="3">
        <v>1.3611107595361001</v>
      </c>
      <c r="L49" s="2" t="s">
        <v>361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110.45</v>
      </c>
      <c r="H50" s="3">
        <v>2.0735963483769</v>
      </c>
      <c r="I50" s="3">
        <v>1.3050609805721001</v>
      </c>
      <c r="J50" s="3">
        <v>2.4328767123288002</v>
      </c>
      <c r="K50" s="3">
        <v>2.2430261624134999</v>
      </c>
      <c r="L50" s="2" t="s">
        <v>361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</v>
      </c>
      <c r="H51" s="3">
        <v>2.4573883776608998</v>
      </c>
      <c r="I51" s="3">
        <v>1.8363343587501999</v>
      </c>
      <c r="J51" s="3">
        <v>4.4356164383561998</v>
      </c>
      <c r="K51" s="3">
        <v>3.9332693181114999</v>
      </c>
      <c r="L51" s="2" t="s">
        <v>361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117.39</v>
      </c>
      <c r="H52" s="3">
        <v>2.8130764417431999</v>
      </c>
      <c r="I52" s="3">
        <v>2.1228127108577999</v>
      </c>
      <c r="J52" s="3">
        <v>5.9315068493150997</v>
      </c>
      <c r="K52" s="3">
        <v>5.0005925550820001</v>
      </c>
      <c r="L52" s="2" t="s">
        <v>361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100.005</v>
      </c>
      <c r="H53" s="3">
        <v>0.92917609917046995</v>
      </c>
      <c r="I53" s="3">
        <v>0.77680341139387998</v>
      </c>
      <c r="J53" s="3">
        <v>1.3698630136986001E-2</v>
      </c>
      <c r="K53" s="3">
        <v>1.6287066900174001E-2</v>
      </c>
      <c r="L53" s="2" t="s">
        <v>361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91.64</v>
      </c>
      <c r="H54" s="3">
        <v>2.7061887887755001</v>
      </c>
      <c r="I54" s="3">
        <v>2.5747747807274002</v>
      </c>
      <c r="J54" s="3">
        <v>5.1835616438356</v>
      </c>
      <c r="K54" s="3">
        <v>4.9147352931038997</v>
      </c>
      <c r="L54" s="2" t="s">
        <v>361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107.63</v>
      </c>
      <c r="H55" s="3">
        <v>3.1049935511541999</v>
      </c>
      <c r="I55" s="3">
        <v>2.6001057854086</v>
      </c>
      <c r="J55" s="3">
        <v>8.4383561643836007</v>
      </c>
      <c r="K55" s="3">
        <v>6.9745392135198001</v>
      </c>
      <c r="L55" s="2" t="s">
        <v>361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100.07</v>
      </c>
      <c r="H56" s="3">
        <v>3.6216483849648999</v>
      </c>
      <c r="I56" s="3">
        <v>3.1645876304940002</v>
      </c>
      <c r="J56" s="3">
        <v>10.353424657533999</v>
      </c>
      <c r="K56" s="3">
        <v>8.4098226419708002</v>
      </c>
      <c r="L56" s="2" t="s">
        <v>361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101.82</v>
      </c>
      <c r="H57" s="3">
        <v>2.5685061318727</v>
      </c>
      <c r="I57" s="3">
        <v>2.1874329998031001</v>
      </c>
      <c r="J57" s="3">
        <v>4.3506849315067999</v>
      </c>
      <c r="K57" s="3">
        <v>3.9939044470193998</v>
      </c>
      <c r="L57" s="2" t="s">
        <v>361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105.99</v>
      </c>
      <c r="H58" s="3">
        <v>2.4009408809564001</v>
      </c>
      <c r="I58" s="3">
        <v>1.8749534442656</v>
      </c>
      <c r="J58" s="3">
        <v>3.6876712328767001</v>
      </c>
      <c r="K58" s="3">
        <v>3.3467796340136</v>
      </c>
      <c r="L58" s="2" t="s">
        <v>361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101.02</v>
      </c>
      <c r="H59" s="3">
        <v>2.7514528951872999</v>
      </c>
      <c r="I59" s="3">
        <v>2.3804061397459</v>
      </c>
      <c r="J59" s="3">
        <v>5.0986301369862996</v>
      </c>
      <c r="K59" s="3">
        <v>4.6144594558668999</v>
      </c>
      <c r="L59" s="2" t="s">
        <v>361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95.78</v>
      </c>
      <c r="H60" s="3">
        <v>3.1563220798880001</v>
      </c>
      <c r="I60" s="3">
        <v>2.8081451337473</v>
      </c>
      <c r="J60" s="3">
        <v>7.5205479452055002</v>
      </c>
      <c r="K60" s="3">
        <v>6.5920009227643002</v>
      </c>
      <c r="L60" s="2" t="s">
        <v>361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100.2</v>
      </c>
      <c r="H61" s="3">
        <v>1.9637500669239001</v>
      </c>
      <c r="I61" s="3">
        <v>1.6960028657218</v>
      </c>
      <c r="J61" s="3">
        <v>2.1808219178082</v>
      </c>
      <c r="K61" s="3">
        <v>2.0923787623973</v>
      </c>
      <c r="L61" s="2" t="s">
        <v>361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101.38</v>
      </c>
      <c r="H62" s="3">
        <v>2.0932869082952998</v>
      </c>
      <c r="I62" s="3">
        <v>1.7536650519121</v>
      </c>
      <c r="J62" s="3">
        <v>2.5150684931507001</v>
      </c>
      <c r="K62" s="3">
        <v>2.3699986948184</v>
      </c>
      <c r="L62" s="2" t="s">
        <v>361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78.89</v>
      </c>
      <c r="H63" s="3">
        <v>4.2285730098294003</v>
      </c>
      <c r="I63" s="3">
        <v>3.8287188165463002</v>
      </c>
      <c r="J63" s="3">
        <v>21.775342465752999</v>
      </c>
      <c r="K63" s="3">
        <v>15.064595996594999</v>
      </c>
      <c r="L63" s="2" t="s">
        <v>361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73.91</v>
      </c>
      <c r="H64" s="3">
        <v>3.7378513676273002</v>
      </c>
      <c r="I64" s="3">
        <v>3.5914157681151</v>
      </c>
      <c r="J64" s="3">
        <v>11.769863013699</v>
      </c>
      <c r="K64" s="3">
        <v>10.606401676853</v>
      </c>
      <c r="L64" s="2" t="s">
        <v>361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65.95</v>
      </c>
      <c r="H65" s="3">
        <v>4.3192898382194</v>
      </c>
      <c r="I65" s="3">
        <v>3.9618412490922998</v>
      </c>
      <c r="J65" s="3">
        <v>27.284931506848999</v>
      </c>
      <c r="K65" s="3">
        <v>18.037418274181999</v>
      </c>
      <c r="L65" s="2" t="s">
        <v>361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101.61</v>
      </c>
      <c r="H66" s="3">
        <v>1.9998040483460999</v>
      </c>
      <c r="I66" s="3">
        <v>1.6253629770636999</v>
      </c>
      <c r="J66" s="3">
        <v>1.7232876712328999</v>
      </c>
      <c r="K66" s="3">
        <v>1.6476105220621</v>
      </c>
      <c r="L66" s="2" t="s">
        <v>361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100.75</v>
      </c>
      <c r="H67" s="3">
        <v>3.5910590255953001</v>
      </c>
      <c r="I67" s="3">
        <v>3.1252936211329998</v>
      </c>
      <c r="J67" s="3">
        <v>10.186301369862999</v>
      </c>
      <c r="K67" s="3">
        <v>8.2148246185843998</v>
      </c>
      <c r="L67" s="2" t="s">
        <v>361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100.25</v>
      </c>
      <c r="H68" s="3">
        <v>1.8861660864012</v>
      </c>
      <c r="I68" s="3">
        <v>1.6218198024482999</v>
      </c>
      <c r="J68" s="3">
        <v>1.1342465753425</v>
      </c>
      <c r="K68" s="3">
        <v>1.0980733383668</v>
      </c>
      <c r="L68" s="2" t="s">
        <v>361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102.85</v>
      </c>
      <c r="H69" s="3">
        <v>2.9590370423976999</v>
      </c>
      <c r="I69" s="3">
        <v>2.5291717689312998</v>
      </c>
      <c r="J69" s="3">
        <v>6.1369863013699</v>
      </c>
      <c r="K69" s="3">
        <v>5.3678125259142</v>
      </c>
      <c r="L69" s="2" t="s">
        <v>361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74.2</v>
      </c>
      <c r="H70" s="3">
        <v>4.0643632289373004</v>
      </c>
      <c r="I70" s="3">
        <v>3.7909490957109</v>
      </c>
      <c r="J70" s="3">
        <v>15.772602739726</v>
      </c>
      <c r="K70" s="3">
        <v>12.800827451012999</v>
      </c>
      <c r="L70" s="2" t="s">
        <v>361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106.06</v>
      </c>
      <c r="H71" s="3">
        <v>2.8128114234442001</v>
      </c>
      <c r="I71" s="3">
        <v>2.3239783388667998</v>
      </c>
      <c r="J71" s="3">
        <v>5.4739726027396998</v>
      </c>
      <c r="K71" s="3">
        <v>4.8466463394985002</v>
      </c>
      <c r="L71" s="2" t="s">
        <v>361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98.41</v>
      </c>
      <c r="H72" s="3">
        <v>1.8462794114298</v>
      </c>
      <c r="I72" s="3">
        <v>1.7319870392596</v>
      </c>
      <c r="J72" s="3">
        <v>1.6383561643836</v>
      </c>
      <c r="K72" s="3">
        <v>1.5960483807174</v>
      </c>
      <c r="L72" s="2" t="s">
        <v>361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93.31</v>
      </c>
      <c r="H73" s="3">
        <v>2.3480755789199002</v>
      </c>
      <c r="I73" s="3">
        <v>2.2724622571538</v>
      </c>
      <c r="J73" s="3">
        <v>3.7260273972603</v>
      </c>
      <c r="K73" s="3">
        <v>3.6084707773043001</v>
      </c>
      <c r="L73" s="2" t="s">
        <v>361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105.49</v>
      </c>
      <c r="H74" s="3">
        <v>2.5755225731635001</v>
      </c>
      <c r="I74" s="3">
        <v>2.1045026866882002</v>
      </c>
      <c r="J74" s="3">
        <v>4.5561643835616001</v>
      </c>
      <c r="K74" s="3">
        <v>4.0656035515070998</v>
      </c>
      <c r="L74" s="2" t="s">
        <v>361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101.46</v>
      </c>
      <c r="H75" s="3">
        <v>2.0787625730855002</v>
      </c>
      <c r="I75" s="3">
        <v>1.7396945051023001</v>
      </c>
      <c r="J75" s="3">
        <v>2.3863013698629998</v>
      </c>
      <c r="K75" s="3">
        <v>2.2738659784711999</v>
      </c>
      <c r="L75" s="2" t="s">
        <v>361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103.36</v>
      </c>
      <c r="H76" s="3">
        <v>2.8739155734140001</v>
      </c>
      <c r="I76" s="3">
        <v>2.4379494438976002</v>
      </c>
      <c r="J76" s="3">
        <v>5.7260273972603004</v>
      </c>
      <c r="K76" s="3">
        <v>5.0596707119155004</v>
      </c>
      <c r="L76" s="2" t="s">
        <v>361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101.58499999999999</v>
      </c>
      <c r="H77" s="3">
        <v>1.9640405122130999</v>
      </c>
      <c r="I77" s="3">
        <v>1.4986180755748</v>
      </c>
      <c r="J77" s="3">
        <v>0.88493150684930999</v>
      </c>
      <c r="K77" s="3">
        <v>0.85906627408366998</v>
      </c>
      <c r="L77" s="2" t="s">
        <v>361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101.38</v>
      </c>
      <c r="H78" s="3">
        <v>2.4533152582367999</v>
      </c>
      <c r="I78" s="3">
        <v>2.1024333823488002</v>
      </c>
      <c r="J78" s="3">
        <v>4.0547945205479001</v>
      </c>
      <c r="K78" s="3">
        <v>3.7248573013917001</v>
      </c>
      <c r="L78" s="2" t="s">
        <v>361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97.66</v>
      </c>
      <c r="H79" s="3">
        <v>2.0027720558127</v>
      </c>
      <c r="I79" s="3">
        <v>1.8813019713343999</v>
      </c>
      <c r="J79" s="3">
        <v>2.3041095890410999</v>
      </c>
      <c r="K79" s="3">
        <v>2.2354235290861002</v>
      </c>
      <c r="L79" s="2" t="s">
        <v>361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101.17</v>
      </c>
      <c r="H80" s="3">
        <v>2.2619673582781998</v>
      </c>
      <c r="I80" s="3">
        <v>1.9182187375766</v>
      </c>
      <c r="J80" s="3">
        <v>3.0547945205479001</v>
      </c>
      <c r="K80" s="3">
        <v>2.8752244574922998</v>
      </c>
      <c r="L80" s="2" t="s">
        <v>361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104.69</v>
      </c>
      <c r="H81" s="3">
        <v>2.7143856192442</v>
      </c>
      <c r="I81" s="3">
        <v>2.2321590284093</v>
      </c>
      <c r="J81" s="3">
        <v>5.0547945205479001</v>
      </c>
      <c r="K81" s="3">
        <v>4.4786423456196998</v>
      </c>
      <c r="L81" s="2" t="s">
        <v>361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94.94</v>
      </c>
      <c r="H82" s="3">
        <v>2.1851377090958999</v>
      </c>
      <c r="I82" s="3">
        <v>2.0990784357305001</v>
      </c>
      <c r="J82" s="3">
        <v>3.1369863013699</v>
      </c>
      <c r="K82" s="3">
        <v>3.0487385078782001</v>
      </c>
      <c r="L82" s="2" t="s">
        <v>361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102.97</v>
      </c>
      <c r="H83" s="3">
        <v>2.0322573437551998</v>
      </c>
      <c r="I83" s="3">
        <v>1.6050673609987001</v>
      </c>
      <c r="J83" s="3">
        <v>2.1342465753425</v>
      </c>
      <c r="K83" s="3">
        <v>2.0117912727773999</v>
      </c>
      <c r="L83" s="2" t="s">
        <v>361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102.41</v>
      </c>
      <c r="H84" s="3">
        <v>1.9696886020671001</v>
      </c>
      <c r="I84" s="3">
        <v>1.4938025858338999</v>
      </c>
      <c r="J84" s="3">
        <v>1.3041095890411001</v>
      </c>
      <c r="K84" s="3">
        <v>1.2516983685705001</v>
      </c>
      <c r="L84" s="2" t="s">
        <v>361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100.26300000000001</v>
      </c>
      <c r="H85" s="3">
        <v>1.8669747938801999</v>
      </c>
      <c r="I85" s="3">
        <v>1.5627927929011001</v>
      </c>
      <c r="J85" s="3">
        <v>0.47123287671233</v>
      </c>
      <c r="K85" s="3">
        <v>0.4680526645884</v>
      </c>
      <c r="L85" s="2" t="s">
        <v>361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97.7</v>
      </c>
      <c r="H86" s="3">
        <v>4.486619106859</v>
      </c>
      <c r="I86" s="3">
        <v>3.9290088812369999</v>
      </c>
      <c r="J86" s="3">
        <v>29.367123287670999</v>
      </c>
      <c r="K86" s="3">
        <v>15.974719762327</v>
      </c>
      <c r="L86" s="2" t="s">
        <v>361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100.934</v>
      </c>
      <c r="H87" s="3">
        <v>1.9763924425132</v>
      </c>
      <c r="I87" s="3">
        <v>1.5466205555495001</v>
      </c>
      <c r="J87" s="3">
        <v>0.63835616438356002</v>
      </c>
      <c r="K87" s="3">
        <v>0.61767657631956996</v>
      </c>
      <c r="L87" s="2" t="s">
        <v>361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94.94</v>
      </c>
      <c r="H88" s="3">
        <v>2.1301223171869998</v>
      </c>
      <c r="I88" s="3">
        <v>2.0914552235166002</v>
      </c>
      <c r="J88" s="3">
        <v>2.8027397260273998</v>
      </c>
      <c r="K88" s="3">
        <v>2.7348159650435</v>
      </c>
      <c r="L88" s="2" t="s">
        <v>361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80.95</v>
      </c>
      <c r="H89" s="3">
        <v>3.6288390628328</v>
      </c>
      <c r="I89" s="3">
        <v>3.4187050103532002</v>
      </c>
      <c r="J89" s="3">
        <v>10.769863013699</v>
      </c>
      <c r="K89" s="3">
        <v>9.5190807541973008</v>
      </c>
      <c r="L89" s="2" t="s">
        <v>361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97.81</v>
      </c>
      <c r="H90" s="3">
        <v>4.0800910993765998</v>
      </c>
      <c r="I90" s="3">
        <v>3.5796902755262998</v>
      </c>
      <c r="J90" s="3">
        <v>15.358904109589</v>
      </c>
      <c r="K90" s="3">
        <v>11.166656396914</v>
      </c>
      <c r="L90" s="2" t="s">
        <v>361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99.850999999999999</v>
      </c>
      <c r="H91" s="3">
        <v>1.8603981941104999</v>
      </c>
      <c r="I91" s="3">
        <v>1.6992428429055999</v>
      </c>
      <c r="J91" s="3">
        <v>0.21917808219178</v>
      </c>
      <c r="K91" s="3">
        <v>0.21519338561149001</v>
      </c>
      <c r="L91" s="2" t="s">
        <v>361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9.8191780821918009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107.84</v>
      </c>
      <c r="H93" s="3">
        <v>2.2534689474323999</v>
      </c>
      <c r="I93" s="3">
        <v>1.6814700857575999</v>
      </c>
      <c r="J93" s="3">
        <v>3.2684931506849</v>
      </c>
      <c r="K93" s="3">
        <v>2.9775447215397999</v>
      </c>
      <c r="L93" s="2" t="s">
        <v>361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101.42</v>
      </c>
      <c r="H94" s="3">
        <v>4.4566647850135004</v>
      </c>
      <c r="I94" s="3">
        <v>3.8878255274606</v>
      </c>
      <c r="J94" s="3">
        <v>28.367123287670999</v>
      </c>
      <c r="K94" s="3">
        <v>15.584220384735</v>
      </c>
      <c r="L94" s="2" t="s">
        <v>361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100.72</v>
      </c>
      <c r="H95" s="3">
        <v>3.1592825238501998</v>
      </c>
      <c r="I95" s="3">
        <v>2.7489982301134002</v>
      </c>
      <c r="J95" s="3">
        <v>7.1397260273973</v>
      </c>
      <c r="K95" s="3">
        <v>6.2178219600759999</v>
      </c>
      <c r="L95" s="2" t="s">
        <v>361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100.78400000000001</v>
      </c>
      <c r="H96" s="3">
        <v>1.9835216749747</v>
      </c>
      <c r="I96" s="3">
        <v>1.5721556074465</v>
      </c>
      <c r="J96" s="3">
        <v>0.67397260273973003</v>
      </c>
      <c r="K96" s="3">
        <v>0.65327090455559</v>
      </c>
      <c r="L96" s="2" t="s">
        <v>361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100.52</v>
      </c>
      <c r="H97" s="3">
        <v>2.0021830481524998</v>
      </c>
      <c r="I97" s="3">
        <v>1.5613102509976999</v>
      </c>
      <c r="J97" s="3">
        <v>0.34246575342466001</v>
      </c>
      <c r="K97" s="3">
        <v>0.33579019744553001</v>
      </c>
      <c r="L97" s="2" t="s">
        <v>361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99.984999999999999</v>
      </c>
      <c r="H98" s="3">
        <v>1.9796178485950999</v>
      </c>
      <c r="I98" s="3">
        <v>1.7455643279716</v>
      </c>
      <c r="J98" s="3">
        <v>9.5890410958903993E-2</v>
      </c>
      <c r="K98" s="3">
        <v>9.4033045133073007E-2</v>
      </c>
      <c r="L98" s="2" t="s">
        <v>361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101.41</v>
      </c>
      <c r="H99" s="3">
        <v>1.9700868761585</v>
      </c>
      <c r="I99" s="3">
        <v>1.5828408306229</v>
      </c>
      <c r="J99" s="3">
        <v>1.254794520548</v>
      </c>
      <c r="K99" s="3">
        <v>1.2085581020023</v>
      </c>
      <c r="L99" s="2" t="s">
        <v>361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100.76</v>
      </c>
      <c r="H100" s="3">
        <v>3.0367953601450002</v>
      </c>
      <c r="I100" s="3">
        <v>2.6399701397183999</v>
      </c>
      <c r="J100" s="3">
        <v>6.4739726027396998</v>
      </c>
      <c r="K100" s="3">
        <v>5.7350617297606004</v>
      </c>
      <c r="L100" s="2" t="s">
        <v>361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101.11</v>
      </c>
      <c r="H101" s="3">
        <v>1.9075364951231999</v>
      </c>
      <c r="I101" s="3">
        <v>1.5835578714301</v>
      </c>
      <c r="J101" s="3">
        <v>1.7506849315069</v>
      </c>
      <c r="K101" s="3">
        <v>1.6813293593086001</v>
      </c>
      <c r="L101" s="2" t="s">
        <v>361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103.37</v>
      </c>
      <c r="H102" s="3">
        <v>2.1781652535376002</v>
      </c>
      <c r="I102" s="3">
        <v>1.7453636380515001</v>
      </c>
      <c r="J102" s="3">
        <v>2.8493150684931998</v>
      </c>
      <c r="K102" s="3">
        <v>2.6758384370754</v>
      </c>
      <c r="L102" s="2" t="s">
        <v>361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103.9</v>
      </c>
      <c r="H103" s="3">
        <v>2.8625277609689999</v>
      </c>
      <c r="I103" s="3">
        <v>2.4014373083336</v>
      </c>
      <c r="J103" s="3">
        <v>4.7753424657533996</v>
      </c>
      <c r="K103" s="3">
        <v>4.2726463588373003</v>
      </c>
      <c r="L103" s="2" t="s">
        <v>361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103.9</v>
      </c>
      <c r="H104" s="3">
        <v>2.9990089477448998</v>
      </c>
      <c r="I104" s="3">
        <v>2.5257673049320002</v>
      </c>
      <c r="J104" s="3">
        <v>4.7753424657533996</v>
      </c>
      <c r="K104" s="3">
        <v>4.2677604324546996</v>
      </c>
      <c r="L104" s="2" t="s">
        <v>361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105.83</v>
      </c>
      <c r="H105" s="3">
        <v>2.5438070704261002</v>
      </c>
      <c r="I105" s="3">
        <v>2.0116063296426998</v>
      </c>
      <c r="J105" s="3">
        <v>3.3753424657534001</v>
      </c>
      <c r="K105" s="3">
        <v>3.0775512938516001</v>
      </c>
      <c r="L105" s="2" t="s">
        <v>361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105.83</v>
      </c>
      <c r="H106" s="3">
        <v>2.6839069321857001</v>
      </c>
      <c r="I106" s="3">
        <v>2.1409440728633999</v>
      </c>
      <c r="J106" s="3">
        <v>3.3753424657534001</v>
      </c>
      <c r="K106" s="3">
        <v>3.0736839416157999</v>
      </c>
      <c r="L106" s="2" t="s">
        <v>361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103.52</v>
      </c>
      <c r="H107" s="3">
        <v>2.2226648964700999</v>
      </c>
      <c r="I107" s="3">
        <v>1.7317398104682</v>
      </c>
      <c r="J107" s="3">
        <v>2.0465753424657001</v>
      </c>
      <c r="K107" s="3">
        <v>1.9197867986206001</v>
      </c>
      <c r="L107" s="2" t="s">
        <v>361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103.52</v>
      </c>
      <c r="H108" s="3">
        <v>2.4595021161026001</v>
      </c>
      <c r="I108" s="3">
        <v>1.9543660288018001</v>
      </c>
      <c r="J108" s="3">
        <v>2.0465753424657001</v>
      </c>
      <c r="K108" s="3">
        <v>1.9154637443072</v>
      </c>
      <c r="L108" s="2" t="s">
        <v>361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103.51</v>
      </c>
      <c r="H109" s="3">
        <v>2.9409093652795</v>
      </c>
      <c r="I109" s="3">
        <v>2.4829716101950998</v>
      </c>
      <c r="J109" s="3">
        <v>4.9671232876711997</v>
      </c>
      <c r="K109" s="3">
        <v>4.4512226785616003</v>
      </c>
      <c r="L109" s="2" t="s">
        <v>361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103.51</v>
      </c>
      <c r="H110" s="3">
        <v>3.0906385804854999</v>
      </c>
      <c r="I110" s="3">
        <v>2.6187702674616</v>
      </c>
      <c r="J110" s="3">
        <v>4.9671232876711997</v>
      </c>
      <c r="K110" s="3">
        <v>4.4457065990854003</v>
      </c>
      <c r="L110" s="2" t="s">
        <v>361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99.93</v>
      </c>
      <c r="H111" s="3">
        <v>4.8549287642688999</v>
      </c>
      <c r="I111" s="3">
        <v>4.5232213186610997</v>
      </c>
      <c r="J111" s="3">
        <v>30.989041095889998</v>
      </c>
      <c r="K111" s="3">
        <v>5.7559575996132999</v>
      </c>
      <c r="L111" s="2" t="s">
        <v>361</v>
      </c>
      <c r="M111" s="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EBB4-411D-9C44-9156-17624A079CA9}">
  <dimension ref="A1:M111"/>
  <sheetViews>
    <sheetView workbookViewId="0">
      <selection activeCell="Q8" sqref="Q8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117.61</v>
      </c>
      <c r="H2" s="3">
        <v>3.1711277982303998</v>
      </c>
      <c r="I2" s="3">
        <v>2.5094632237141998</v>
      </c>
      <c r="J2" s="3">
        <v>7.6876712328767001</v>
      </c>
      <c r="K2" s="3">
        <v>6.1539355854078002</v>
      </c>
      <c r="L2" s="2" t="s">
        <v>362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100.3</v>
      </c>
      <c r="H3" s="3">
        <v>2.0573509331127999</v>
      </c>
      <c r="I3" s="3">
        <v>1.7657355945144</v>
      </c>
      <c r="J3" s="3">
        <v>2.0109589041096001</v>
      </c>
      <c r="K3" s="3">
        <v>1.9178675517699</v>
      </c>
      <c r="L3" s="2" t="s">
        <v>362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99.82</v>
      </c>
      <c r="H4" s="3">
        <v>2.0775370563540001</v>
      </c>
      <c r="I4" s="3">
        <v>1.8203914369634</v>
      </c>
      <c r="J4" s="3">
        <v>2.6821917808219</v>
      </c>
      <c r="K4" s="3">
        <v>2.5557114623185999</v>
      </c>
      <c r="L4" s="2" t="s">
        <v>362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102.29</v>
      </c>
      <c r="H5" s="3">
        <v>2.4338409177888001</v>
      </c>
      <c r="I5" s="3">
        <v>2.0598708402881001</v>
      </c>
      <c r="J5" s="3">
        <v>4.1808219178082</v>
      </c>
      <c r="K5" s="3">
        <v>3.8344235530412001</v>
      </c>
      <c r="L5" s="2" t="s">
        <v>362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102.56</v>
      </c>
      <c r="H6" s="3">
        <v>3.9490705314680001</v>
      </c>
      <c r="I6" s="3">
        <v>3.4276466140853001</v>
      </c>
      <c r="J6" s="3">
        <v>14.353424657533999</v>
      </c>
      <c r="K6" s="3">
        <v>10.528511462862999</v>
      </c>
      <c r="L6" s="2" t="s">
        <v>362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87.21</v>
      </c>
      <c r="H7" s="3">
        <v>2.8936343137501002</v>
      </c>
      <c r="I7" s="3">
        <v>2.8113165150828001</v>
      </c>
      <c r="J7" s="3">
        <v>6.1808219178082</v>
      </c>
      <c r="K7" s="3">
        <v>5.8841380293474002</v>
      </c>
      <c r="L7" s="2" t="s">
        <v>362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108.56</v>
      </c>
      <c r="H8" s="3">
        <v>4.1409827520678997</v>
      </c>
      <c r="I8" s="3">
        <v>3.5646239851269002</v>
      </c>
      <c r="J8" s="3">
        <v>19.276712328767001</v>
      </c>
      <c r="K8" s="3">
        <v>12.474292233534999</v>
      </c>
      <c r="L8" s="2" t="s">
        <v>362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104.42</v>
      </c>
      <c r="H9" s="3">
        <v>2.5237902380695001</v>
      </c>
      <c r="I9" s="3">
        <v>2.0894963946016998</v>
      </c>
      <c r="J9" s="3">
        <v>4.7616438356164004</v>
      </c>
      <c r="K9" s="3">
        <v>4.2938706049095998</v>
      </c>
      <c r="L9" s="2" t="s">
        <v>362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91.95</v>
      </c>
      <c r="H10" s="3">
        <v>2.9933305921639999</v>
      </c>
      <c r="I10" s="3">
        <v>2.7718032334673999</v>
      </c>
      <c r="J10" s="3">
        <v>6.7643835616438004</v>
      </c>
      <c r="K10" s="3">
        <v>6.1981502937746003</v>
      </c>
      <c r="L10" s="2" t="s">
        <v>362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99.74</v>
      </c>
      <c r="H11" s="3">
        <v>1.8693633726643</v>
      </c>
      <c r="I11" s="3">
        <v>1.6672317813663</v>
      </c>
      <c r="J11" s="3">
        <v>1.0109589041096001</v>
      </c>
      <c r="K11" s="3">
        <v>0.98075950563833003</v>
      </c>
      <c r="L11" s="2" t="s">
        <v>362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87.72</v>
      </c>
      <c r="H12" s="3">
        <v>3.6134837567682001</v>
      </c>
      <c r="I12" s="3">
        <v>3.3033563162825001</v>
      </c>
      <c r="J12" s="3">
        <v>11.271232876712</v>
      </c>
      <c r="K12" s="3">
        <v>9.5093231878752995</v>
      </c>
      <c r="L12" s="2" t="s">
        <v>362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89.29</v>
      </c>
      <c r="H13" s="3">
        <v>4.2243372038190001</v>
      </c>
      <c r="I13" s="3">
        <v>3.7503061146032999</v>
      </c>
      <c r="J13" s="3">
        <v>22.775342465752999</v>
      </c>
      <c r="K13" s="3">
        <v>14.744252008870999</v>
      </c>
      <c r="L13" s="2" t="s">
        <v>362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91.04</v>
      </c>
      <c r="H14" s="3">
        <v>3.9395216017111001</v>
      </c>
      <c r="I14" s="3">
        <v>3.5212523168590999</v>
      </c>
      <c r="J14" s="3">
        <v>14.769863013699</v>
      </c>
      <c r="K14" s="3">
        <v>11.262190178868</v>
      </c>
      <c r="L14" s="2" t="s">
        <v>362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98.429000000000002</v>
      </c>
      <c r="H15" s="3">
        <v>1.865541421973</v>
      </c>
      <c r="I15" s="3">
        <v>1.8528538517385</v>
      </c>
      <c r="J15" s="3">
        <v>0.84383561643836003</v>
      </c>
      <c r="K15" s="3">
        <v>0.82857869368598003</v>
      </c>
      <c r="L15" s="2" t="s">
        <v>362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59.09</v>
      </c>
      <c r="H16" s="3">
        <v>4.1735676894621001</v>
      </c>
      <c r="I16" s="3">
        <v>3.7715835724583999</v>
      </c>
      <c r="J16" s="3">
        <v>46.791780821918003</v>
      </c>
      <c r="K16" s="3">
        <v>22.981050375580001</v>
      </c>
      <c r="L16" s="2" t="s">
        <v>362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94.76</v>
      </c>
      <c r="H17" s="3">
        <v>3.8041060202899</v>
      </c>
      <c r="I17" s="3">
        <v>3.3757110597227</v>
      </c>
      <c r="J17" s="3">
        <v>12.767123287671</v>
      </c>
      <c r="K17" s="3">
        <v>10.014053410847</v>
      </c>
      <c r="L17" s="2" t="s">
        <v>362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98.47</v>
      </c>
      <c r="H18" s="3">
        <v>1.9582466943511001</v>
      </c>
      <c r="I18" s="3">
        <v>1.8181084451439</v>
      </c>
      <c r="J18" s="3">
        <v>1.8438356164384</v>
      </c>
      <c r="K18" s="3">
        <v>1.7922448933241</v>
      </c>
      <c r="L18" s="2" t="s">
        <v>362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103.34</v>
      </c>
      <c r="H19" s="3">
        <v>2.4987752382203001</v>
      </c>
      <c r="I19" s="3">
        <v>2.0799955629385001</v>
      </c>
      <c r="J19" s="3">
        <v>4.0958904109588996</v>
      </c>
      <c r="K19" s="3">
        <v>3.7263504365926998</v>
      </c>
      <c r="L19" s="2" t="s">
        <v>362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103.71</v>
      </c>
      <c r="H20" s="3">
        <v>3.3969497148413001</v>
      </c>
      <c r="I20" s="3">
        <v>2.9169992712822999</v>
      </c>
      <c r="J20" s="3">
        <v>9.0986301369862996</v>
      </c>
      <c r="K20" s="3">
        <v>7.4293084865476997</v>
      </c>
      <c r="L20" s="2" t="s">
        <v>362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94.45</v>
      </c>
      <c r="H21" s="3">
        <v>2.7572720749664001</v>
      </c>
      <c r="I21" s="3">
        <v>2.5369194266150998</v>
      </c>
      <c r="J21" s="3">
        <v>5.5150684931507001</v>
      </c>
      <c r="K21" s="3">
        <v>5.1035244437199001</v>
      </c>
      <c r="L21" s="2" t="s">
        <v>362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88.33</v>
      </c>
      <c r="H22" s="3">
        <v>2.9514910488834998</v>
      </c>
      <c r="I22" s="3">
        <v>2.8217625686178001</v>
      </c>
      <c r="J22" s="3">
        <v>6.5150684931507001</v>
      </c>
      <c r="K22" s="3">
        <v>6.1050420880888998</v>
      </c>
      <c r="L22" s="2" t="s">
        <v>362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104.72</v>
      </c>
      <c r="H23" s="3">
        <v>2.2642067053655999</v>
      </c>
      <c r="I23" s="3">
        <v>1.7978614624660001</v>
      </c>
      <c r="J23" s="3">
        <v>3.1808219178082</v>
      </c>
      <c r="K23" s="3">
        <v>2.9304761880855001</v>
      </c>
      <c r="L23" s="2" t="s">
        <v>362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112.98</v>
      </c>
      <c r="H24" s="3">
        <v>3.3715974557700998</v>
      </c>
      <c r="I24" s="3">
        <v>2.7794877091935</v>
      </c>
      <c r="J24" s="3">
        <v>9.1835616438355991</v>
      </c>
      <c r="K24" s="3">
        <v>7.2469923707747004</v>
      </c>
      <c r="L24" s="2" t="s">
        <v>362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103.75</v>
      </c>
      <c r="H25" s="3">
        <v>3.6317604286213001</v>
      </c>
      <c r="I25" s="3">
        <v>3.1349422823291002</v>
      </c>
      <c r="J25" s="3">
        <v>11.690410958904</v>
      </c>
      <c r="K25" s="3">
        <v>9.0593270742929999</v>
      </c>
      <c r="L25" s="2" t="s">
        <v>362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112.52</v>
      </c>
      <c r="H26" s="3">
        <v>3.8804132492408998</v>
      </c>
      <c r="I26" s="3">
        <v>3.2892548665649999</v>
      </c>
      <c r="J26" s="3">
        <v>14.186301369862999</v>
      </c>
      <c r="K26" s="3">
        <v>10.045436996413001</v>
      </c>
      <c r="L26" s="2" t="s">
        <v>362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99.1</v>
      </c>
      <c r="H27" s="3">
        <v>1.8636817968217001</v>
      </c>
      <c r="I27" s="3">
        <v>1.7052373966722001</v>
      </c>
      <c r="J27" s="3">
        <v>1.5123287671233001</v>
      </c>
      <c r="K27" s="3">
        <v>1.4663165133091001</v>
      </c>
      <c r="L27" s="2" t="s">
        <v>362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101.85</v>
      </c>
      <c r="H28" s="3">
        <v>2.2590157639604</v>
      </c>
      <c r="I28" s="3">
        <v>1.9049003840957</v>
      </c>
      <c r="J28" s="3">
        <v>3.5150684931507001</v>
      </c>
      <c r="K28" s="3">
        <v>3.2555968013982999</v>
      </c>
      <c r="L28" s="2" t="s">
        <v>362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99.075000000000003</v>
      </c>
      <c r="H29" s="3">
        <v>1.8387472396394999</v>
      </c>
      <c r="I29" s="3">
        <v>1.7687320020435999</v>
      </c>
      <c r="J29" s="3">
        <v>0.68219178082192</v>
      </c>
      <c r="K29" s="3">
        <v>0.67145490602973001</v>
      </c>
      <c r="L29" s="2" t="s">
        <v>362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97.86</v>
      </c>
      <c r="H30" s="3">
        <v>1.8445342576314001</v>
      </c>
      <c r="I30" s="3">
        <v>1.8424155916306999</v>
      </c>
      <c r="J30" s="3">
        <v>1.1780821917808</v>
      </c>
      <c r="K30" s="3">
        <v>1.1621258346978001</v>
      </c>
      <c r="L30" s="2" t="s">
        <v>362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103.24</v>
      </c>
      <c r="H31" s="3">
        <v>3.4796996146278998</v>
      </c>
      <c r="I31" s="3">
        <v>3.0002279240776</v>
      </c>
      <c r="J31" s="3">
        <v>9.6876712328766992</v>
      </c>
      <c r="K31" s="3">
        <v>7.8390496813748998</v>
      </c>
      <c r="L31" s="2" t="s">
        <v>362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112.05</v>
      </c>
      <c r="H32" s="3">
        <v>3.9756481871473999</v>
      </c>
      <c r="I32" s="3">
        <v>3.3816760145171001</v>
      </c>
      <c r="J32" s="3">
        <v>15.273972602740001</v>
      </c>
      <c r="K32" s="3">
        <v>10.603514520946</v>
      </c>
      <c r="L32" s="2" t="s">
        <v>362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101.899</v>
      </c>
      <c r="H33" s="3">
        <v>1.9454811393641001</v>
      </c>
      <c r="I33" s="3">
        <v>1.3987674619562001</v>
      </c>
      <c r="J33" s="3">
        <v>0.75890410958903998</v>
      </c>
      <c r="K33" s="3">
        <v>0.73664955643029995</v>
      </c>
      <c r="L33" s="2" t="s">
        <v>362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87.31</v>
      </c>
      <c r="H34" s="3">
        <v>4.193416760801</v>
      </c>
      <c r="I34" s="3">
        <v>3.7423412127049001</v>
      </c>
      <c r="J34" s="3">
        <v>21.276712328767001</v>
      </c>
      <c r="K34" s="3">
        <v>14.324371940132</v>
      </c>
      <c r="L34" s="2" t="s">
        <v>362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100.066</v>
      </c>
      <c r="H35" s="3">
        <v>1.839088001635</v>
      </c>
      <c r="I35" s="3">
        <v>1.5933354981764001</v>
      </c>
      <c r="J35" s="3">
        <v>0.51232876712329001</v>
      </c>
      <c r="K35" s="3">
        <v>0.49831754391505001</v>
      </c>
      <c r="L35" s="2" t="s">
        <v>362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70.83</v>
      </c>
      <c r="H36" s="3">
        <v>4.3558096376881998</v>
      </c>
      <c r="I36" s="3">
        <v>3.8968260997744002</v>
      </c>
      <c r="J36" s="3">
        <v>41.786301369862997</v>
      </c>
      <c r="K36" s="3">
        <v>20.464443244437</v>
      </c>
      <c r="L36" s="2" t="s">
        <v>362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94.58</v>
      </c>
      <c r="H37" s="3">
        <v>3.2241724239998</v>
      </c>
      <c r="I37" s="3">
        <v>2.8994195092217998</v>
      </c>
      <c r="J37" s="3">
        <v>8.2684931506849004</v>
      </c>
      <c r="K37" s="3">
        <v>7.2312514197089</v>
      </c>
      <c r="L37" s="2" t="s">
        <v>362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91.38</v>
      </c>
      <c r="H38" s="3">
        <v>3.8149811775790998</v>
      </c>
      <c r="I38" s="3">
        <v>3.4188803659347999</v>
      </c>
      <c r="J38" s="3">
        <v>13.271232876712</v>
      </c>
      <c r="K38" s="3">
        <v>10.472635831284</v>
      </c>
      <c r="L38" s="2" t="s">
        <v>362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99.42</v>
      </c>
      <c r="H39" s="3">
        <v>3.4476932924836001</v>
      </c>
      <c r="I39" s="3">
        <v>3.0191092276324998</v>
      </c>
      <c r="J39" s="3">
        <v>9.7643835616438004</v>
      </c>
      <c r="K39" s="3">
        <v>8.0608505246991005</v>
      </c>
      <c r="L39" s="2" t="s">
        <v>362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94.35</v>
      </c>
      <c r="H40" s="3">
        <v>4.2654261924041004</v>
      </c>
      <c r="I40" s="3">
        <v>3.7553438828629</v>
      </c>
      <c r="J40" s="3">
        <v>24.279452054795001</v>
      </c>
      <c r="K40" s="3">
        <v>14.932343566281</v>
      </c>
      <c r="L40" s="2" t="s">
        <v>362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94.5</v>
      </c>
      <c r="H41" s="3">
        <v>2.5795229920395002</v>
      </c>
      <c r="I41" s="3">
        <v>2.4032792407738999</v>
      </c>
      <c r="J41" s="3">
        <v>4.8465753424656999</v>
      </c>
      <c r="K41" s="3">
        <v>4.5749019533317998</v>
      </c>
      <c r="L41" s="2" t="s">
        <v>362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72.599999999999994</v>
      </c>
      <c r="H42" s="3">
        <v>4.2660749898128003</v>
      </c>
      <c r="I42" s="3">
        <v>3.8821516670701999</v>
      </c>
      <c r="J42" s="3">
        <v>25.279452054795001</v>
      </c>
      <c r="K42" s="3">
        <v>16.830324179207999</v>
      </c>
      <c r="L42" s="2" t="s">
        <v>362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60.99</v>
      </c>
      <c r="H43" s="3">
        <v>4.1940529656873</v>
      </c>
      <c r="I43" s="3">
        <v>3.8969274609217002</v>
      </c>
      <c r="J43" s="3">
        <v>26.279452054795001</v>
      </c>
      <c r="K43" s="3">
        <v>18.632488955675001</v>
      </c>
      <c r="L43" s="2" t="s">
        <v>362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104.3</v>
      </c>
      <c r="H44" s="3">
        <v>4.1515143676216999</v>
      </c>
      <c r="I44" s="3">
        <v>3.5985836804264002</v>
      </c>
      <c r="J44" s="3">
        <v>18.273972602739999</v>
      </c>
      <c r="K44" s="3">
        <v>12.195356287248</v>
      </c>
      <c r="L44" s="2" t="s">
        <v>362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106.65</v>
      </c>
      <c r="H45" s="3">
        <v>3.3443622782228002</v>
      </c>
      <c r="I45" s="3">
        <v>2.8312986153545001</v>
      </c>
      <c r="J45" s="3">
        <v>8.7643835616438004</v>
      </c>
      <c r="K45" s="3">
        <v>7.1665282028436001</v>
      </c>
      <c r="L45" s="2" t="s">
        <v>362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89.75</v>
      </c>
      <c r="H46" s="3">
        <v>2.8328076722631002</v>
      </c>
      <c r="I46" s="3">
        <v>2.7117724666386001</v>
      </c>
      <c r="J46" s="3">
        <v>5.8465753424656999</v>
      </c>
      <c r="K46" s="3">
        <v>5.5335768858984</v>
      </c>
      <c r="L46" s="2" t="s">
        <v>362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87.07</v>
      </c>
      <c r="H47" s="3">
        <v>3.0296401088769001</v>
      </c>
      <c r="I47" s="3">
        <v>2.8899706127851998</v>
      </c>
      <c r="J47" s="3">
        <v>7.0164383561644001</v>
      </c>
      <c r="K47" s="3">
        <v>6.5505622327169002</v>
      </c>
      <c r="L47" s="2" t="s">
        <v>362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108.48</v>
      </c>
      <c r="H48" s="3">
        <v>3.2026856572809002</v>
      </c>
      <c r="I48" s="3">
        <v>2.6710836671389999</v>
      </c>
      <c r="J48" s="3">
        <v>7.9315068493150997</v>
      </c>
      <c r="K48" s="3">
        <v>6.6086379411321996</v>
      </c>
      <c r="L48" s="2" t="s">
        <v>362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107.54</v>
      </c>
      <c r="H49" s="3">
        <v>1.8672590992208999</v>
      </c>
      <c r="I49" s="3">
        <v>1.0021040109260999</v>
      </c>
      <c r="J49" s="3">
        <v>1.4301369863014</v>
      </c>
      <c r="K49" s="3">
        <v>1.3579004189634001</v>
      </c>
      <c r="L49" s="2" t="s">
        <v>362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110.45</v>
      </c>
      <c r="H50" s="3">
        <v>2.0689995397177001</v>
      </c>
      <c r="I50" s="3">
        <v>1.300490815172</v>
      </c>
      <c r="J50" s="3">
        <v>2.4301369863014002</v>
      </c>
      <c r="K50" s="3">
        <v>2.2404515759065999</v>
      </c>
      <c r="L50" s="2" t="s">
        <v>362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111.75</v>
      </c>
      <c r="H51" s="3">
        <v>2.4444956682023999</v>
      </c>
      <c r="I51" s="3">
        <v>1.8236405619969001</v>
      </c>
      <c r="J51" s="3">
        <v>4.4328767123287998</v>
      </c>
      <c r="K51" s="3">
        <v>3.9312120549462999</v>
      </c>
      <c r="L51" s="2" t="s">
        <v>362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117.5</v>
      </c>
      <c r="H52" s="3">
        <v>2.7931603608220001</v>
      </c>
      <c r="I52" s="3">
        <v>2.1033355414239998</v>
      </c>
      <c r="J52" s="3">
        <v>5.9287671232876997</v>
      </c>
      <c r="K52" s="3">
        <v>4.9993575726822996</v>
      </c>
      <c r="L52" s="2" t="s">
        <v>362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100.002</v>
      </c>
      <c r="H53" s="3">
        <v>1.0349477349942999</v>
      </c>
      <c r="I53" s="3">
        <v>0.88851942679753004</v>
      </c>
      <c r="J53" s="3">
        <v>1.0958904109589E-2</v>
      </c>
      <c r="K53" s="3">
        <v>1.3558345164142E-2</v>
      </c>
      <c r="L53" s="2" t="s">
        <v>362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91.67</v>
      </c>
      <c r="H54" s="3">
        <v>2.700456753104</v>
      </c>
      <c r="I54" s="3">
        <v>2.5690673696100998</v>
      </c>
      <c r="J54" s="3">
        <v>5.1808219178082</v>
      </c>
      <c r="K54" s="3">
        <v>4.9123670326384001</v>
      </c>
      <c r="L54" s="2" t="s">
        <v>362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107.97</v>
      </c>
      <c r="H55" s="3">
        <v>3.0595319066813</v>
      </c>
      <c r="I55" s="3">
        <v>2.5557182720532001</v>
      </c>
      <c r="J55" s="3">
        <v>8.4356164383562007</v>
      </c>
      <c r="K55" s="3">
        <v>6.9773038111863999</v>
      </c>
      <c r="L55" s="2" t="s">
        <v>362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100.42</v>
      </c>
      <c r="H56" s="3">
        <v>3.5802339448915999</v>
      </c>
      <c r="I56" s="3">
        <v>3.1241908489468</v>
      </c>
      <c r="J56" s="3">
        <v>10.350684931507001</v>
      </c>
      <c r="K56" s="3">
        <v>8.4139182661270002</v>
      </c>
      <c r="L56" s="2" t="s">
        <v>362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101.89</v>
      </c>
      <c r="H57" s="3">
        <v>2.5511021035728998</v>
      </c>
      <c r="I57" s="3">
        <v>2.1702091469532001</v>
      </c>
      <c r="J57" s="3">
        <v>4.3479452054793999</v>
      </c>
      <c r="K57" s="3">
        <v>3.9920203201521001</v>
      </c>
      <c r="L57" s="2" t="s">
        <v>362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106.01</v>
      </c>
      <c r="H58" s="3">
        <v>2.3941570324304999</v>
      </c>
      <c r="I58" s="3">
        <v>1.8682417251198999</v>
      </c>
      <c r="J58" s="3">
        <v>3.6849315068493</v>
      </c>
      <c r="K58" s="3">
        <v>3.3443637860007001</v>
      </c>
      <c r="L58" s="2" t="s">
        <v>362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101.12</v>
      </c>
      <c r="H59" s="3">
        <v>2.7300244944840002</v>
      </c>
      <c r="I59" s="3">
        <v>2.3592279056063998</v>
      </c>
      <c r="J59" s="3">
        <v>5.0958904109588996</v>
      </c>
      <c r="K59" s="3">
        <v>4.6129785811691004</v>
      </c>
      <c r="L59" s="2" t="s">
        <v>362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96.01</v>
      </c>
      <c r="H60" s="3">
        <v>3.1206076180978002</v>
      </c>
      <c r="I60" s="3">
        <v>2.7729010519736002</v>
      </c>
      <c r="J60" s="3">
        <v>7.5178082191781002</v>
      </c>
      <c r="K60" s="3">
        <v>6.5927275189343</v>
      </c>
      <c r="L60" s="2" t="s">
        <v>362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100.15</v>
      </c>
      <c r="H61" s="3">
        <v>1.9873417677239</v>
      </c>
      <c r="I61" s="3">
        <v>1.7195128488250999</v>
      </c>
      <c r="J61" s="3">
        <v>2.1780821917808</v>
      </c>
      <c r="K61" s="3">
        <v>2.0891918800998002</v>
      </c>
      <c r="L61" s="2" t="s">
        <v>362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101.35</v>
      </c>
      <c r="H62" s="3">
        <v>2.1050341589831998</v>
      </c>
      <c r="I62" s="3">
        <v>1.7653361065805999</v>
      </c>
      <c r="J62" s="3">
        <v>2.5123287671233001</v>
      </c>
      <c r="K62" s="3">
        <v>2.3670240054858001</v>
      </c>
      <c r="L62" s="2" t="s">
        <v>362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79.45</v>
      </c>
      <c r="H63" s="3">
        <v>4.1821803219682003</v>
      </c>
      <c r="I63" s="3">
        <v>3.7842029421800998</v>
      </c>
      <c r="J63" s="3">
        <v>21.772602739726</v>
      </c>
      <c r="K63" s="3">
        <v>15.093177227859</v>
      </c>
      <c r="L63" s="2" t="s">
        <v>362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74.31</v>
      </c>
      <c r="H64" s="3">
        <v>3.6877444237035002</v>
      </c>
      <c r="I64" s="3">
        <v>3.5417674750941002</v>
      </c>
      <c r="J64" s="3">
        <v>11.767123287671</v>
      </c>
      <c r="K64" s="3">
        <v>10.611513348233</v>
      </c>
      <c r="L64" s="2" t="s">
        <v>362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66.59</v>
      </c>
      <c r="H65" s="3">
        <v>4.2663894736373997</v>
      </c>
      <c r="I65" s="3">
        <v>3.9113686593175001</v>
      </c>
      <c r="J65" s="3">
        <v>27.282191780822</v>
      </c>
      <c r="K65" s="3">
        <v>18.090494797862</v>
      </c>
      <c r="L65" s="2" t="s">
        <v>362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101.59</v>
      </c>
      <c r="H66" s="3">
        <v>2.0101357900673</v>
      </c>
      <c r="I66" s="3">
        <v>1.6356379392436</v>
      </c>
      <c r="J66" s="3">
        <v>1.7205479452054999</v>
      </c>
      <c r="K66" s="3">
        <v>1.6447531223327001</v>
      </c>
      <c r="L66" s="2" t="s">
        <v>362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101.06</v>
      </c>
      <c r="H67" s="3">
        <v>3.5540636387359998</v>
      </c>
      <c r="I67" s="3">
        <v>3.0892018135996002</v>
      </c>
      <c r="J67" s="3">
        <v>10.183561643836001</v>
      </c>
      <c r="K67" s="3">
        <v>8.2182097197889998</v>
      </c>
      <c r="L67" s="2" t="s">
        <v>362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100.22</v>
      </c>
      <c r="H68" s="3">
        <v>1.9127164113484001</v>
      </c>
      <c r="I68" s="3">
        <v>1.6482873695683999</v>
      </c>
      <c r="J68" s="3">
        <v>1.1315068493150999</v>
      </c>
      <c r="K68" s="3">
        <v>1.0950957258778</v>
      </c>
      <c r="L68" s="2" t="s">
        <v>362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102.96</v>
      </c>
      <c r="H69" s="3">
        <v>2.9391412704155999</v>
      </c>
      <c r="I69" s="3">
        <v>2.5095787326617001</v>
      </c>
      <c r="J69" s="3">
        <v>6.1342465753425</v>
      </c>
      <c r="K69" s="3">
        <v>5.3666029833084004</v>
      </c>
      <c r="L69" s="2" t="s">
        <v>362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74.63</v>
      </c>
      <c r="H70" s="3">
        <v>4.0198380240878002</v>
      </c>
      <c r="I70" s="3">
        <v>3.7474183465433999</v>
      </c>
      <c r="J70" s="3">
        <v>15.769863013699</v>
      </c>
      <c r="K70" s="3">
        <v>12.812311043523</v>
      </c>
      <c r="L70" s="2" t="s">
        <v>362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106.17</v>
      </c>
      <c r="H71" s="3">
        <v>2.7908987841814001</v>
      </c>
      <c r="I71" s="3">
        <v>2.3024090731096001</v>
      </c>
      <c r="J71" s="3">
        <v>5.4712328767122997</v>
      </c>
      <c r="K71" s="3">
        <v>4.8453247464451996</v>
      </c>
      <c r="L71" s="2" t="s">
        <v>362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98.36</v>
      </c>
      <c r="H72" s="3">
        <v>1.8797310918715</v>
      </c>
      <c r="I72" s="3">
        <v>1.765396122157</v>
      </c>
      <c r="J72" s="3">
        <v>1.6356164383562</v>
      </c>
      <c r="K72" s="3">
        <v>1.5928303531576</v>
      </c>
      <c r="L72" s="2" t="s">
        <v>362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93.48</v>
      </c>
      <c r="H73" s="3">
        <v>2.2990678734966998</v>
      </c>
      <c r="I73" s="3">
        <v>2.2235080687296001</v>
      </c>
      <c r="J73" s="3">
        <v>3.7232876712328999</v>
      </c>
      <c r="K73" s="3">
        <v>3.6075595048708999</v>
      </c>
      <c r="L73" s="2" t="s">
        <v>362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105.58</v>
      </c>
      <c r="H74" s="3">
        <v>2.5541611434417</v>
      </c>
      <c r="I74" s="3">
        <v>2.0834191169632001</v>
      </c>
      <c r="J74" s="3">
        <v>4.5534246575342001</v>
      </c>
      <c r="K74" s="3">
        <v>4.0640023552526996</v>
      </c>
      <c r="L74" s="2" t="s">
        <v>362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101.42</v>
      </c>
      <c r="H75" s="3">
        <v>2.0953652616387002</v>
      </c>
      <c r="I75" s="3">
        <v>1.7561878882046</v>
      </c>
      <c r="J75" s="3">
        <v>2.3835616438356002</v>
      </c>
      <c r="K75" s="3">
        <v>2.2707977541291</v>
      </c>
      <c r="L75" s="2" t="s">
        <v>362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103.49</v>
      </c>
      <c r="H76" s="3">
        <v>2.8490011891909002</v>
      </c>
      <c r="I76" s="3">
        <v>2.4134008194245</v>
      </c>
      <c r="J76" s="3">
        <v>5.7232876712329004</v>
      </c>
      <c r="K76" s="3">
        <v>5.0586494178964001</v>
      </c>
      <c r="L76" s="2" t="s">
        <v>362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101.565</v>
      </c>
      <c r="H77" s="3">
        <v>1.9810480603205001</v>
      </c>
      <c r="I77" s="3">
        <v>1.5155638756801999</v>
      </c>
      <c r="J77" s="3">
        <v>0.88219178082191996</v>
      </c>
      <c r="K77" s="3">
        <v>0.85623678434725004</v>
      </c>
      <c r="L77" s="2" t="s">
        <v>362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101.45</v>
      </c>
      <c r="H78" s="3">
        <v>2.4347723553427998</v>
      </c>
      <c r="I78" s="3">
        <v>2.0840599306783001</v>
      </c>
      <c r="J78" s="3">
        <v>4.0520547945205001</v>
      </c>
      <c r="K78" s="3">
        <v>3.7229673665844998</v>
      </c>
      <c r="L78" s="2" t="s">
        <v>362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97.66</v>
      </c>
      <c r="H79" s="3">
        <v>2.0040243949229999</v>
      </c>
      <c r="I79" s="3">
        <v>1.8825512006486</v>
      </c>
      <c r="J79" s="3">
        <v>2.3013698630136998</v>
      </c>
      <c r="K79" s="3">
        <v>2.2327097577488</v>
      </c>
      <c r="L79" s="2" t="s">
        <v>362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101.17</v>
      </c>
      <c r="H80" s="3">
        <v>2.2616084948172999</v>
      </c>
      <c r="I80" s="3">
        <v>1.9178619854148</v>
      </c>
      <c r="J80" s="3">
        <v>3.0520547945205001</v>
      </c>
      <c r="K80" s="3">
        <v>2.8725561691011001</v>
      </c>
      <c r="L80" s="2" t="s">
        <v>362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104.79</v>
      </c>
      <c r="H81" s="3">
        <v>2.6928972855308002</v>
      </c>
      <c r="I81" s="3">
        <v>2.2109578696368</v>
      </c>
      <c r="J81" s="3">
        <v>5.0520547945205001</v>
      </c>
      <c r="K81" s="3">
        <v>4.4772007435617001</v>
      </c>
      <c r="L81" s="2" t="s">
        <v>362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94.94</v>
      </c>
      <c r="H82" s="3">
        <v>2.1866056680553001</v>
      </c>
      <c r="I82" s="3">
        <v>2.1005466970518998</v>
      </c>
      <c r="J82" s="3">
        <v>3.1342465753425</v>
      </c>
      <c r="K82" s="3">
        <v>3.0460127881894001</v>
      </c>
      <c r="L82" s="2" t="s">
        <v>362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102.91</v>
      </c>
      <c r="H83" s="3">
        <v>2.0591120326127998</v>
      </c>
      <c r="I83" s="3">
        <v>1.6317144766042</v>
      </c>
      <c r="J83" s="3">
        <v>2.1315068493150999</v>
      </c>
      <c r="K83" s="3">
        <v>2.0085475337565999</v>
      </c>
      <c r="L83" s="2" t="s">
        <v>362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102.37</v>
      </c>
      <c r="H84" s="3">
        <v>1.9968973037872</v>
      </c>
      <c r="I84" s="3">
        <v>1.5208251737622001</v>
      </c>
      <c r="J84" s="3">
        <v>1.3013698630137001</v>
      </c>
      <c r="K84" s="3">
        <v>1.2486725193993</v>
      </c>
      <c r="L84" s="2" t="s">
        <v>362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100.255</v>
      </c>
      <c r="H85" s="3">
        <v>1.8802775779426999</v>
      </c>
      <c r="I85" s="3">
        <v>1.5761321109602</v>
      </c>
      <c r="J85" s="3">
        <v>0.46849315068493003</v>
      </c>
      <c r="K85" s="3">
        <v>0.46530228987415001</v>
      </c>
      <c r="L85" s="2" t="s">
        <v>362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98.6</v>
      </c>
      <c r="H86" s="3">
        <v>4.4297206418070996</v>
      </c>
      <c r="I86" s="3">
        <v>3.8758150013678998</v>
      </c>
      <c r="J86" s="3">
        <v>29.364383561644001</v>
      </c>
      <c r="K86" s="3">
        <v>16.038526148618999</v>
      </c>
      <c r="L86" s="2" t="s">
        <v>362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100.925</v>
      </c>
      <c r="H87" s="3">
        <v>1.9839842883339001</v>
      </c>
      <c r="I87" s="3">
        <v>1.5542222535136001</v>
      </c>
      <c r="J87" s="3">
        <v>0.63561643835616</v>
      </c>
      <c r="K87" s="3">
        <v>0.61494351955518001</v>
      </c>
      <c r="L87" s="2" t="s">
        <v>362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94.94</v>
      </c>
      <c r="H88" s="3">
        <v>2.1319739268980999</v>
      </c>
      <c r="I88" s="3">
        <v>2.0933058107207998</v>
      </c>
      <c r="J88" s="3">
        <v>2.8</v>
      </c>
      <c r="K88" s="3">
        <v>2.7320835345935999</v>
      </c>
      <c r="L88" s="2" t="s">
        <v>362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81.260000000000005</v>
      </c>
      <c r="H89" s="3">
        <v>3.5893746858535001</v>
      </c>
      <c r="I89" s="3">
        <v>3.3797206911974</v>
      </c>
      <c r="J89" s="3">
        <v>10.767123287671</v>
      </c>
      <c r="K89" s="3">
        <v>9.5222318315934995</v>
      </c>
      <c r="L89" s="2" t="s">
        <v>362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98.3</v>
      </c>
      <c r="H90" s="3">
        <v>4.0356558853594997</v>
      </c>
      <c r="I90" s="3">
        <v>3.5368693878844999</v>
      </c>
      <c r="J90" s="3">
        <v>15.356164383562</v>
      </c>
      <c r="K90" s="3">
        <v>11.179412741834</v>
      </c>
      <c r="L90" s="2" t="s">
        <v>362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99.84</v>
      </c>
      <c r="H91" s="3">
        <v>1.9190728866105</v>
      </c>
      <c r="I91" s="3">
        <v>1.7579515321212</v>
      </c>
      <c r="J91" s="3">
        <v>0.21643835616438001</v>
      </c>
      <c r="K91" s="3">
        <v>0.21238168728657</v>
      </c>
      <c r="L91" s="2" t="s">
        <v>362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9.8164383561644009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107.89</v>
      </c>
      <c r="H93" s="3">
        <v>2.2361208701797999</v>
      </c>
      <c r="I93" s="3">
        <v>1.6643241930965</v>
      </c>
      <c r="J93" s="3">
        <v>3.2657534246575</v>
      </c>
      <c r="K93" s="3">
        <v>2.9754428874546002</v>
      </c>
      <c r="L93" s="2" t="s">
        <v>362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102.28</v>
      </c>
      <c r="H94" s="3">
        <v>4.4029389341909999</v>
      </c>
      <c r="I94" s="3">
        <v>3.8375403226546001</v>
      </c>
      <c r="J94" s="3">
        <v>28.364383561644001</v>
      </c>
      <c r="K94" s="3">
        <v>15.640367531308</v>
      </c>
      <c r="L94" s="2" t="s">
        <v>362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100.92</v>
      </c>
      <c r="H95" s="3">
        <v>3.1274062997105001</v>
      </c>
      <c r="I95" s="3">
        <v>2.7176515407564001</v>
      </c>
      <c r="J95" s="3">
        <v>7.1369863013699</v>
      </c>
      <c r="K95" s="3">
        <v>6.2179607947525</v>
      </c>
      <c r="L95" s="2" t="s">
        <v>362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100.78100000000001</v>
      </c>
      <c r="H96" s="3">
        <v>1.9830721346900999</v>
      </c>
      <c r="I96" s="3">
        <v>1.5717325819326</v>
      </c>
      <c r="J96" s="3">
        <v>0.67123287671233001</v>
      </c>
      <c r="K96" s="3">
        <v>0.65058635421041999</v>
      </c>
      <c r="L96" s="2" t="s">
        <v>362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100.51900000000001</v>
      </c>
      <c r="H97" s="3">
        <v>1.9929140068655999</v>
      </c>
      <c r="I97" s="3">
        <v>1.5521146779107</v>
      </c>
      <c r="J97" s="3">
        <v>0.33972602739725999</v>
      </c>
      <c r="K97" s="3">
        <v>0.33313356271423999</v>
      </c>
      <c r="L97" s="2" t="s">
        <v>362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99.983000000000004</v>
      </c>
      <c r="H98" s="3">
        <v>2.0050895948646001</v>
      </c>
      <c r="I98" s="3">
        <v>1.7711794020295999</v>
      </c>
      <c r="J98" s="3">
        <v>9.3150684931506994E-2</v>
      </c>
      <c r="K98" s="3">
        <v>9.1323537170557995E-2</v>
      </c>
      <c r="L98" s="2" t="s">
        <v>362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101.37</v>
      </c>
      <c r="H99" s="3">
        <v>2.0000480445229001</v>
      </c>
      <c r="I99" s="3">
        <v>1.6126419661244</v>
      </c>
      <c r="J99" s="3">
        <v>1.2520547945206</v>
      </c>
      <c r="K99" s="3">
        <v>1.2055118600889001</v>
      </c>
      <c r="L99" s="2" t="s">
        <v>362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100.95</v>
      </c>
      <c r="H100" s="3">
        <v>3.0039241069234999</v>
      </c>
      <c r="I100" s="3">
        <v>2.6075877465300001</v>
      </c>
      <c r="J100" s="3">
        <v>6.4712328767122997</v>
      </c>
      <c r="K100" s="3">
        <v>5.7348790553917004</v>
      </c>
      <c r="L100" s="2" t="s">
        <v>362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101.11</v>
      </c>
      <c r="H101" s="3">
        <v>1.9064930789523</v>
      </c>
      <c r="I101" s="3">
        <v>1.5825248114251</v>
      </c>
      <c r="J101" s="3">
        <v>1.7479452054794</v>
      </c>
      <c r="K101" s="3">
        <v>1.6786585287541</v>
      </c>
      <c r="L101" s="2" t="s">
        <v>362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103.36</v>
      </c>
      <c r="H102" s="3">
        <v>2.1806293864124999</v>
      </c>
      <c r="I102" s="3">
        <v>1.7478021009113001</v>
      </c>
      <c r="J102" s="3">
        <v>2.8465753424657998</v>
      </c>
      <c r="K102" s="3">
        <v>2.6730877322872999</v>
      </c>
      <c r="L102" s="2" t="s">
        <v>362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104.09</v>
      </c>
      <c r="H103" s="3">
        <v>2.8198890844793998</v>
      </c>
      <c r="I103" s="3">
        <v>2.3593386439029</v>
      </c>
      <c r="J103" s="3">
        <v>4.7726027397259996</v>
      </c>
      <c r="K103" s="3">
        <v>4.2721841289171998</v>
      </c>
      <c r="L103" s="2" t="s">
        <v>362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104.09</v>
      </c>
      <c r="H104" s="3">
        <v>2.9564065863536002</v>
      </c>
      <c r="I104" s="3">
        <v>2.4837012540590999</v>
      </c>
      <c r="J104" s="3">
        <v>4.7726027397259996</v>
      </c>
      <c r="K104" s="3">
        <v>4.2672938452237998</v>
      </c>
      <c r="L104" s="2" t="s">
        <v>362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105.84</v>
      </c>
      <c r="H105" s="3">
        <v>2.5395453243279</v>
      </c>
      <c r="I105" s="3">
        <v>2.0073627180234999</v>
      </c>
      <c r="J105" s="3">
        <v>3.3726027397260001</v>
      </c>
      <c r="K105" s="3">
        <v>3.0750252867507002</v>
      </c>
      <c r="L105" s="2" t="s">
        <v>362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105.84</v>
      </c>
      <c r="H106" s="3">
        <v>2.6797616212648001</v>
      </c>
      <c r="I106" s="3">
        <v>2.1368178572358998</v>
      </c>
      <c r="J106" s="3">
        <v>3.3726027397260001</v>
      </c>
      <c r="K106" s="3">
        <v>3.0711572076821998</v>
      </c>
      <c r="L106" s="2" t="s">
        <v>362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103.49</v>
      </c>
      <c r="H107" s="3">
        <v>2.2362763595202</v>
      </c>
      <c r="I107" s="3">
        <v>1.7450977709441</v>
      </c>
      <c r="J107" s="3">
        <v>2.0438356164383999</v>
      </c>
      <c r="K107" s="3">
        <v>1.9168358184892</v>
      </c>
      <c r="L107" s="2" t="s">
        <v>362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103.49</v>
      </c>
      <c r="H108" s="3">
        <v>2.4734758121196001</v>
      </c>
      <c r="I108" s="3">
        <v>1.968090549145</v>
      </c>
      <c r="J108" s="3">
        <v>2.0438356164383999</v>
      </c>
      <c r="K108" s="3">
        <v>1.9125130347709001</v>
      </c>
      <c r="L108" s="2" t="s">
        <v>362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103.55</v>
      </c>
      <c r="H109" s="3">
        <v>2.9320444534305001</v>
      </c>
      <c r="I109" s="3">
        <v>2.4742064722550001</v>
      </c>
      <c r="J109" s="3">
        <v>4.9643835616437997</v>
      </c>
      <c r="K109" s="3">
        <v>4.4490355229235004</v>
      </c>
      <c r="L109" s="2" t="s">
        <v>362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103.55</v>
      </c>
      <c r="H110" s="3">
        <v>3.0818522856856001</v>
      </c>
      <c r="I110" s="3">
        <v>2.6100843759638002</v>
      </c>
      <c r="J110" s="3">
        <v>4.9643835616437997</v>
      </c>
      <c r="K110" s="3">
        <v>4.4435176823626001</v>
      </c>
      <c r="L110" s="2" t="s">
        <v>362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100.72</v>
      </c>
      <c r="H111" s="3">
        <v>4.8167586734469001</v>
      </c>
      <c r="I111" s="3">
        <v>4.4867315750254004</v>
      </c>
      <c r="J111" s="3">
        <v>30.986301369863</v>
      </c>
      <c r="K111" s="3">
        <v>5.7661544369176001</v>
      </c>
      <c r="L111" s="2" t="s">
        <v>362</v>
      </c>
      <c r="M111" s="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DD8F-3E1A-134A-A21F-C4ACFAE29B38}">
  <dimension ref="A1:M111"/>
  <sheetViews>
    <sheetView zoomScale="101" workbookViewId="0">
      <selection activeCell="Q14" sqref="Q14"/>
    </sheetView>
  </sheetViews>
  <sheetFormatPr baseColWidth="10" defaultRowHeight="16" x14ac:dyDescent="0.2"/>
  <cols>
    <col min="1" max="1" width="8" customWidth="1"/>
    <col min="2" max="2" width="20.5" customWidth="1"/>
    <col min="3" max="3" width="11.1640625" customWidth="1"/>
    <col min="4" max="4" width="4.1640625" customWidth="1"/>
    <col min="5" max="5" width="6.83203125" customWidth="1"/>
    <col min="6" max="6" width="9.83203125" customWidth="1"/>
    <col min="7" max="7" width="4.83203125" customWidth="1"/>
    <col min="8" max="9" width="10.5" customWidth="1"/>
    <col min="10" max="10" width="8" customWidth="1"/>
    <col min="11" max="11" width="8.5" customWidth="1"/>
    <col min="12" max="12" width="7.33203125" customWidth="1"/>
    <col min="13" max="13" width="0.5" customWidth="1"/>
    <col min="14" max="256" width="5.83203125" customWidth="1"/>
    <col min="257" max="257" width="8" customWidth="1"/>
    <col min="258" max="258" width="20.5" customWidth="1"/>
    <col min="259" max="259" width="11.1640625" customWidth="1"/>
    <col min="260" max="260" width="4.1640625" customWidth="1"/>
    <col min="261" max="261" width="6.83203125" customWidth="1"/>
    <col min="262" max="262" width="9.83203125" customWidth="1"/>
    <col min="263" max="263" width="4.83203125" customWidth="1"/>
    <col min="264" max="265" width="10.5" customWidth="1"/>
    <col min="266" max="266" width="8" customWidth="1"/>
    <col min="267" max="267" width="8.5" customWidth="1"/>
    <col min="268" max="268" width="7.33203125" customWidth="1"/>
    <col min="269" max="269" width="0.5" customWidth="1"/>
    <col min="270" max="512" width="5.83203125" customWidth="1"/>
    <col min="513" max="513" width="8" customWidth="1"/>
    <col min="514" max="514" width="20.5" customWidth="1"/>
    <col min="515" max="515" width="11.1640625" customWidth="1"/>
    <col min="516" max="516" width="4.1640625" customWidth="1"/>
    <col min="517" max="517" width="6.83203125" customWidth="1"/>
    <col min="518" max="518" width="9.83203125" customWidth="1"/>
    <col min="519" max="519" width="4.83203125" customWidth="1"/>
    <col min="520" max="521" width="10.5" customWidth="1"/>
    <col min="522" max="522" width="8" customWidth="1"/>
    <col min="523" max="523" width="8.5" customWidth="1"/>
    <col min="524" max="524" width="7.33203125" customWidth="1"/>
    <col min="525" max="525" width="0.5" customWidth="1"/>
    <col min="526" max="768" width="5.83203125" customWidth="1"/>
    <col min="769" max="769" width="8" customWidth="1"/>
    <col min="770" max="770" width="20.5" customWidth="1"/>
    <col min="771" max="771" width="11.1640625" customWidth="1"/>
    <col min="772" max="772" width="4.1640625" customWidth="1"/>
    <col min="773" max="773" width="6.83203125" customWidth="1"/>
    <col min="774" max="774" width="9.83203125" customWidth="1"/>
    <col min="775" max="775" width="4.83203125" customWidth="1"/>
    <col min="776" max="777" width="10.5" customWidth="1"/>
    <col min="778" max="778" width="8" customWidth="1"/>
    <col min="779" max="779" width="8.5" customWidth="1"/>
    <col min="780" max="780" width="7.33203125" customWidth="1"/>
    <col min="781" max="781" width="0.5" customWidth="1"/>
    <col min="782" max="1024" width="5.83203125" customWidth="1"/>
    <col min="1025" max="1025" width="8" customWidth="1"/>
    <col min="1026" max="1026" width="20.5" customWidth="1"/>
    <col min="1027" max="1027" width="11.1640625" customWidth="1"/>
    <col min="1028" max="1028" width="4.1640625" customWidth="1"/>
    <col min="1029" max="1029" width="6.83203125" customWidth="1"/>
    <col min="1030" max="1030" width="9.83203125" customWidth="1"/>
    <col min="1031" max="1031" width="4.83203125" customWidth="1"/>
    <col min="1032" max="1033" width="10.5" customWidth="1"/>
    <col min="1034" max="1034" width="8" customWidth="1"/>
    <col min="1035" max="1035" width="8.5" customWidth="1"/>
    <col min="1036" max="1036" width="7.33203125" customWidth="1"/>
    <col min="1037" max="1037" width="0.5" customWidth="1"/>
    <col min="1038" max="1280" width="5.83203125" customWidth="1"/>
    <col min="1281" max="1281" width="8" customWidth="1"/>
    <col min="1282" max="1282" width="20.5" customWidth="1"/>
    <col min="1283" max="1283" width="11.1640625" customWidth="1"/>
    <col min="1284" max="1284" width="4.1640625" customWidth="1"/>
    <col min="1285" max="1285" width="6.83203125" customWidth="1"/>
    <col min="1286" max="1286" width="9.83203125" customWidth="1"/>
    <col min="1287" max="1287" width="4.83203125" customWidth="1"/>
    <col min="1288" max="1289" width="10.5" customWidth="1"/>
    <col min="1290" max="1290" width="8" customWidth="1"/>
    <col min="1291" max="1291" width="8.5" customWidth="1"/>
    <col min="1292" max="1292" width="7.33203125" customWidth="1"/>
    <col min="1293" max="1293" width="0.5" customWidth="1"/>
    <col min="1294" max="1536" width="5.83203125" customWidth="1"/>
    <col min="1537" max="1537" width="8" customWidth="1"/>
    <col min="1538" max="1538" width="20.5" customWidth="1"/>
    <col min="1539" max="1539" width="11.1640625" customWidth="1"/>
    <col min="1540" max="1540" width="4.1640625" customWidth="1"/>
    <col min="1541" max="1541" width="6.83203125" customWidth="1"/>
    <col min="1542" max="1542" width="9.83203125" customWidth="1"/>
    <col min="1543" max="1543" width="4.83203125" customWidth="1"/>
    <col min="1544" max="1545" width="10.5" customWidth="1"/>
    <col min="1546" max="1546" width="8" customWidth="1"/>
    <col min="1547" max="1547" width="8.5" customWidth="1"/>
    <col min="1548" max="1548" width="7.33203125" customWidth="1"/>
    <col min="1549" max="1549" width="0.5" customWidth="1"/>
    <col min="1550" max="1792" width="5.83203125" customWidth="1"/>
    <col min="1793" max="1793" width="8" customWidth="1"/>
    <col min="1794" max="1794" width="20.5" customWidth="1"/>
    <col min="1795" max="1795" width="11.1640625" customWidth="1"/>
    <col min="1796" max="1796" width="4.1640625" customWidth="1"/>
    <col min="1797" max="1797" width="6.83203125" customWidth="1"/>
    <col min="1798" max="1798" width="9.83203125" customWidth="1"/>
    <col min="1799" max="1799" width="4.83203125" customWidth="1"/>
    <col min="1800" max="1801" width="10.5" customWidth="1"/>
    <col min="1802" max="1802" width="8" customWidth="1"/>
    <col min="1803" max="1803" width="8.5" customWidth="1"/>
    <col min="1804" max="1804" width="7.33203125" customWidth="1"/>
    <col min="1805" max="1805" width="0.5" customWidth="1"/>
    <col min="1806" max="2048" width="5.83203125" customWidth="1"/>
    <col min="2049" max="2049" width="8" customWidth="1"/>
    <col min="2050" max="2050" width="20.5" customWidth="1"/>
    <col min="2051" max="2051" width="11.1640625" customWidth="1"/>
    <col min="2052" max="2052" width="4.1640625" customWidth="1"/>
    <col min="2053" max="2053" width="6.83203125" customWidth="1"/>
    <col min="2054" max="2054" width="9.83203125" customWidth="1"/>
    <col min="2055" max="2055" width="4.83203125" customWidth="1"/>
    <col min="2056" max="2057" width="10.5" customWidth="1"/>
    <col min="2058" max="2058" width="8" customWidth="1"/>
    <col min="2059" max="2059" width="8.5" customWidth="1"/>
    <col min="2060" max="2060" width="7.33203125" customWidth="1"/>
    <col min="2061" max="2061" width="0.5" customWidth="1"/>
    <col min="2062" max="2304" width="5.83203125" customWidth="1"/>
    <col min="2305" max="2305" width="8" customWidth="1"/>
    <col min="2306" max="2306" width="20.5" customWidth="1"/>
    <col min="2307" max="2307" width="11.1640625" customWidth="1"/>
    <col min="2308" max="2308" width="4.1640625" customWidth="1"/>
    <col min="2309" max="2309" width="6.83203125" customWidth="1"/>
    <col min="2310" max="2310" width="9.83203125" customWidth="1"/>
    <col min="2311" max="2311" width="4.83203125" customWidth="1"/>
    <col min="2312" max="2313" width="10.5" customWidth="1"/>
    <col min="2314" max="2314" width="8" customWidth="1"/>
    <col min="2315" max="2315" width="8.5" customWidth="1"/>
    <col min="2316" max="2316" width="7.33203125" customWidth="1"/>
    <col min="2317" max="2317" width="0.5" customWidth="1"/>
    <col min="2318" max="2560" width="5.83203125" customWidth="1"/>
    <col min="2561" max="2561" width="8" customWidth="1"/>
    <col min="2562" max="2562" width="20.5" customWidth="1"/>
    <col min="2563" max="2563" width="11.1640625" customWidth="1"/>
    <col min="2564" max="2564" width="4.1640625" customWidth="1"/>
    <col min="2565" max="2565" width="6.83203125" customWidth="1"/>
    <col min="2566" max="2566" width="9.83203125" customWidth="1"/>
    <col min="2567" max="2567" width="4.83203125" customWidth="1"/>
    <col min="2568" max="2569" width="10.5" customWidth="1"/>
    <col min="2570" max="2570" width="8" customWidth="1"/>
    <col min="2571" max="2571" width="8.5" customWidth="1"/>
    <col min="2572" max="2572" width="7.33203125" customWidth="1"/>
    <col min="2573" max="2573" width="0.5" customWidth="1"/>
    <col min="2574" max="2816" width="5.83203125" customWidth="1"/>
    <col min="2817" max="2817" width="8" customWidth="1"/>
    <col min="2818" max="2818" width="20.5" customWidth="1"/>
    <col min="2819" max="2819" width="11.1640625" customWidth="1"/>
    <col min="2820" max="2820" width="4.1640625" customWidth="1"/>
    <col min="2821" max="2821" width="6.83203125" customWidth="1"/>
    <col min="2822" max="2822" width="9.83203125" customWidth="1"/>
    <col min="2823" max="2823" width="4.83203125" customWidth="1"/>
    <col min="2824" max="2825" width="10.5" customWidth="1"/>
    <col min="2826" max="2826" width="8" customWidth="1"/>
    <col min="2827" max="2827" width="8.5" customWidth="1"/>
    <col min="2828" max="2828" width="7.33203125" customWidth="1"/>
    <col min="2829" max="2829" width="0.5" customWidth="1"/>
    <col min="2830" max="3072" width="5.83203125" customWidth="1"/>
    <col min="3073" max="3073" width="8" customWidth="1"/>
    <col min="3074" max="3074" width="20.5" customWidth="1"/>
    <col min="3075" max="3075" width="11.1640625" customWidth="1"/>
    <col min="3076" max="3076" width="4.1640625" customWidth="1"/>
    <col min="3077" max="3077" width="6.83203125" customWidth="1"/>
    <col min="3078" max="3078" width="9.83203125" customWidth="1"/>
    <col min="3079" max="3079" width="4.83203125" customWidth="1"/>
    <col min="3080" max="3081" width="10.5" customWidth="1"/>
    <col min="3082" max="3082" width="8" customWidth="1"/>
    <col min="3083" max="3083" width="8.5" customWidth="1"/>
    <col min="3084" max="3084" width="7.33203125" customWidth="1"/>
    <col min="3085" max="3085" width="0.5" customWidth="1"/>
    <col min="3086" max="3328" width="5.83203125" customWidth="1"/>
    <col min="3329" max="3329" width="8" customWidth="1"/>
    <col min="3330" max="3330" width="20.5" customWidth="1"/>
    <col min="3331" max="3331" width="11.1640625" customWidth="1"/>
    <col min="3332" max="3332" width="4.1640625" customWidth="1"/>
    <col min="3333" max="3333" width="6.83203125" customWidth="1"/>
    <col min="3334" max="3334" width="9.83203125" customWidth="1"/>
    <col min="3335" max="3335" width="4.83203125" customWidth="1"/>
    <col min="3336" max="3337" width="10.5" customWidth="1"/>
    <col min="3338" max="3338" width="8" customWidth="1"/>
    <col min="3339" max="3339" width="8.5" customWidth="1"/>
    <col min="3340" max="3340" width="7.33203125" customWidth="1"/>
    <col min="3341" max="3341" width="0.5" customWidth="1"/>
    <col min="3342" max="3584" width="5.83203125" customWidth="1"/>
    <col min="3585" max="3585" width="8" customWidth="1"/>
    <col min="3586" max="3586" width="20.5" customWidth="1"/>
    <col min="3587" max="3587" width="11.1640625" customWidth="1"/>
    <col min="3588" max="3588" width="4.1640625" customWidth="1"/>
    <col min="3589" max="3589" width="6.83203125" customWidth="1"/>
    <col min="3590" max="3590" width="9.83203125" customWidth="1"/>
    <col min="3591" max="3591" width="4.83203125" customWidth="1"/>
    <col min="3592" max="3593" width="10.5" customWidth="1"/>
    <col min="3594" max="3594" width="8" customWidth="1"/>
    <col min="3595" max="3595" width="8.5" customWidth="1"/>
    <col min="3596" max="3596" width="7.33203125" customWidth="1"/>
    <col min="3597" max="3597" width="0.5" customWidth="1"/>
    <col min="3598" max="3840" width="5.83203125" customWidth="1"/>
    <col min="3841" max="3841" width="8" customWidth="1"/>
    <col min="3842" max="3842" width="20.5" customWidth="1"/>
    <col min="3843" max="3843" width="11.1640625" customWidth="1"/>
    <col min="3844" max="3844" width="4.1640625" customWidth="1"/>
    <col min="3845" max="3845" width="6.83203125" customWidth="1"/>
    <col min="3846" max="3846" width="9.83203125" customWidth="1"/>
    <col min="3847" max="3847" width="4.83203125" customWidth="1"/>
    <col min="3848" max="3849" width="10.5" customWidth="1"/>
    <col min="3850" max="3850" width="8" customWidth="1"/>
    <col min="3851" max="3851" width="8.5" customWidth="1"/>
    <col min="3852" max="3852" width="7.33203125" customWidth="1"/>
    <col min="3853" max="3853" width="0.5" customWidth="1"/>
    <col min="3854" max="4096" width="5.83203125" customWidth="1"/>
    <col min="4097" max="4097" width="8" customWidth="1"/>
    <col min="4098" max="4098" width="20.5" customWidth="1"/>
    <col min="4099" max="4099" width="11.1640625" customWidth="1"/>
    <col min="4100" max="4100" width="4.1640625" customWidth="1"/>
    <col min="4101" max="4101" width="6.83203125" customWidth="1"/>
    <col min="4102" max="4102" width="9.83203125" customWidth="1"/>
    <col min="4103" max="4103" width="4.83203125" customWidth="1"/>
    <col min="4104" max="4105" width="10.5" customWidth="1"/>
    <col min="4106" max="4106" width="8" customWidth="1"/>
    <col min="4107" max="4107" width="8.5" customWidth="1"/>
    <col min="4108" max="4108" width="7.33203125" customWidth="1"/>
    <col min="4109" max="4109" width="0.5" customWidth="1"/>
    <col min="4110" max="4352" width="5.83203125" customWidth="1"/>
    <col min="4353" max="4353" width="8" customWidth="1"/>
    <col min="4354" max="4354" width="20.5" customWidth="1"/>
    <col min="4355" max="4355" width="11.1640625" customWidth="1"/>
    <col min="4356" max="4356" width="4.1640625" customWidth="1"/>
    <col min="4357" max="4357" width="6.83203125" customWidth="1"/>
    <col min="4358" max="4358" width="9.83203125" customWidth="1"/>
    <col min="4359" max="4359" width="4.83203125" customWidth="1"/>
    <col min="4360" max="4361" width="10.5" customWidth="1"/>
    <col min="4362" max="4362" width="8" customWidth="1"/>
    <col min="4363" max="4363" width="8.5" customWidth="1"/>
    <col min="4364" max="4364" width="7.33203125" customWidth="1"/>
    <col min="4365" max="4365" width="0.5" customWidth="1"/>
    <col min="4366" max="4608" width="5.83203125" customWidth="1"/>
    <col min="4609" max="4609" width="8" customWidth="1"/>
    <col min="4610" max="4610" width="20.5" customWidth="1"/>
    <col min="4611" max="4611" width="11.1640625" customWidth="1"/>
    <col min="4612" max="4612" width="4.1640625" customWidth="1"/>
    <col min="4613" max="4613" width="6.83203125" customWidth="1"/>
    <col min="4614" max="4614" width="9.83203125" customWidth="1"/>
    <col min="4615" max="4615" width="4.83203125" customWidth="1"/>
    <col min="4616" max="4617" width="10.5" customWidth="1"/>
    <col min="4618" max="4618" width="8" customWidth="1"/>
    <col min="4619" max="4619" width="8.5" customWidth="1"/>
    <col min="4620" max="4620" width="7.33203125" customWidth="1"/>
    <col min="4621" max="4621" width="0.5" customWidth="1"/>
    <col min="4622" max="4864" width="5.83203125" customWidth="1"/>
    <col min="4865" max="4865" width="8" customWidth="1"/>
    <col min="4866" max="4866" width="20.5" customWidth="1"/>
    <col min="4867" max="4867" width="11.1640625" customWidth="1"/>
    <col min="4868" max="4868" width="4.1640625" customWidth="1"/>
    <col min="4869" max="4869" width="6.83203125" customWidth="1"/>
    <col min="4870" max="4870" width="9.83203125" customWidth="1"/>
    <col min="4871" max="4871" width="4.83203125" customWidth="1"/>
    <col min="4872" max="4873" width="10.5" customWidth="1"/>
    <col min="4874" max="4874" width="8" customWidth="1"/>
    <col min="4875" max="4875" width="8.5" customWidth="1"/>
    <col min="4876" max="4876" width="7.33203125" customWidth="1"/>
    <col min="4877" max="4877" width="0.5" customWidth="1"/>
    <col min="4878" max="5120" width="5.83203125" customWidth="1"/>
    <col min="5121" max="5121" width="8" customWidth="1"/>
    <col min="5122" max="5122" width="20.5" customWidth="1"/>
    <col min="5123" max="5123" width="11.1640625" customWidth="1"/>
    <col min="5124" max="5124" width="4.1640625" customWidth="1"/>
    <col min="5125" max="5125" width="6.83203125" customWidth="1"/>
    <col min="5126" max="5126" width="9.83203125" customWidth="1"/>
    <col min="5127" max="5127" width="4.83203125" customWidth="1"/>
    <col min="5128" max="5129" width="10.5" customWidth="1"/>
    <col min="5130" max="5130" width="8" customWidth="1"/>
    <col min="5131" max="5131" width="8.5" customWidth="1"/>
    <col min="5132" max="5132" width="7.33203125" customWidth="1"/>
    <col min="5133" max="5133" width="0.5" customWidth="1"/>
    <col min="5134" max="5376" width="5.83203125" customWidth="1"/>
    <col min="5377" max="5377" width="8" customWidth="1"/>
    <col min="5378" max="5378" width="20.5" customWidth="1"/>
    <col min="5379" max="5379" width="11.1640625" customWidth="1"/>
    <col min="5380" max="5380" width="4.1640625" customWidth="1"/>
    <col min="5381" max="5381" width="6.83203125" customWidth="1"/>
    <col min="5382" max="5382" width="9.83203125" customWidth="1"/>
    <col min="5383" max="5383" width="4.83203125" customWidth="1"/>
    <col min="5384" max="5385" width="10.5" customWidth="1"/>
    <col min="5386" max="5386" width="8" customWidth="1"/>
    <col min="5387" max="5387" width="8.5" customWidth="1"/>
    <col min="5388" max="5388" width="7.33203125" customWidth="1"/>
    <col min="5389" max="5389" width="0.5" customWidth="1"/>
    <col min="5390" max="5632" width="5.83203125" customWidth="1"/>
    <col min="5633" max="5633" width="8" customWidth="1"/>
    <col min="5634" max="5634" width="20.5" customWidth="1"/>
    <col min="5635" max="5635" width="11.1640625" customWidth="1"/>
    <col min="5636" max="5636" width="4.1640625" customWidth="1"/>
    <col min="5637" max="5637" width="6.83203125" customWidth="1"/>
    <col min="5638" max="5638" width="9.83203125" customWidth="1"/>
    <col min="5639" max="5639" width="4.83203125" customWidth="1"/>
    <col min="5640" max="5641" width="10.5" customWidth="1"/>
    <col min="5642" max="5642" width="8" customWidth="1"/>
    <col min="5643" max="5643" width="8.5" customWidth="1"/>
    <col min="5644" max="5644" width="7.33203125" customWidth="1"/>
    <col min="5645" max="5645" width="0.5" customWidth="1"/>
    <col min="5646" max="5888" width="5.83203125" customWidth="1"/>
    <col min="5889" max="5889" width="8" customWidth="1"/>
    <col min="5890" max="5890" width="20.5" customWidth="1"/>
    <col min="5891" max="5891" width="11.1640625" customWidth="1"/>
    <col min="5892" max="5892" width="4.1640625" customWidth="1"/>
    <col min="5893" max="5893" width="6.83203125" customWidth="1"/>
    <col min="5894" max="5894" width="9.83203125" customWidth="1"/>
    <col min="5895" max="5895" width="4.83203125" customWidth="1"/>
    <col min="5896" max="5897" width="10.5" customWidth="1"/>
    <col min="5898" max="5898" width="8" customWidth="1"/>
    <col min="5899" max="5899" width="8.5" customWidth="1"/>
    <col min="5900" max="5900" width="7.33203125" customWidth="1"/>
    <col min="5901" max="5901" width="0.5" customWidth="1"/>
    <col min="5902" max="6144" width="5.83203125" customWidth="1"/>
    <col min="6145" max="6145" width="8" customWidth="1"/>
    <col min="6146" max="6146" width="20.5" customWidth="1"/>
    <col min="6147" max="6147" width="11.1640625" customWidth="1"/>
    <col min="6148" max="6148" width="4.1640625" customWidth="1"/>
    <col min="6149" max="6149" width="6.83203125" customWidth="1"/>
    <col min="6150" max="6150" width="9.83203125" customWidth="1"/>
    <col min="6151" max="6151" width="4.83203125" customWidth="1"/>
    <col min="6152" max="6153" width="10.5" customWidth="1"/>
    <col min="6154" max="6154" width="8" customWidth="1"/>
    <col min="6155" max="6155" width="8.5" customWidth="1"/>
    <col min="6156" max="6156" width="7.33203125" customWidth="1"/>
    <col min="6157" max="6157" width="0.5" customWidth="1"/>
    <col min="6158" max="6400" width="5.83203125" customWidth="1"/>
    <col min="6401" max="6401" width="8" customWidth="1"/>
    <col min="6402" max="6402" width="20.5" customWidth="1"/>
    <col min="6403" max="6403" width="11.1640625" customWidth="1"/>
    <col min="6404" max="6404" width="4.1640625" customWidth="1"/>
    <col min="6405" max="6405" width="6.83203125" customWidth="1"/>
    <col min="6406" max="6406" width="9.83203125" customWidth="1"/>
    <col min="6407" max="6407" width="4.83203125" customWidth="1"/>
    <col min="6408" max="6409" width="10.5" customWidth="1"/>
    <col min="6410" max="6410" width="8" customWidth="1"/>
    <col min="6411" max="6411" width="8.5" customWidth="1"/>
    <col min="6412" max="6412" width="7.33203125" customWidth="1"/>
    <col min="6413" max="6413" width="0.5" customWidth="1"/>
    <col min="6414" max="6656" width="5.83203125" customWidth="1"/>
    <col min="6657" max="6657" width="8" customWidth="1"/>
    <col min="6658" max="6658" width="20.5" customWidth="1"/>
    <col min="6659" max="6659" width="11.1640625" customWidth="1"/>
    <col min="6660" max="6660" width="4.1640625" customWidth="1"/>
    <col min="6661" max="6661" width="6.83203125" customWidth="1"/>
    <col min="6662" max="6662" width="9.83203125" customWidth="1"/>
    <col min="6663" max="6663" width="4.83203125" customWidth="1"/>
    <col min="6664" max="6665" width="10.5" customWidth="1"/>
    <col min="6666" max="6666" width="8" customWidth="1"/>
    <col min="6667" max="6667" width="8.5" customWidth="1"/>
    <col min="6668" max="6668" width="7.33203125" customWidth="1"/>
    <col min="6669" max="6669" width="0.5" customWidth="1"/>
    <col min="6670" max="6912" width="5.83203125" customWidth="1"/>
    <col min="6913" max="6913" width="8" customWidth="1"/>
    <col min="6914" max="6914" width="20.5" customWidth="1"/>
    <col min="6915" max="6915" width="11.1640625" customWidth="1"/>
    <col min="6916" max="6916" width="4.1640625" customWidth="1"/>
    <col min="6917" max="6917" width="6.83203125" customWidth="1"/>
    <col min="6918" max="6918" width="9.83203125" customWidth="1"/>
    <col min="6919" max="6919" width="4.83203125" customWidth="1"/>
    <col min="6920" max="6921" width="10.5" customWidth="1"/>
    <col min="6922" max="6922" width="8" customWidth="1"/>
    <col min="6923" max="6923" width="8.5" customWidth="1"/>
    <col min="6924" max="6924" width="7.33203125" customWidth="1"/>
    <col min="6925" max="6925" width="0.5" customWidth="1"/>
    <col min="6926" max="7168" width="5.83203125" customWidth="1"/>
    <col min="7169" max="7169" width="8" customWidth="1"/>
    <col min="7170" max="7170" width="20.5" customWidth="1"/>
    <col min="7171" max="7171" width="11.1640625" customWidth="1"/>
    <col min="7172" max="7172" width="4.1640625" customWidth="1"/>
    <col min="7173" max="7173" width="6.83203125" customWidth="1"/>
    <col min="7174" max="7174" width="9.83203125" customWidth="1"/>
    <col min="7175" max="7175" width="4.83203125" customWidth="1"/>
    <col min="7176" max="7177" width="10.5" customWidth="1"/>
    <col min="7178" max="7178" width="8" customWidth="1"/>
    <col min="7179" max="7179" width="8.5" customWidth="1"/>
    <col min="7180" max="7180" width="7.33203125" customWidth="1"/>
    <col min="7181" max="7181" width="0.5" customWidth="1"/>
    <col min="7182" max="7424" width="5.83203125" customWidth="1"/>
    <col min="7425" max="7425" width="8" customWidth="1"/>
    <col min="7426" max="7426" width="20.5" customWidth="1"/>
    <col min="7427" max="7427" width="11.1640625" customWidth="1"/>
    <col min="7428" max="7428" width="4.1640625" customWidth="1"/>
    <col min="7429" max="7429" width="6.83203125" customWidth="1"/>
    <col min="7430" max="7430" width="9.83203125" customWidth="1"/>
    <col min="7431" max="7431" width="4.83203125" customWidth="1"/>
    <col min="7432" max="7433" width="10.5" customWidth="1"/>
    <col min="7434" max="7434" width="8" customWidth="1"/>
    <col min="7435" max="7435" width="8.5" customWidth="1"/>
    <col min="7436" max="7436" width="7.33203125" customWidth="1"/>
    <col min="7437" max="7437" width="0.5" customWidth="1"/>
    <col min="7438" max="7680" width="5.83203125" customWidth="1"/>
    <col min="7681" max="7681" width="8" customWidth="1"/>
    <col min="7682" max="7682" width="20.5" customWidth="1"/>
    <col min="7683" max="7683" width="11.1640625" customWidth="1"/>
    <col min="7684" max="7684" width="4.1640625" customWidth="1"/>
    <col min="7685" max="7685" width="6.83203125" customWidth="1"/>
    <col min="7686" max="7686" width="9.83203125" customWidth="1"/>
    <col min="7687" max="7687" width="4.83203125" customWidth="1"/>
    <col min="7688" max="7689" width="10.5" customWidth="1"/>
    <col min="7690" max="7690" width="8" customWidth="1"/>
    <col min="7691" max="7691" width="8.5" customWidth="1"/>
    <col min="7692" max="7692" width="7.33203125" customWidth="1"/>
    <col min="7693" max="7693" width="0.5" customWidth="1"/>
    <col min="7694" max="7936" width="5.83203125" customWidth="1"/>
    <col min="7937" max="7937" width="8" customWidth="1"/>
    <col min="7938" max="7938" width="20.5" customWidth="1"/>
    <col min="7939" max="7939" width="11.1640625" customWidth="1"/>
    <col min="7940" max="7940" width="4.1640625" customWidth="1"/>
    <col min="7941" max="7941" width="6.83203125" customWidth="1"/>
    <col min="7942" max="7942" width="9.83203125" customWidth="1"/>
    <col min="7943" max="7943" width="4.83203125" customWidth="1"/>
    <col min="7944" max="7945" width="10.5" customWidth="1"/>
    <col min="7946" max="7946" width="8" customWidth="1"/>
    <col min="7947" max="7947" width="8.5" customWidth="1"/>
    <col min="7948" max="7948" width="7.33203125" customWidth="1"/>
    <col min="7949" max="7949" width="0.5" customWidth="1"/>
    <col min="7950" max="8192" width="5.83203125" customWidth="1"/>
    <col min="8193" max="8193" width="8" customWidth="1"/>
    <col min="8194" max="8194" width="20.5" customWidth="1"/>
    <col min="8195" max="8195" width="11.1640625" customWidth="1"/>
    <col min="8196" max="8196" width="4.1640625" customWidth="1"/>
    <col min="8197" max="8197" width="6.83203125" customWidth="1"/>
    <col min="8198" max="8198" width="9.83203125" customWidth="1"/>
    <col min="8199" max="8199" width="4.83203125" customWidth="1"/>
    <col min="8200" max="8201" width="10.5" customWidth="1"/>
    <col min="8202" max="8202" width="8" customWidth="1"/>
    <col min="8203" max="8203" width="8.5" customWidth="1"/>
    <col min="8204" max="8204" width="7.33203125" customWidth="1"/>
    <col min="8205" max="8205" width="0.5" customWidth="1"/>
    <col min="8206" max="8448" width="5.83203125" customWidth="1"/>
    <col min="8449" max="8449" width="8" customWidth="1"/>
    <col min="8450" max="8450" width="20.5" customWidth="1"/>
    <col min="8451" max="8451" width="11.1640625" customWidth="1"/>
    <col min="8452" max="8452" width="4.1640625" customWidth="1"/>
    <col min="8453" max="8453" width="6.83203125" customWidth="1"/>
    <col min="8454" max="8454" width="9.83203125" customWidth="1"/>
    <col min="8455" max="8455" width="4.83203125" customWidth="1"/>
    <col min="8456" max="8457" width="10.5" customWidth="1"/>
    <col min="8458" max="8458" width="8" customWidth="1"/>
    <col min="8459" max="8459" width="8.5" customWidth="1"/>
    <col min="8460" max="8460" width="7.33203125" customWidth="1"/>
    <col min="8461" max="8461" width="0.5" customWidth="1"/>
    <col min="8462" max="8704" width="5.83203125" customWidth="1"/>
    <col min="8705" max="8705" width="8" customWidth="1"/>
    <col min="8706" max="8706" width="20.5" customWidth="1"/>
    <col min="8707" max="8707" width="11.1640625" customWidth="1"/>
    <col min="8708" max="8708" width="4.1640625" customWidth="1"/>
    <col min="8709" max="8709" width="6.83203125" customWidth="1"/>
    <col min="8710" max="8710" width="9.83203125" customWidth="1"/>
    <col min="8711" max="8711" width="4.83203125" customWidth="1"/>
    <col min="8712" max="8713" width="10.5" customWidth="1"/>
    <col min="8714" max="8714" width="8" customWidth="1"/>
    <col min="8715" max="8715" width="8.5" customWidth="1"/>
    <col min="8716" max="8716" width="7.33203125" customWidth="1"/>
    <col min="8717" max="8717" width="0.5" customWidth="1"/>
    <col min="8718" max="8960" width="5.83203125" customWidth="1"/>
    <col min="8961" max="8961" width="8" customWidth="1"/>
    <col min="8962" max="8962" width="20.5" customWidth="1"/>
    <col min="8963" max="8963" width="11.1640625" customWidth="1"/>
    <col min="8964" max="8964" width="4.1640625" customWidth="1"/>
    <col min="8965" max="8965" width="6.83203125" customWidth="1"/>
    <col min="8966" max="8966" width="9.83203125" customWidth="1"/>
    <col min="8967" max="8967" width="4.83203125" customWidth="1"/>
    <col min="8968" max="8969" width="10.5" customWidth="1"/>
    <col min="8970" max="8970" width="8" customWidth="1"/>
    <col min="8971" max="8971" width="8.5" customWidth="1"/>
    <col min="8972" max="8972" width="7.33203125" customWidth="1"/>
    <col min="8973" max="8973" width="0.5" customWidth="1"/>
    <col min="8974" max="9216" width="5.83203125" customWidth="1"/>
    <col min="9217" max="9217" width="8" customWidth="1"/>
    <col min="9218" max="9218" width="20.5" customWidth="1"/>
    <col min="9219" max="9219" width="11.1640625" customWidth="1"/>
    <col min="9220" max="9220" width="4.1640625" customWidth="1"/>
    <col min="9221" max="9221" width="6.83203125" customWidth="1"/>
    <col min="9222" max="9222" width="9.83203125" customWidth="1"/>
    <col min="9223" max="9223" width="4.83203125" customWidth="1"/>
    <col min="9224" max="9225" width="10.5" customWidth="1"/>
    <col min="9226" max="9226" width="8" customWidth="1"/>
    <col min="9227" max="9227" width="8.5" customWidth="1"/>
    <col min="9228" max="9228" width="7.33203125" customWidth="1"/>
    <col min="9229" max="9229" width="0.5" customWidth="1"/>
    <col min="9230" max="9472" width="5.83203125" customWidth="1"/>
    <col min="9473" max="9473" width="8" customWidth="1"/>
    <col min="9474" max="9474" width="20.5" customWidth="1"/>
    <col min="9475" max="9475" width="11.1640625" customWidth="1"/>
    <col min="9476" max="9476" width="4.1640625" customWidth="1"/>
    <col min="9477" max="9477" width="6.83203125" customWidth="1"/>
    <col min="9478" max="9478" width="9.83203125" customWidth="1"/>
    <col min="9479" max="9479" width="4.83203125" customWidth="1"/>
    <col min="9480" max="9481" width="10.5" customWidth="1"/>
    <col min="9482" max="9482" width="8" customWidth="1"/>
    <col min="9483" max="9483" width="8.5" customWidth="1"/>
    <col min="9484" max="9484" width="7.33203125" customWidth="1"/>
    <col min="9485" max="9485" width="0.5" customWidth="1"/>
    <col min="9486" max="9728" width="5.83203125" customWidth="1"/>
    <col min="9729" max="9729" width="8" customWidth="1"/>
    <col min="9730" max="9730" width="20.5" customWidth="1"/>
    <col min="9731" max="9731" width="11.1640625" customWidth="1"/>
    <col min="9732" max="9732" width="4.1640625" customWidth="1"/>
    <col min="9733" max="9733" width="6.83203125" customWidth="1"/>
    <col min="9734" max="9734" width="9.83203125" customWidth="1"/>
    <col min="9735" max="9735" width="4.83203125" customWidth="1"/>
    <col min="9736" max="9737" width="10.5" customWidth="1"/>
    <col min="9738" max="9738" width="8" customWidth="1"/>
    <col min="9739" max="9739" width="8.5" customWidth="1"/>
    <col min="9740" max="9740" width="7.33203125" customWidth="1"/>
    <col min="9741" max="9741" width="0.5" customWidth="1"/>
    <col min="9742" max="9984" width="5.83203125" customWidth="1"/>
    <col min="9985" max="9985" width="8" customWidth="1"/>
    <col min="9986" max="9986" width="20.5" customWidth="1"/>
    <col min="9987" max="9987" width="11.1640625" customWidth="1"/>
    <col min="9988" max="9988" width="4.1640625" customWidth="1"/>
    <col min="9989" max="9989" width="6.83203125" customWidth="1"/>
    <col min="9990" max="9990" width="9.83203125" customWidth="1"/>
    <col min="9991" max="9991" width="4.83203125" customWidth="1"/>
    <col min="9992" max="9993" width="10.5" customWidth="1"/>
    <col min="9994" max="9994" width="8" customWidth="1"/>
    <col min="9995" max="9995" width="8.5" customWidth="1"/>
    <col min="9996" max="9996" width="7.33203125" customWidth="1"/>
    <col min="9997" max="9997" width="0.5" customWidth="1"/>
    <col min="9998" max="10240" width="5.83203125" customWidth="1"/>
    <col min="10241" max="10241" width="8" customWidth="1"/>
    <col min="10242" max="10242" width="20.5" customWidth="1"/>
    <col min="10243" max="10243" width="11.1640625" customWidth="1"/>
    <col min="10244" max="10244" width="4.1640625" customWidth="1"/>
    <col min="10245" max="10245" width="6.83203125" customWidth="1"/>
    <col min="10246" max="10246" width="9.83203125" customWidth="1"/>
    <col min="10247" max="10247" width="4.83203125" customWidth="1"/>
    <col min="10248" max="10249" width="10.5" customWidth="1"/>
    <col min="10250" max="10250" width="8" customWidth="1"/>
    <col min="10251" max="10251" width="8.5" customWidth="1"/>
    <col min="10252" max="10252" width="7.33203125" customWidth="1"/>
    <col min="10253" max="10253" width="0.5" customWidth="1"/>
    <col min="10254" max="10496" width="5.83203125" customWidth="1"/>
    <col min="10497" max="10497" width="8" customWidth="1"/>
    <col min="10498" max="10498" width="20.5" customWidth="1"/>
    <col min="10499" max="10499" width="11.1640625" customWidth="1"/>
    <col min="10500" max="10500" width="4.1640625" customWidth="1"/>
    <col min="10501" max="10501" width="6.83203125" customWidth="1"/>
    <col min="10502" max="10502" width="9.83203125" customWidth="1"/>
    <col min="10503" max="10503" width="4.83203125" customWidth="1"/>
    <col min="10504" max="10505" width="10.5" customWidth="1"/>
    <col min="10506" max="10506" width="8" customWidth="1"/>
    <col min="10507" max="10507" width="8.5" customWidth="1"/>
    <col min="10508" max="10508" width="7.33203125" customWidth="1"/>
    <col min="10509" max="10509" width="0.5" customWidth="1"/>
    <col min="10510" max="10752" width="5.83203125" customWidth="1"/>
    <col min="10753" max="10753" width="8" customWidth="1"/>
    <col min="10754" max="10754" width="20.5" customWidth="1"/>
    <col min="10755" max="10755" width="11.1640625" customWidth="1"/>
    <col min="10756" max="10756" width="4.1640625" customWidth="1"/>
    <col min="10757" max="10757" width="6.83203125" customWidth="1"/>
    <col min="10758" max="10758" width="9.83203125" customWidth="1"/>
    <col min="10759" max="10759" width="4.83203125" customWidth="1"/>
    <col min="10760" max="10761" width="10.5" customWidth="1"/>
    <col min="10762" max="10762" width="8" customWidth="1"/>
    <col min="10763" max="10763" width="8.5" customWidth="1"/>
    <col min="10764" max="10764" width="7.33203125" customWidth="1"/>
    <col min="10765" max="10765" width="0.5" customWidth="1"/>
    <col min="10766" max="11008" width="5.83203125" customWidth="1"/>
    <col min="11009" max="11009" width="8" customWidth="1"/>
    <col min="11010" max="11010" width="20.5" customWidth="1"/>
    <col min="11011" max="11011" width="11.1640625" customWidth="1"/>
    <col min="11012" max="11012" width="4.1640625" customWidth="1"/>
    <col min="11013" max="11013" width="6.83203125" customWidth="1"/>
    <col min="11014" max="11014" width="9.83203125" customWidth="1"/>
    <col min="11015" max="11015" width="4.83203125" customWidth="1"/>
    <col min="11016" max="11017" width="10.5" customWidth="1"/>
    <col min="11018" max="11018" width="8" customWidth="1"/>
    <col min="11019" max="11019" width="8.5" customWidth="1"/>
    <col min="11020" max="11020" width="7.33203125" customWidth="1"/>
    <col min="11021" max="11021" width="0.5" customWidth="1"/>
    <col min="11022" max="11264" width="5.83203125" customWidth="1"/>
    <col min="11265" max="11265" width="8" customWidth="1"/>
    <col min="11266" max="11266" width="20.5" customWidth="1"/>
    <col min="11267" max="11267" width="11.1640625" customWidth="1"/>
    <col min="11268" max="11268" width="4.1640625" customWidth="1"/>
    <col min="11269" max="11269" width="6.83203125" customWidth="1"/>
    <col min="11270" max="11270" width="9.83203125" customWidth="1"/>
    <col min="11271" max="11271" width="4.83203125" customWidth="1"/>
    <col min="11272" max="11273" width="10.5" customWidth="1"/>
    <col min="11274" max="11274" width="8" customWidth="1"/>
    <col min="11275" max="11275" width="8.5" customWidth="1"/>
    <col min="11276" max="11276" width="7.33203125" customWidth="1"/>
    <col min="11277" max="11277" width="0.5" customWidth="1"/>
    <col min="11278" max="11520" width="5.83203125" customWidth="1"/>
    <col min="11521" max="11521" width="8" customWidth="1"/>
    <col min="11522" max="11522" width="20.5" customWidth="1"/>
    <col min="11523" max="11523" width="11.1640625" customWidth="1"/>
    <col min="11524" max="11524" width="4.1640625" customWidth="1"/>
    <col min="11525" max="11525" width="6.83203125" customWidth="1"/>
    <col min="11526" max="11526" width="9.83203125" customWidth="1"/>
    <col min="11527" max="11527" width="4.83203125" customWidth="1"/>
    <col min="11528" max="11529" width="10.5" customWidth="1"/>
    <col min="11530" max="11530" width="8" customWidth="1"/>
    <col min="11531" max="11531" width="8.5" customWidth="1"/>
    <col min="11532" max="11532" width="7.33203125" customWidth="1"/>
    <col min="11533" max="11533" width="0.5" customWidth="1"/>
    <col min="11534" max="11776" width="5.83203125" customWidth="1"/>
    <col min="11777" max="11777" width="8" customWidth="1"/>
    <col min="11778" max="11778" width="20.5" customWidth="1"/>
    <col min="11779" max="11779" width="11.1640625" customWidth="1"/>
    <col min="11780" max="11780" width="4.1640625" customWidth="1"/>
    <col min="11781" max="11781" width="6.83203125" customWidth="1"/>
    <col min="11782" max="11782" width="9.83203125" customWidth="1"/>
    <col min="11783" max="11783" width="4.83203125" customWidth="1"/>
    <col min="11784" max="11785" width="10.5" customWidth="1"/>
    <col min="11786" max="11786" width="8" customWidth="1"/>
    <col min="11787" max="11787" width="8.5" customWidth="1"/>
    <col min="11788" max="11788" width="7.33203125" customWidth="1"/>
    <col min="11789" max="11789" width="0.5" customWidth="1"/>
    <col min="11790" max="12032" width="5.83203125" customWidth="1"/>
    <col min="12033" max="12033" width="8" customWidth="1"/>
    <col min="12034" max="12034" width="20.5" customWidth="1"/>
    <col min="12035" max="12035" width="11.1640625" customWidth="1"/>
    <col min="12036" max="12036" width="4.1640625" customWidth="1"/>
    <col min="12037" max="12037" width="6.83203125" customWidth="1"/>
    <col min="12038" max="12038" width="9.83203125" customWidth="1"/>
    <col min="12039" max="12039" width="4.83203125" customWidth="1"/>
    <col min="12040" max="12041" width="10.5" customWidth="1"/>
    <col min="12042" max="12042" width="8" customWidth="1"/>
    <col min="12043" max="12043" width="8.5" customWidth="1"/>
    <col min="12044" max="12044" width="7.33203125" customWidth="1"/>
    <col min="12045" max="12045" width="0.5" customWidth="1"/>
    <col min="12046" max="12288" width="5.83203125" customWidth="1"/>
    <col min="12289" max="12289" width="8" customWidth="1"/>
    <col min="12290" max="12290" width="20.5" customWidth="1"/>
    <col min="12291" max="12291" width="11.1640625" customWidth="1"/>
    <col min="12292" max="12292" width="4.1640625" customWidth="1"/>
    <col min="12293" max="12293" width="6.83203125" customWidth="1"/>
    <col min="12294" max="12294" width="9.83203125" customWidth="1"/>
    <col min="12295" max="12295" width="4.83203125" customWidth="1"/>
    <col min="12296" max="12297" width="10.5" customWidth="1"/>
    <col min="12298" max="12298" width="8" customWidth="1"/>
    <col min="12299" max="12299" width="8.5" customWidth="1"/>
    <col min="12300" max="12300" width="7.33203125" customWidth="1"/>
    <col min="12301" max="12301" width="0.5" customWidth="1"/>
    <col min="12302" max="12544" width="5.83203125" customWidth="1"/>
    <col min="12545" max="12545" width="8" customWidth="1"/>
    <col min="12546" max="12546" width="20.5" customWidth="1"/>
    <col min="12547" max="12547" width="11.1640625" customWidth="1"/>
    <col min="12548" max="12548" width="4.1640625" customWidth="1"/>
    <col min="12549" max="12549" width="6.83203125" customWidth="1"/>
    <col min="12550" max="12550" width="9.83203125" customWidth="1"/>
    <col min="12551" max="12551" width="4.83203125" customWidth="1"/>
    <col min="12552" max="12553" width="10.5" customWidth="1"/>
    <col min="12554" max="12554" width="8" customWidth="1"/>
    <col min="12555" max="12555" width="8.5" customWidth="1"/>
    <col min="12556" max="12556" width="7.33203125" customWidth="1"/>
    <col min="12557" max="12557" width="0.5" customWidth="1"/>
    <col min="12558" max="12800" width="5.83203125" customWidth="1"/>
    <col min="12801" max="12801" width="8" customWidth="1"/>
    <col min="12802" max="12802" width="20.5" customWidth="1"/>
    <col min="12803" max="12803" width="11.1640625" customWidth="1"/>
    <col min="12804" max="12804" width="4.1640625" customWidth="1"/>
    <col min="12805" max="12805" width="6.83203125" customWidth="1"/>
    <col min="12806" max="12806" width="9.83203125" customWidth="1"/>
    <col min="12807" max="12807" width="4.83203125" customWidth="1"/>
    <col min="12808" max="12809" width="10.5" customWidth="1"/>
    <col min="12810" max="12810" width="8" customWidth="1"/>
    <col min="12811" max="12811" width="8.5" customWidth="1"/>
    <col min="12812" max="12812" width="7.33203125" customWidth="1"/>
    <col min="12813" max="12813" width="0.5" customWidth="1"/>
    <col min="12814" max="13056" width="5.83203125" customWidth="1"/>
    <col min="13057" max="13057" width="8" customWidth="1"/>
    <col min="13058" max="13058" width="20.5" customWidth="1"/>
    <col min="13059" max="13059" width="11.1640625" customWidth="1"/>
    <col min="13060" max="13060" width="4.1640625" customWidth="1"/>
    <col min="13061" max="13061" width="6.83203125" customWidth="1"/>
    <col min="13062" max="13062" width="9.83203125" customWidth="1"/>
    <col min="13063" max="13063" width="4.83203125" customWidth="1"/>
    <col min="13064" max="13065" width="10.5" customWidth="1"/>
    <col min="13066" max="13066" width="8" customWidth="1"/>
    <col min="13067" max="13067" width="8.5" customWidth="1"/>
    <col min="13068" max="13068" width="7.33203125" customWidth="1"/>
    <col min="13069" max="13069" width="0.5" customWidth="1"/>
    <col min="13070" max="13312" width="5.83203125" customWidth="1"/>
    <col min="13313" max="13313" width="8" customWidth="1"/>
    <col min="13314" max="13314" width="20.5" customWidth="1"/>
    <col min="13315" max="13315" width="11.1640625" customWidth="1"/>
    <col min="13316" max="13316" width="4.1640625" customWidth="1"/>
    <col min="13317" max="13317" width="6.83203125" customWidth="1"/>
    <col min="13318" max="13318" width="9.83203125" customWidth="1"/>
    <col min="13319" max="13319" width="4.83203125" customWidth="1"/>
    <col min="13320" max="13321" width="10.5" customWidth="1"/>
    <col min="13322" max="13322" width="8" customWidth="1"/>
    <col min="13323" max="13323" width="8.5" customWidth="1"/>
    <col min="13324" max="13324" width="7.33203125" customWidth="1"/>
    <col min="13325" max="13325" width="0.5" customWidth="1"/>
    <col min="13326" max="13568" width="5.83203125" customWidth="1"/>
    <col min="13569" max="13569" width="8" customWidth="1"/>
    <col min="13570" max="13570" width="20.5" customWidth="1"/>
    <col min="13571" max="13571" width="11.1640625" customWidth="1"/>
    <col min="13572" max="13572" width="4.1640625" customWidth="1"/>
    <col min="13573" max="13573" width="6.83203125" customWidth="1"/>
    <col min="13574" max="13574" width="9.83203125" customWidth="1"/>
    <col min="13575" max="13575" width="4.83203125" customWidth="1"/>
    <col min="13576" max="13577" width="10.5" customWidth="1"/>
    <col min="13578" max="13578" width="8" customWidth="1"/>
    <col min="13579" max="13579" width="8.5" customWidth="1"/>
    <col min="13580" max="13580" width="7.33203125" customWidth="1"/>
    <col min="13581" max="13581" width="0.5" customWidth="1"/>
    <col min="13582" max="13824" width="5.83203125" customWidth="1"/>
    <col min="13825" max="13825" width="8" customWidth="1"/>
    <col min="13826" max="13826" width="20.5" customWidth="1"/>
    <col min="13827" max="13827" width="11.1640625" customWidth="1"/>
    <col min="13828" max="13828" width="4.1640625" customWidth="1"/>
    <col min="13829" max="13829" width="6.83203125" customWidth="1"/>
    <col min="13830" max="13830" width="9.83203125" customWidth="1"/>
    <col min="13831" max="13831" width="4.83203125" customWidth="1"/>
    <col min="13832" max="13833" width="10.5" customWidth="1"/>
    <col min="13834" max="13834" width="8" customWidth="1"/>
    <col min="13835" max="13835" width="8.5" customWidth="1"/>
    <col min="13836" max="13836" width="7.33203125" customWidth="1"/>
    <col min="13837" max="13837" width="0.5" customWidth="1"/>
    <col min="13838" max="14080" width="5.83203125" customWidth="1"/>
    <col min="14081" max="14081" width="8" customWidth="1"/>
    <col min="14082" max="14082" width="20.5" customWidth="1"/>
    <col min="14083" max="14083" width="11.1640625" customWidth="1"/>
    <col min="14084" max="14084" width="4.1640625" customWidth="1"/>
    <col min="14085" max="14085" width="6.83203125" customWidth="1"/>
    <col min="14086" max="14086" width="9.83203125" customWidth="1"/>
    <col min="14087" max="14087" width="4.83203125" customWidth="1"/>
    <col min="14088" max="14089" width="10.5" customWidth="1"/>
    <col min="14090" max="14090" width="8" customWidth="1"/>
    <col min="14091" max="14091" width="8.5" customWidth="1"/>
    <col min="14092" max="14092" width="7.33203125" customWidth="1"/>
    <col min="14093" max="14093" width="0.5" customWidth="1"/>
    <col min="14094" max="14336" width="5.83203125" customWidth="1"/>
    <col min="14337" max="14337" width="8" customWidth="1"/>
    <col min="14338" max="14338" width="20.5" customWidth="1"/>
    <col min="14339" max="14339" width="11.1640625" customWidth="1"/>
    <col min="14340" max="14340" width="4.1640625" customWidth="1"/>
    <col min="14341" max="14341" width="6.83203125" customWidth="1"/>
    <col min="14342" max="14342" width="9.83203125" customWidth="1"/>
    <col min="14343" max="14343" width="4.83203125" customWidth="1"/>
    <col min="14344" max="14345" width="10.5" customWidth="1"/>
    <col min="14346" max="14346" width="8" customWidth="1"/>
    <col min="14347" max="14347" width="8.5" customWidth="1"/>
    <col min="14348" max="14348" width="7.33203125" customWidth="1"/>
    <col min="14349" max="14349" width="0.5" customWidth="1"/>
    <col min="14350" max="14592" width="5.83203125" customWidth="1"/>
    <col min="14593" max="14593" width="8" customWidth="1"/>
    <col min="14594" max="14594" width="20.5" customWidth="1"/>
    <col min="14595" max="14595" width="11.1640625" customWidth="1"/>
    <col min="14596" max="14596" width="4.1640625" customWidth="1"/>
    <col min="14597" max="14597" width="6.83203125" customWidth="1"/>
    <col min="14598" max="14598" width="9.83203125" customWidth="1"/>
    <col min="14599" max="14599" width="4.83203125" customWidth="1"/>
    <col min="14600" max="14601" width="10.5" customWidth="1"/>
    <col min="14602" max="14602" width="8" customWidth="1"/>
    <col min="14603" max="14603" width="8.5" customWidth="1"/>
    <col min="14604" max="14604" width="7.33203125" customWidth="1"/>
    <col min="14605" max="14605" width="0.5" customWidth="1"/>
    <col min="14606" max="14848" width="5.83203125" customWidth="1"/>
    <col min="14849" max="14849" width="8" customWidth="1"/>
    <col min="14850" max="14850" width="20.5" customWidth="1"/>
    <col min="14851" max="14851" width="11.1640625" customWidth="1"/>
    <col min="14852" max="14852" width="4.1640625" customWidth="1"/>
    <col min="14853" max="14853" width="6.83203125" customWidth="1"/>
    <col min="14854" max="14854" width="9.83203125" customWidth="1"/>
    <col min="14855" max="14855" width="4.83203125" customWidth="1"/>
    <col min="14856" max="14857" width="10.5" customWidth="1"/>
    <col min="14858" max="14858" width="8" customWidth="1"/>
    <col min="14859" max="14859" width="8.5" customWidth="1"/>
    <col min="14860" max="14860" width="7.33203125" customWidth="1"/>
    <col min="14861" max="14861" width="0.5" customWidth="1"/>
    <col min="14862" max="15104" width="5.83203125" customWidth="1"/>
    <col min="15105" max="15105" width="8" customWidth="1"/>
    <col min="15106" max="15106" width="20.5" customWidth="1"/>
    <col min="15107" max="15107" width="11.1640625" customWidth="1"/>
    <col min="15108" max="15108" width="4.1640625" customWidth="1"/>
    <col min="15109" max="15109" width="6.83203125" customWidth="1"/>
    <col min="15110" max="15110" width="9.83203125" customWidth="1"/>
    <col min="15111" max="15111" width="4.83203125" customWidth="1"/>
    <col min="15112" max="15113" width="10.5" customWidth="1"/>
    <col min="15114" max="15114" width="8" customWidth="1"/>
    <col min="15115" max="15115" width="8.5" customWidth="1"/>
    <col min="15116" max="15116" width="7.33203125" customWidth="1"/>
    <col min="15117" max="15117" width="0.5" customWidth="1"/>
    <col min="15118" max="15360" width="5.83203125" customWidth="1"/>
    <col min="15361" max="15361" width="8" customWidth="1"/>
    <col min="15362" max="15362" width="20.5" customWidth="1"/>
    <col min="15363" max="15363" width="11.1640625" customWidth="1"/>
    <col min="15364" max="15364" width="4.1640625" customWidth="1"/>
    <col min="15365" max="15365" width="6.83203125" customWidth="1"/>
    <col min="15366" max="15366" width="9.83203125" customWidth="1"/>
    <col min="15367" max="15367" width="4.83203125" customWidth="1"/>
    <col min="15368" max="15369" width="10.5" customWidth="1"/>
    <col min="15370" max="15370" width="8" customWidth="1"/>
    <col min="15371" max="15371" width="8.5" customWidth="1"/>
    <col min="15372" max="15372" width="7.33203125" customWidth="1"/>
    <col min="15373" max="15373" width="0.5" customWidth="1"/>
    <col min="15374" max="15616" width="5.83203125" customWidth="1"/>
    <col min="15617" max="15617" width="8" customWidth="1"/>
    <col min="15618" max="15618" width="20.5" customWidth="1"/>
    <col min="15619" max="15619" width="11.1640625" customWidth="1"/>
    <col min="15620" max="15620" width="4.1640625" customWidth="1"/>
    <col min="15621" max="15621" width="6.83203125" customWidth="1"/>
    <col min="15622" max="15622" width="9.83203125" customWidth="1"/>
    <col min="15623" max="15623" width="4.83203125" customWidth="1"/>
    <col min="15624" max="15625" width="10.5" customWidth="1"/>
    <col min="15626" max="15626" width="8" customWidth="1"/>
    <col min="15627" max="15627" width="8.5" customWidth="1"/>
    <col min="15628" max="15628" width="7.33203125" customWidth="1"/>
    <col min="15629" max="15629" width="0.5" customWidth="1"/>
    <col min="15630" max="15872" width="5.83203125" customWidth="1"/>
    <col min="15873" max="15873" width="8" customWidth="1"/>
    <col min="15874" max="15874" width="20.5" customWidth="1"/>
    <col min="15875" max="15875" width="11.1640625" customWidth="1"/>
    <col min="15876" max="15876" width="4.1640625" customWidth="1"/>
    <col min="15877" max="15877" width="6.83203125" customWidth="1"/>
    <col min="15878" max="15878" width="9.83203125" customWidth="1"/>
    <col min="15879" max="15879" width="4.83203125" customWidth="1"/>
    <col min="15880" max="15881" width="10.5" customWidth="1"/>
    <col min="15882" max="15882" width="8" customWidth="1"/>
    <col min="15883" max="15883" width="8.5" customWidth="1"/>
    <col min="15884" max="15884" width="7.33203125" customWidth="1"/>
    <col min="15885" max="15885" width="0.5" customWidth="1"/>
    <col min="15886" max="16128" width="5.83203125" customWidth="1"/>
    <col min="16129" max="16129" width="8" customWidth="1"/>
    <col min="16130" max="16130" width="20.5" customWidth="1"/>
    <col min="16131" max="16131" width="11.1640625" customWidth="1"/>
    <col min="16132" max="16132" width="4.1640625" customWidth="1"/>
    <col min="16133" max="16133" width="6.83203125" customWidth="1"/>
    <col min="16134" max="16134" width="9.83203125" customWidth="1"/>
    <col min="16135" max="16135" width="4.83203125" customWidth="1"/>
    <col min="16136" max="16137" width="10.5" customWidth="1"/>
    <col min="16138" max="16138" width="8" customWidth="1"/>
    <col min="16139" max="16139" width="8.5" customWidth="1"/>
    <col min="16140" max="16140" width="7.33203125" customWidth="1"/>
    <col min="16141" max="16141" width="0.5" customWidth="1"/>
    <col min="16142" max="16384" width="5.83203125" customWidth="1"/>
  </cols>
  <sheetData>
    <row r="1" spans="1:13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/>
    </row>
    <row r="2" spans="1:13" x14ac:dyDescent="0.2">
      <c r="A2" s="2" t="s">
        <v>4</v>
      </c>
      <c r="B2" s="2" t="s">
        <v>232</v>
      </c>
      <c r="C2" s="2" t="s">
        <v>233</v>
      </c>
      <c r="D2" s="2" t="s">
        <v>234</v>
      </c>
      <c r="E2" s="2" t="s">
        <v>106</v>
      </c>
      <c r="F2" s="3">
        <v>2.875</v>
      </c>
      <c r="G2" s="3">
        <v>117.71</v>
      </c>
      <c r="H2" s="3">
        <v>3.1567557979551002</v>
      </c>
      <c r="I2" s="3">
        <v>2.4954611296317002</v>
      </c>
      <c r="J2" s="3">
        <v>7.6849315068493</v>
      </c>
      <c r="K2" s="3">
        <v>6.1528481610296</v>
      </c>
      <c r="L2" s="2" t="s">
        <v>363</v>
      </c>
      <c r="M2" s="5"/>
    </row>
    <row r="3" spans="1:13" x14ac:dyDescent="0.2">
      <c r="A3" s="2" t="s">
        <v>23</v>
      </c>
      <c r="B3" s="2" t="s">
        <v>236</v>
      </c>
      <c r="C3" s="2" t="s">
        <v>233</v>
      </c>
      <c r="D3" s="2" t="s">
        <v>234</v>
      </c>
      <c r="E3" s="2" t="s">
        <v>107</v>
      </c>
      <c r="F3" s="3">
        <v>1.1000000000000001</v>
      </c>
      <c r="G3" s="3">
        <v>100.52</v>
      </c>
      <c r="H3" s="3">
        <v>1.9440306029618999</v>
      </c>
      <c r="I3" s="3">
        <v>1.6528101456237001</v>
      </c>
      <c r="J3" s="3">
        <v>2.0082191780822001</v>
      </c>
      <c r="K3" s="3">
        <v>1.9173966261669</v>
      </c>
      <c r="L3" s="2" t="s">
        <v>363</v>
      </c>
      <c r="M3" s="5"/>
    </row>
    <row r="4" spans="1:13" x14ac:dyDescent="0.2">
      <c r="A4" s="2" t="s">
        <v>27</v>
      </c>
      <c r="B4" s="2" t="s">
        <v>237</v>
      </c>
      <c r="C4" s="2" t="s">
        <v>233</v>
      </c>
      <c r="D4" s="2" t="s">
        <v>234</v>
      </c>
      <c r="E4" s="2" t="s">
        <v>108</v>
      </c>
      <c r="F4" s="3">
        <v>1</v>
      </c>
      <c r="G4" s="3">
        <v>99.79</v>
      </c>
      <c r="H4" s="3">
        <v>2.0892862766047999</v>
      </c>
      <c r="I4" s="3">
        <v>1.8320888850785</v>
      </c>
      <c r="J4" s="3">
        <v>2.6794520547945</v>
      </c>
      <c r="K4" s="3">
        <v>2.5527190414017999</v>
      </c>
      <c r="L4" s="2" t="s">
        <v>363</v>
      </c>
      <c r="M4" s="5"/>
    </row>
    <row r="5" spans="1:13" x14ac:dyDescent="0.2">
      <c r="A5" s="2" t="s">
        <v>32</v>
      </c>
      <c r="B5" s="2" t="s">
        <v>238</v>
      </c>
      <c r="C5" s="2" t="s">
        <v>233</v>
      </c>
      <c r="D5" s="2" t="s">
        <v>234</v>
      </c>
      <c r="E5" s="2" t="s">
        <v>109</v>
      </c>
      <c r="F5" s="3">
        <v>1.5</v>
      </c>
      <c r="G5" s="3">
        <v>102.31</v>
      </c>
      <c r="H5" s="3">
        <v>2.4284134017868002</v>
      </c>
      <c r="I5" s="3">
        <v>2.0544953971687998</v>
      </c>
      <c r="J5" s="3">
        <v>4.1780821917808</v>
      </c>
      <c r="K5" s="3">
        <v>3.8319860378927002</v>
      </c>
      <c r="L5" s="2" t="s">
        <v>363</v>
      </c>
      <c r="M5" s="5"/>
    </row>
    <row r="6" spans="1:13" x14ac:dyDescent="0.2">
      <c r="A6" s="2" t="s">
        <v>83</v>
      </c>
      <c r="B6" s="2" t="s">
        <v>239</v>
      </c>
      <c r="C6" s="2" t="s">
        <v>233</v>
      </c>
      <c r="D6" s="2" t="s">
        <v>234</v>
      </c>
      <c r="E6" s="2" t="s">
        <v>110</v>
      </c>
      <c r="F6" s="3">
        <v>2.0750000000000002</v>
      </c>
      <c r="G6" s="3">
        <v>102.99</v>
      </c>
      <c r="H6" s="3">
        <v>3.9095615842920002</v>
      </c>
      <c r="I6" s="3">
        <v>3.3895428092155999</v>
      </c>
      <c r="J6" s="3">
        <v>14.350684931507001</v>
      </c>
      <c r="K6" s="3">
        <v>10.538008629347001</v>
      </c>
      <c r="L6" s="2" t="s">
        <v>363</v>
      </c>
      <c r="M6" s="5"/>
    </row>
    <row r="7" spans="1:13" x14ac:dyDescent="0.2">
      <c r="A7" s="2" t="s">
        <v>49</v>
      </c>
      <c r="B7" s="2" t="s">
        <v>240</v>
      </c>
      <c r="C7" s="2" t="s">
        <v>233</v>
      </c>
      <c r="D7" s="2" t="s">
        <v>234</v>
      </c>
      <c r="E7" s="2" t="s">
        <v>111</v>
      </c>
      <c r="F7" s="3">
        <v>0.3</v>
      </c>
      <c r="G7" s="3">
        <v>87.28</v>
      </c>
      <c r="H7" s="3">
        <v>2.8810314328347002</v>
      </c>
      <c r="I7" s="3">
        <v>2.7987555428765001</v>
      </c>
      <c r="J7" s="3">
        <v>6.1780821917808</v>
      </c>
      <c r="K7" s="3">
        <v>5.8822575313568999</v>
      </c>
      <c r="L7" s="2" t="s">
        <v>363</v>
      </c>
      <c r="M7" s="5"/>
    </row>
    <row r="8" spans="1:13" x14ac:dyDescent="0.2">
      <c r="A8" s="2" t="s">
        <v>11</v>
      </c>
      <c r="B8" s="2" t="s">
        <v>241</v>
      </c>
      <c r="C8" s="2" t="s">
        <v>233</v>
      </c>
      <c r="D8" s="2" t="s">
        <v>234</v>
      </c>
      <c r="E8" s="2" t="s">
        <v>112</v>
      </c>
      <c r="F8" s="3">
        <v>2.375</v>
      </c>
      <c r="G8" s="3">
        <v>109.24</v>
      </c>
      <c r="H8" s="3">
        <v>4.0914390855281999</v>
      </c>
      <c r="I8" s="3">
        <v>3.5173841845872</v>
      </c>
      <c r="J8" s="3">
        <v>19.273972602739999</v>
      </c>
      <c r="K8" s="3">
        <v>12.498692009205</v>
      </c>
      <c r="L8" s="2" t="s">
        <v>363</v>
      </c>
      <c r="M8" s="5"/>
    </row>
    <row r="9" spans="1:13" x14ac:dyDescent="0.2">
      <c r="A9" s="2" t="s">
        <v>12</v>
      </c>
      <c r="B9" s="2" t="s">
        <v>242</v>
      </c>
      <c r="C9" s="2" t="s">
        <v>233</v>
      </c>
      <c r="D9" s="2" t="s">
        <v>234</v>
      </c>
      <c r="E9" s="2" t="s">
        <v>113</v>
      </c>
      <c r="F9" s="3">
        <v>1.75</v>
      </c>
      <c r="G9" s="3">
        <v>104.4</v>
      </c>
      <c r="H9" s="3">
        <v>2.5277042169003998</v>
      </c>
      <c r="I9" s="3">
        <v>2.0933550341309002</v>
      </c>
      <c r="J9" s="3">
        <v>4.7589041095890003</v>
      </c>
      <c r="K9" s="3">
        <v>4.2909965244157</v>
      </c>
      <c r="L9" s="2" t="s">
        <v>363</v>
      </c>
      <c r="M9" s="5"/>
    </row>
    <row r="10" spans="1:13" x14ac:dyDescent="0.2">
      <c r="A10" s="2" t="s">
        <v>15</v>
      </c>
      <c r="B10" s="2" t="s">
        <v>243</v>
      </c>
      <c r="C10" s="2" t="s">
        <v>233</v>
      </c>
      <c r="D10" s="2" t="s">
        <v>234</v>
      </c>
      <c r="E10" s="2" t="s">
        <v>114</v>
      </c>
      <c r="F10" s="3">
        <v>0.82499999999999996</v>
      </c>
      <c r="G10" s="3">
        <v>92.09</v>
      </c>
      <c r="H10" s="3">
        <v>2.9694046182270002</v>
      </c>
      <c r="I10" s="3">
        <v>2.7480774282967002</v>
      </c>
      <c r="J10" s="3">
        <v>6.7616438356164004</v>
      </c>
      <c r="K10" s="3">
        <v>6.1972898817853004</v>
      </c>
      <c r="L10" s="2" t="s">
        <v>363</v>
      </c>
      <c r="M10" s="5"/>
    </row>
    <row r="11" spans="1:13" x14ac:dyDescent="0.2">
      <c r="A11" s="2" t="s">
        <v>18</v>
      </c>
      <c r="B11" s="2" t="s">
        <v>244</v>
      </c>
      <c r="C11" s="2" t="s">
        <v>233</v>
      </c>
      <c r="D11" s="2" t="s">
        <v>234</v>
      </c>
      <c r="E11" s="2" t="s">
        <v>115</v>
      </c>
      <c r="F11" s="3">
        <v>0.8</v>
      </c>
      <c r="G11" s="3">
        <v>99.72</v>
      </c>
      <c r="H11" s="3">
        <v>1.8904318972759</v>
      </c>
      <c r="I11" s="3">
        <v>1.6882466131388001</v>
      </c>
      <c r="J11" s="3">
        <v>1.0082191780822001</v>
      </c>
      <c r="K11" s="3">
        <v>0.97786583810713001</v>
      </c>
      <c r="L11" s="2" t="s">
        <v>363</v>
      </c>
      <c r="M11" s="5"/>
    </row>
    <row r="12" spans="1:13" x14ac:dyDescent="0.2">
      <c r="A12" s="2" t="s">
        <v>19</v>
      </c>
      <c r="B12" s="2" t="s">
        <v>245</v>
      </c>
      <c r="C12" s="2" t="s">
        <v>233</v>
      </c>
      <c r="D12" s="2" t="s">
        <v>234</v>
      </c>
      <c r="E12" s="2" t="s">
        <v>116</v>
      </c>
      <c r="F12" s="3">
        <v>1.125</v>
      </c>
      <c r="G12" s="3">
        <v>87.89</v>
      </c>
      <c r="H12" s="3">
        <v>3.5935407014381999</v>
      </c>
      <c r="I12" s="3">
        <v>3.2837780330178998</v>
      </c>
      <c r="J12" s="3">
        <v>11.268493150685</v>
      </c>
      <c r="K12" s="3">
        <v>9.5101765597172996</v>
      </c>
      <c r="L12" s="2" t="s">
        <v>363</v>
      </c>
      <c r="M12" s="5"/>
    </row>
    <row r="13" spans="1:13" x14ac:dyDescent="0.2">
      <c r="A13" s="2" t="s">
        <v>24</v>
      </c>
      <c r="B13" s="2" t="s">
        <v>246</v>
      </c>
      <c r="C13" s="2" t="s">
        <v>233</v>
      </c>
      <c r="D13" s="2" t="s">
        <v>234</v>
      </c>
      <c r="E13" s="2" t="s">
        <v>117</v>
      </c>
      <c r="F13" s="3">
        <v>1.7250000000000001</v>
      </c>
      <c r="G13" s="3">
        <v>89.8</v>
      </c>
      <c r="H13" s="3">
        <v>4.1861583906483997</v>
      </c>
      <c r="I13" s="3">
        <v>3.7139455678785001</v>
      </c>
      <c r="J13" s="3">
        <v>22.772602739726</v>
      </c>
      <c r="K13" s="3">
        <v>14.770143325404</v>
      </c>
      <c r="L13" s="2" t="s">
        <v>363</v>
      </c>
      <c r="M13" s="5"/>
    </row>
    <row r="14" spans="1:13" x14ac:dyDescent="0.2">
      <c r="A14" s="2" t="s">
        <v>34</v>
      </c>
      <c r="B14" s="2" t="s">
        <v>247</v>
      </c>
      <c r="C14" s="2" t="s">
        <v>233</v>
      </c>
      <c r="D14" s="2" t="s">
        <v>234</v>
      </c>
      <c r="E14" s="2" t="s">
        <v>118</v>
      </c>
      <c r="F14" s="3">
        <v>1.55</v>
      </c>
      <c r="G14" s="3">
        <v>91.49</v>
      </c>
      <c r="H14" s="3">
        <v>3.8962376317082001</v>
      </c>
      <c r="I14" s="3">
        <v>3.4792790903436002</v>
      </c>
      <c r="J14" s="3">
        <v>14.767123287671</v>
      </c>
      <c r="K14" s="3">
        <v>11.273106621502</v>
      </c>
      <c r="L14" s="2" t="s">
        <v>363</v>
      </c>
      <c r="M14" s="5"/>
    </row>
    <row r="15" spans="1:13" x14ac:dyDescent="0.2">
      <c r="A15" s="2" t="s">
        <v>50</v>
      </c>
      <c r="B15" s="2" t="s">
        <v>248</v>
      </c>
      <c r="C15" s="2" t="s">
        <v>233</v>
      </c>
      <c r="D15" s="2" t="s">
        <v>234</v>
      </c>
      <c r="E15" s="2" t="s">
        <v>119</v>
      </c>
      <c r="F15" s="3">
        <v>0</v>
      </c>
      <c r="G15" s="3">
        <v>98.411000000000001</v>
      </c>
      <c r="H15" s="3">
        <v>1.8934087404558999</v>
      </c>
      <c r="I15" s="3">
        <v>1.880738905816</v>
      </c>
      <c r="J15" s="3">
        <v>0.84109589041096</v>
      </c>
      <c r="K15" s="3">
        <v>0.82566548589595001</v>
      </c>
      <c r="L15" s="2" t="s">
        <v>363</v>
      </c>
      <c r="M15" s="5"/>
    </row>
    <row r="16" spans="1:13" x14ac:dyDescent="0.2">
      <c r="A16" s="2" t="s">
        <v>51</v>
      </c>
      <c r="B16" s="2" t="s">
        <v>249</v>
      </c>
      <c r="C16" s="2" t="s">
        <v>233</v>
      </c>
      <c r="D16" s="2" t="s">
        <v>234</v>
      </c>
      <c r="E16" s="2" t="s">
        <v>120</v>
      </c>
      <c r="F16" s="3">
        <v>1.075</v>
      </c>
      <c r="G16" s="3">
        <v>59.8</v>
      </c>
      <c r="H16" s="3">
        <v>4.1222654474992</v>
      </c>
      <c r="I16" s="3">
        <v>3.7242121672546999</v>
      </c>
      <c r="J16" s="3">
        <v>46.789041095889999</v>
      </c>
      <c r="K16" s="3">
        <v>23.126212324101001</v>
      </c>
      <c r="L16" s="2" t="s">
        <v>363</v>
      </c>
      <c r="M16" s="5"/>
    </row>
    <row r="17" spans="1:13" x14ac:dyDescent="0.2">
      <c r="A17" s="2" t="s">
        <v>62</v>
      </c>
      <c r="B17" s="2" t="s">
        <v>250</v>
      </c>
      <c r="C17" s="2" t="s">
        <v>233</v>
      </c>
      <c r="D17" s="2" t="s">
        <v>234</v>
      </c>
      <c r="E17" s="2" t="s">
        <v>121</v>
      </c>
      <c r="F17" s="3">
        <v>1.625</v>
      </c>
      <c r="G17" s="3">
        <v>95.07</v>
      </c>
      <c r="H17" s="3">
        <v>3.7718602830088002</v>
      </c>
      <c r="I17" s="3">
        <v>3.3443497813717</v>
      </c>
      <c r="J17" s="3">
        <v>12.764383561643999</v>
      </c>
      <c r="K17" s="3">
        <v>10.019106969078001</v>
      </c>
      <c r="L17" s="2" t="s">
        <v>363</v>
      </c>
      <c r="M17" s="5"/>
    </row>
    <row r="18" spans="1:13" x14ac:dyDescent="0.2">
      <c r="A18" s="2" t="s">
        <v>58</v>
      </c>
      <c r="B18" s="2" t="s">
        <v>251</v>
      </c>
      <c r="C18" s="2" t="s">
        <v>233</v>
      </c>
      <c r="D18" s="2" t="s">
        <v>234</v>
      </c>
      <c r="E18" s="2" t="s">
        <v>122</v>
      </c>
      <c r="F18" s="3">
        <v>0.55000000000000004</v>
      </c>
      <c r="G18" s="3">
        <v>98.46</v>
      </c>
      <c r="H18" s="3">
        <v>1.9651758710724001</v>
      </c>
      <c r="I18" s="3">
        <v>1.8250259570428999</v>
      </c>
      <c r="J18" s="3">
        <v>1.841095890411</v>
      </c>
      <c r="K18" s="3">
        <v>1.7894349091521999</v>
      </c>
      <c r="L18" s="2" t="s">
        <v>363</v>
      </c>
      <c r="M18" s="5"/>
    </row>
    <row r="19" spans="1:13" x14ac:dyDescent="0.2">
      <c r="A19" s="2" t="s">
        <v>86</v>
      </c>
      <c r="B19" s="2" t="s">
        <v>252</v>
      </c>
      <c r="C19" s="2" t="s">
        <v>233</v>
      </c>
      <c r="D19" s="2" t="s">
        <v>234</v>
      </c>
      <c r="E19" s="2" t="s">
        <v>123</v>
      </c>
      <c r="F19" s="3">
        <v>1.675</v>
      </c>
      <c r="G19" s="3">
        <v>103.36</v>
      </c>
      <c r="H19" s="3">
        <v>2.4930898797405998</v>
      </c>
      <c r="I19" s="3">
        <v>2.0743666655147002</v>
      </c>
      <c r="J19" s="3">
        <v>4.0931506849314996</v>
      </c>
      <c r="K19" s="3">
        <v>3.7239230379918</v>
      </c>
      <c r="L19" s="2" t="s">
        <v>363</v>
      </c>
      <c r="M19" s="5"/>
    </row>
    <row r="20" spans="1:13" x14ac:dyDescent="0.2">
      <c r="A20" s="2" t="s">
        <v>87</v>
      </c>
      <c r="B20" s="2" t="s">
        <v>253</v>
      </c>
      <c r="C20" s="2" t="s">
        <v>233</v>
      </c>
      <c r="D20" s="2" t="s">
        <v>234</v>
      </c>
      <c r="E20" s="2" t="s">
        <v>124</v>
      </c>
      <c r="F20" s="3">
        <v>1.925</v>
      </c>
      <c r="G20" s="3">
        <v>103.96</v>
      </c>
      <c r="H20" s="3">
        <v>3.3648968210550998</v>
      </c>
      <c r="I20" s="3">
        <v>2.8856796169223</v>
      </c>
      <c r="J20" s="3">
        <v>9.0958904109588996</v>
      </c>
      <c r="K20" s="3">
        <v>7.4310525530597999</v>
      </c>
      <c r="L20" s="2" t="s">
        <v>363</v>
      </c>
      <c r="M20" s="5"/>
    </row>
    <row r="21" spans="1:13" x14ac:dyDescent="0.2">
      <c r="A21" s="2" t="s">
        <v>41</v>
      </c>
      <c r="B21" s="2" t="s">
        <v>254</v>
      </c>
      <c r="C21" s="2" t="s">
        <v>233</v>
      </c>
      <c r="D21" s="2" t="s">
        <v>234</v>
      </c>
      <c r="E21" s="2" t="s">
        <v>125</v>
      </c>
      <c r="F21" s="3">
        <v>0.82499999999999996</v>
      </c>
      <c r="G21" s="3">
        <v>94.49</v>
      </c>
      <c r="H21" s="3">
        <v>2.7495708786883002</v>
      </c>
      <c r="I21" s="3">
        <v>2.5292726002860002</v>
      </c>
      <c r="J21" s="3">
        <v>5.5123287671233001</v>
      </c>
      <c r="K21" s="3">
        <v>5.1013126414669996</v>
      </c>
      <c r="L21" s="2" t="s">
        <v>363</v>
      </c>
      <c r="M21" s="5"/>
    </row>
    <row r="22" spans="1:13" x14ac:dyDescent="0.2">
      <c r="A22" s="2" t="s">
        <v>53</v>
      </c>
      <c r="B22" s="2" t="s">
        <v>255</v>
      </c>
      <c r="C22" s="2" t="s">
        <v>233</v>
      </c>
      <c r="D22" s="2" t="s">
        <v>234</v>
      </c>
      <c r="E22" s="2" t="s">
        <v>126</v>
      </c>
      <c r="F22" s="3">
        <v>0.47499999999999998</v>
      </c>
      <c r="G22" s="3">
        <v>88.42</v>
      </c>
      <c r="H22" s="3">
        <v>2.9357160930843</v>
      </c>
      <c r="I22" s="3">
        <v>2.8060700456604</v>
      </c>
      <c r="J22" s="3">
        <v>6.5123287671233001</v>
      </c>
      <c r="K22" s="3">
        <v>6.1034647045870001</v>
      </c>
      <c r="L22" s="2" t="s">
        <v>363</v>
      </c>
      <c r="M22" s="5"/>
    </row>
    <row r="23" spans="1:13" x14ac:dyDescent="0.2">
      <c r="A23" s="2" t="s">
        <v>74</v>
      </c>
      <c r="B23" s="2" t="s">
        <v>256</v>
      </c>
      <c r="C23" s="2" t="s">
        <v>233</v>
      </c>
      <c r="D23" s="2" t="s">
        <v>234</v>
      </c>
      <c r="E23" s="2" t="s">
        <v>127</v>
      </c>
      <c r="F23" s="3">
        <v>1.9</v>
      </c>
      <c r="G23" s="3">
        <v>104.75</v>
      </c>
      <c r="H23" s="3">
        <v>2.2532473848853001</v>
      </c>
      <c r="I23" s="3">
        <v>1.7870115690899</v>
      </c>
      <c r="J23" s="3">
        <v>3.1780821917808</v>
      </c>
      <c r="K23" s="3">
        <v>2.9281493772295999</v>
      </c>
      <c r="L23" s="2" t="s">
        <v>363</v>
      </c>
      <c r="M23" s="5"/>
    </row>
    <row r="24" spans="1:13" x14ac:dyDescent="0.2">
      <c r="A24" s="2" t="s">
        <v>5</v>
      </c>
      <c r="B24" s="2" t="s">
        <v>257</v>
      </c>
      <c r="C24" s="2" t="s">
        <v>233</v>
      </c>
      <c r="D24" s="2" t="s">
        <v>234</v>
      </c>
      <c r="E24" s="2" t="s">
        <v>128</v>
      </c>
      <c r="F24" s="3">
        <v>2.5</v>
      </c>
      <c r="G24" s="3">
        <v>113.24</v>
      </c>
      <c r="H24" s="3">
        <v>3.3399145490864002</v>
      </c>
      <c r="I24" s="3">
        <v>2.7486233633123001</v>
      </c>
      <c r="J24" s="3">
        <v>9.1808219178081991</v>
      </c>
      <c r="K24" s="3">
        <v>7.2488856004722999</v>
      </c>
      <c r="L24" s="2" t="s">
        <v>363</v>
      </c>
      <c r="M24" s="5"/>
    </row>
    <row r="25" spans="1:13" x14ac:dyDescent="0.2">
      <c r="A25" s="2" t="s">
        <v>6</v>
      </c>
      <c r="B25" s="2" t="s">
        <v>258</v>
      </c>
      <c r="C25" s="2" t="s">
        <v>233</v>
      </c>
      <c r="D25" s="2" t="s">
        <v>234</v>
      </c>
      <c r="E25" s="2" t="s">
        <v>129</v>
      </c>
      <c r="F25" s="3">
        <v>2</v>
      </c>
      <c r="G25" s="3">
        <v>104.1</v>
      </c>
      <c r="H25" s="3">
        <v>3.5949647735038002</v>
      </c>
      <c r="I25" s="3">
        <v>3.0992143460560002</v>
      </c>
      <c r="J25" s="3">
        <v>11.687671232876999</v>
      </c>
      <c r="K25" s="3">
        <v>9.0644802870244003</v>
      </c>
      <c r="L25" s="2" t="s">
        <v>363</v>
      </c>
      <c r="M25" s="5"/>
    </row>
    <row r="26" spans="1:13" x14ac:dyDescent="0.2">
      <c r="A26" s="2" t="s">
        <v>7</v>
      </c>
      <c r="B26" s="2" t="s">
        <v>259</v>
      </c>
      <c r="C26" s="2" t="s">
        <v>233</v>
      </c>
      <c r="D26" s="2" t="s">
        <v>234</v>
      </c>
      <c r="E26" s="2" t="s">
        <v>130</v>
      </c>
      <c r="F26" s="3">
        <v>2.5</v>
      </c>
      <c r="G26" s="3">
        <v>112.9</v>
      </c>
      <c r="H26" s="3">
        <v>3.8471674033292</v>
      </c>
      <c r="I26" s="3">
        <v>3.257298813257</v>
      </c>
      <c r="J26" s="3">
        <v>14.183561643836001</v>
      </c>
      <c r="K26" s="3">
        <v>10.053138208567001</v>
      </c>
      <c r="L26" s="2" t="s">
        <v>363</v>
      </c>
      <c r="M26" s="5"/>
    </row>
    <row r="27" spans="1:13" x14ac:dyDescent="0.2">
      <c r="A27" s="2" t="s">
        <v>20</v>
      </c>
      <c r="B27" s="2" t="s">
        <v>260</v>
      </c>
      <c r="C27" s="2" t="s">
        <v>233</v>
      </c>
      <c r="D27" s="2" t="s">
        <v>234</v>
      </c>
      <c r="E27" s="2" t="s">
        <v>131</v>
      </c>
      <c r="F27" s="3">
        <v>0.625</v>
      </c>
      <c r="G27" s="3">
        <v>99</v>
      </c>
      <c r="H27" s="3">
        <v>1.933358624654</v>
      </c>
      <c r="I27" s="3">
        <v>1.7747592091080999</v>
      </c>
      <c r="J27" s="3">
        <v>1.5095890410959001</v>
      </c>
      <c r="K27" s="3">
        <v>1.4626120311162001</v>
      </c>
      <c r="L27" s="2" t="s">
        <v>363</v>
      </c>
      <c r="M27" s="5"/>
    </row>
    <row r="28" spans="1:13" x14ac:dyDescent="0.2">
      <c r="A28" s="2" t="s">
        <v>28</v>
      </c>
      <c r="B28" s="2" t="s">
        <v>261</v>
      </c>
      <c r="C28" s="2" t="s">
        <v>233</v>
      </c>
      <c r="D28" s="2" t="s">
        <v>234</v>
      </c>
      <c r="E28" s="2" t="s">
        <v>132</v>
      </c>
      <c r="F28" s="3">
        <v>1.4</v>
      </c>
      <c r="G28" s="3">
        <v>101.88</v>
      </c>
      <c r="H28" s="3">
        <v>2.2496745907831999</v>
      </c>
      <c r="I28" s="3">
        <v>1.8956283565951999</v>
      </c>
      <c r="J28" s="3">
        <v>3.5123287671233001</v>
      </c>
      <c r="K28" s="3">
        <v>3.2532535200210999</v>
      </c>
      <c r="L28" s="2" t="s">
        <v>363</v>
      </c>
      <c r="M28" s="5"/>
    </row>
    <row r="29" spans="1:13" x14ac:dyDescent="0.2">
      <c r="A29" s="2" t="s">
        <v>43</v>
      </c>
      <c r="B29" s="2" t="s">
        <v>262</v>
      </c>
      <c r="C29" s="2" t="s">
        <v>233</v>
      </c>
      <c r="D29" s="2" t="s">
        <v>234</v>
      </c>
      <c r="E29" s="2" t="s">
        <v>133</v>
      </c>
      <c r="F29" s="3">
        <v>0.25</v>
      </c>
      <c r="G29" s="3">
        <v>99.08</v>
      </c>
      <c r="H29" s="3">
        <v>1.8367146931220999</v>
      </c>
      <c r="I29" s="3">
        <v>1.7666975486131</v>
      </c>
      <c r="J29" s="3">
        <v>0.67945205479451998</v>
      </c>
      <c r="K29" s="3">
        <v>0.66877692587116999</v>
      </c>
      <c r="L29" s="2" t="s">
        <v>363</v>
      </c>
      <c r="M29" s="5"/>
    </row>
    <row r="30" spans="1:13" x14ac:dyDescent="0.2">
      <c r="A30" s="2" t="s">
        <v>54</v>
      </c>
      <c r="B30" s="2" t="s">
        <v>263</v>
      </c>
      <c r="C30" s="2" t="s">
        <v>233</v>
      </c>
      <c r="D30" s="2" t="s">
        <v>234</v>
      </c>
      <c r="E30" s="2" t="s">
        <v>134</v>
      </c>
      <c r="F30" s="3">
        <v>0</v>
      </c>
      <c r="G30" s="3">
        <v>97.88</v>
      </c>
      <c r="H30" s="3">
        <v>1.8312288313041001</v>
      </c>
      <c r="I30" s="3">
        <v>1.8291127895676</v>
      </c>
      <c r="J30" s="3">
        <v>1.1753424657534</v>
      </c>
      <c r="K30" s="3">
        <v>1.1595872222699</v>
      </c>
      <c r="L30" s="2" t="s">
        <v>363</v>
      </c>
      <c r="M30" s="5"/>
    </row>
    <row r="31" spans="1:13" x14ac:dyDescent="0.2">
      <c r="A31" s="2" t="s">
        <v>92</v>
      </c>
      <c r="B31" s="2" t="s">
        <v>264</v>
      </c>
      <c r="C31" s="2" t="s">
        <v>233</v>
      </c>
      <c r="D31" s="2" t="s">
        <v>234</v>
      </c>
      <c r="E31" s="2" t="s">
        <v>135</v>
      </c>
      <c r="F31" s="3">
        <v>1.925</v>
      </c>
      <c r="G31" s="3">
        <v>103.37</v>
      </c>
      <c r="H31" s="3">
        <v>3.4637309924377</v>
      </c>
      <c r="I31" s="3">
        <v>2.9846463160100001</v>
      </c>
      <c r="J31" s="3">
        <v>9.6849315068492992</v>
      </c>
      <c r="K31" s="3">
        <v>7.8388109462477003</v>
      </c>
      <c r="L31" s="2" t="s">
        <v>363</v>
      </c>
      <c r="M31" s="5"/>
    </row>
    <row r="32" spans="1:13" x14ac:dyDescent="0.2">
      <c r="A32" s="2" t="s">
        <v>8</v>
      </c>
      <c r="B32" s="2" t="s">
        <v>265</v>
      </c>
      <c r="C32" s="2" t="s">
        <v>233</v>
      </c>
      <c r="D32" s="2" t="s">
        <v>234</v>
      </c>
      <c r="E32" s="2" t="s">
        <v>136</v>
      </c>
      <c r="F32" s="3">
        <v>2.5</v>
      </c>
      <c r="G32" s="3">
        <v>112.54</v>
      </c>
      <c r="H32" s="3">
        <v>3.9348283565591999</v>
      </c>
      <c r="I32" s="3">
        <v>3.3424868587179</v>
      </c>
      <c r="J32" s="3">
        <v>15.271232876712</v>
      </c>
      <c r="K32" s="3">
        <v>10.615333029261</v>
      </c>
      <c r="L32" s="2" t="s">
        <v>363</v>
      </c>
      <c r="M32" s="5"/>
    </row>
    <row r="33" spans="1:13" x14ac:dyDescent="0.2">
      <c r="A33" s="2" t="s">
        <v>9</v>
      </c>
      <c r="B33" s="2" t="s">
        <v>266</v>
      </c>
      <c r="C33" s="2" t="s">
        <v>233</v>
      </c>
      <c r="D33" s="2" t="s">
        <v>234</v>
      </c>
      <c r="E33" s="2" t="s">
        <v>137</v>
      </c>
      <c r="F33" s="3">
        <v>2.25</v>
      </c>
      <c r="G33" s="3">
        <v>101.88</v>
      </c>
      <c r="H33" s="3">
        <v>1.9614064700631999</v>
      </c>
      <c r="I33" s="3">
        <v>1.4146197812412999</v>
      </c>
      <c r="J33" s="3">
        <v>0.75616438356163995</v>
      </c>
      <c r="K33" s="3">
        <v>0.73384727904331004</v>
      </c>
      <c r="L33" s="2" t="s">
        <v>363</v>
      </c>
      <c r="M33" s="5"/>
    </row>
    <row r="34" spans="1:13" x14ac:dyDescent="0.2">
      <c r="A34" s="2" t="s">
        <v>13</v>
      </c>
      <c r="B34" s="2" t="s">
        <v>267</v>
      </c>
      <c r="C34" s="2" t="s">
        <v>233</v>
      </c>
      <c r="D34" s="2" t="s">
        <v>234</v>
      </c>
      <c r="E34" s="2" t="s">
        <v>138</v>
      </c>
      <c r="F34" s="3">
        <v>1.625</v>
      </c>
      <c r="G34" s="3">
        <v>87.99</v>
      </c>
      <c r="H34" s="3">
        <v>4.1398780731534996</v>
      </c>
      <c r="I34" s="3">
        <v>3.6911487254272002</v>
      </c>
      <c r="J34" s="3">
        <v>21.273972602739999</v>
      </c>
      <c r="K34" s="3">
        <v>14.356651995975</v>
      </c>
      <c r="L34" s="2" t="s">
        <v>363</v>
      </c>
      <c r="M34" s="5"/>
    </row>
    <row r="35" spans="1:13" x14ac:dyDescent="0.2">
      <c r="A35" s="2" t="s">
        <v>16</v>
      </c>
      <c r="B35" s="2" t="s">
        <v>268</v>
      </c>
      <c r="C35" s="2" t="s">
        <v>233</v>
      </c>
      <c r="D35" s="2" t="s">
        <v>234</v>
      </c>
      <c r="E35" s="2" t="s">
        <v>139</v>
      </c>
      <c r="F35" s="3">
        <v>1</v>
      </c>
      <c r="G35" s="3">
        <v>100.05500000000001</v>
      </c>
      <c r="H35" s="3">
        <v>1.85981267093</v>
      </c>
      <c r="I35" s="3">
        <v>1.6140477501038999</v>
      </c>
      <c r="J35" s="3">
        <v>0.50958904109588998</v>
      </c>
      <c r="K35" s="3">
        <v>0.49552633856747003</v>
      </c>
      <c r="L35" s="2" t="s">
        <v>363</v>
      </c>
      <c r="M35" s="5"/>
    </row>
    <row r="36" spans="1:13" x14ac:dyDescent="0.2">
      <c r="A36" s="2" t="s">
        <v>21</v>
      </c>
      <c r="B36" s="2" t="s">
        <v>269</v>
      </c>
      <c r="C36" s="2" t="s">
        <v>233</v>
      </c>
      <c r="D36" s="2" t="s">
        <v>234</v>
      </c>
      <c r="E36" s="2" t="s">
        <v>140</v>
      </c>
      <c r="F36" s="3">
        <v>1.4</v>
      </c>
      <c r="G36" s="3">
        <v>71.59</v>
      </c>
      <c r="H36" s="3">
        <v>4.3043396431158003</v>
      </c>
      <c r="I36" s="3">
        <v>3.849243824457</v>
      </c>
      <c r="J36" s="3">
        <v>41.783561643836002</v>
      </c>
      <c r="K36" s="3">
        <v>20.578452351789998</v>
      </c>
      <c r="L36" s="2" t="s">
        <v>363</v>
      </c>
      <c r="M36" s="5"/>
    </row>
    <row r="37" spans="1:13" x14ac:dyDescent="0.2">
      <c r="A37" s="2" t="s">
        <v>22</v>
      </c>
      <c r="B37" s="2" t="s">
        <v>270</v>
      </c>
      <c r="C37" s="2" t="s">
        <v>233</v>
      </c>
      <c r="D37" s="2" t="s">
        <v>234</v>
      </c>
      <c r="E37" s="2" t="s">
        <v>141</v>
      </c>
      <c r="F37" s="3">
        <v>1.2250000000000001</v>
      </c>
      <c r="G37" s="3">
        <v>94.78</v>
      </c>
      <c r="H37" s="3">
        <v>3.1953723441480002</v>
      </c>
      <c r="I37" s="3">
        <v>2.8710294782617001</v>
      </c>
      <c r="J37" s="3">
        <v>8.2657534246575004</v>
      </c>
      <c r="K37" s="3">
        <v>7.2316614695904997</v>
      </c>
      <c r="L37" s="2" t="s">
        <v>363</v>
      </c>
      <c r="M37" s="5"/>
    </row>
    <row r="38" spans="1:13" x14ac:dyDescent="0.2">
      <c r="A38" s="2" t="s">
        <v>26</v>
      </c>
      <c r="B38" s="2" t="s">
        <v>271</v>
      </c>
      <c r="C38" s="2" t="s">
        <v>233</v>
      </c>
      <c r="D38" s="2" t="s">
        <v>234</v>
      </c>
      <c r="E38" s="2" t="s">
        <v>142</v>
      </c>
      <c r="F38" s="3">
        <v>1.4750000000000001</v>
      </c>
      <c r="G38" s="3">
        <v>91.82</v>
      </c>
      <c r="H38" s="3">
        <v>3.7696296813651999</v>
      </c>
      <c r="I38" s="3">
        <v>3.3747288738705001</v>
      </c>
      <c r="J38" s="3">
        <v>13.268493150685</v>
      </c>
      <c r="K38" s="3">
        <v>10.481426007791001</v>
      </c>
      <c r="L38" s="2" t="s">
        <v>363</v>
      </c>
      <c r="M38" s="5"/>
    </row>
    <row r="39" spans="1:13" x14ac:dyDescent="0.2">
      <c r="A39" s="2" t="s">
        <v>30</v>
      </c>
      <c r="B39" s="2" t="s">
        <v>272</v>
      </c>
      <c r="C39" s="2" t="s">
        <v>233</v>
      </c>
      <c r="D39" s="2" t="s">
        <v>234</v>
      </c>
      <c r="E39" s="2" t="s">
        <v>143</v>
      </c>
      <c r="F39" s="3">
        <v>1.675</v>
      </c>
      <c r="G39" s="3">
        <v>99.67</v>
      </c>
      <c r="H39" s="3">
        <v>3.4168132321621001</v>
      </c>
      <c r="I39" s="3">
        <v>2.9888998752234999</v>
      </c>
      <c r="J39" s="3">
        <v>9.7616438356164004</v>
      </c>
      <c r="K39" s="3">
        <v>8.0627674979374007</v>
      </c>
      <c r="L39" s="2" t="s">
        <v>363</v>
      </c>
      <c r="M39" s="5"/>
    </row>
    <row r="40" spans="1:13" x14ac:dyDescent="0.2">
      <c r="A40" s="2" t="s">
        <v>31</v>
      </c>
      <c r="B40" s="2" t="s">
        <v>273</v>
      </c>
      <c r="C40" s="2" t="s">
        <v>233</v>
      </c>
      <c r="D40" s="2" t="s">
        <v>234</v>
      </c>
      <c r="E40" s="2" t="s">
        <v>144</v>
      </c>
      <c r="F40" s="3">
        <v>1.925</v>
      </c>
      <c r="G40" s="3">
        <v>95.11</v>
      </c>
      <c r="H40" s="3">
        <v>4.2123226005483003</v>
      </c>
      <c r="I40" s="3">
        <v>3.7050581348076999</v>
      </c>
      <c r="J40" s="3">
        <v>24.276712328767001</v>
      </c>
      <c r="K40" s="3">
        <v>14.974488514876001</v>
      </c>
      <c r="L40" s="2" t="s">
        <v>363</v>
      </c>
      <c r="M40" s="5"/>
    </row>
    <row r="41" spans="1:13" x14ac:dyDescent="0.2">
      <c r="A41" s="2" t="s">
        <v>35</v>
      </c>
      <c r="B41" s="2" t="s">
        <v>274</v>
      </c>
      <c r="C41" s="2" t="s">
        <v>233</v>
      </c>
      <c r="D41" s="2" t="s">
        <v>234</v>
      </c>
      <c r="E41" s="2" t="s">
        <v>145</v>
      </c>
      <c r="F41" s="3">
        <v>0.67500000000000004</v>
      </c>
      <c r="G41" s="3">
        <v>94.56</v>
      </c>
      <c r="H41" s="3">
        <v>2.5663495046403999</v>
      </c>
      <c r="I41" s="3">
        <v>2.3901799167742999</v>
      </c>
      <c r="J41" s="3">
        <v>4.8438356164384002</v>
      </c>
      <c r="K41" s="3">
        <v>4.5728769663572004</v>
      </c>
      <c r="L41" s="2" t="s">
        <v>363</v>
      </c>
      <c r="M41" s="5"/>
    </row>
    <row r="42" spans="1:13" x14ac:dyDescent="0.2">
      <c r="A42" s="2" t="s">
        <v>37</v>
      </c>
      <c r="B42" s="2" t="s">
        <v>275</v>
      </c>
      <c r="C42" s="2" t="s">
        <v>233</v>
      </c>
      <c r="D42" s="2" t="s">
        <v>234</v>
      </c>
      <c r="E42" s="2" t="s">
        <v>146</v>
      </c>
      <c r="F42" s="3">
        <v>1.2250000000000001</v>
      </c>
      <c r="G42" s="3">
        <v>73.25</v>
      </c>
      <c r="H42" s="3">
        <v>4.2137468773017002</v>
      </c>
      <c r="I42" s="3">
        <v>3.8321678669626</v>
      </c>
      <c r="J42" s="3">
        <v>25.276712328767001</v>
      </c>
      <c r="K42" s="3">
        <v>16.875132213513002</v>
      </c>
      <c r="L42" s="2" t="s">
        <v>363</v>
      </c>
      <c r="M42" s="5"/>
    </row>
    <row r="43" spans="1:13" x14ac:dyDescent="0.2">
      <c r="A43" s="2" t="s">
        <v>46</v>
      </c>
      <c r="B43" s="2" t="s">
        <v>276</v>
      </c>
      <c r="C43" s="2" t="s">
        <v>233</v>
      </c>
      <c r="D43" s="2" t="s">
        <v>234</v>
      </c>
      <c r="E43" s="2" t="s">
        <v>147</v>
      </c>
      <c r="F43" s="3">
        <v>0.85</v>
      </c>
      <c r="G43" s="3">
        <v>61.54</v>
      </c>
      <c r="H43" s="3">
        <v>4.1464433719614</v>
      </c>
      <c r="I43" s="3">
        <v>3.8511040988754002</v>
      </c>
      <c r="J43" s="3">
        <v>26.276712328767001</v>
      </c>
      <c r="K43" s="3">
        <v>18.674762927562998</v>
      </c>
      <c r="L43" s="2" t="s">
        <v>363</v>
      </c>
      <c r="M43" s="5"/>
    </row>
    <row r="44" spans="1:13" x14ac:dyDescent="0.2">
      <c r="A44" s="2" t="s">
        <v>68</v>
      </c>
      <c r="B44" s="2" t="s">
        <v>277</v>
      </c>
      <c r="C44" s="2" t="s">
        <v>233</v>
      </c>
      <c r="D44" s="2" t="s">
        <v>234</v>
      </c>
      <c r="E44" s="2" t="s">
        <v>148</v>
      </c>
      <c r="F44" s="3">
        <v>2.2250000000000001</v>
      </c>
      <c r="G44" s="3">
        <v>104.89</v>
      </c>
      <c r="H44" s="3">
        <v>4.1057370579872998</v>
      </c>
      <c r="I44" s="3">
        <v>3.5548648811160999</v>
      </c>
      <c r="J44" s="3">
        <v>18.271232876711998</v>
      </c>
      <c r="K44" s="3">
        <v>12.215287195051999</v>
      </c>
      <c r="L44" s="2" t="s">
        <v>363</v>
      </c>
      <c r="M44" s="5"/>
    </row>
    <row r="45" spans="1:13" x14ac:dyDescent="0.2">
      <c r="A45" s="2" t="s">
        <v>77</v>
      </c>
      <c r="B45" s="2" t="s">
        <v>278</v>
      </c>
      <c r="C45" s="2" t="s">
        <v>233</v>
      </c>
      <c r="D45" s="2" t="s">
        <v>234</v>
      </c>
      <c r="E45" s="2" t="s">
        <v>149</v>
      </c>
      <c r="F45" s="3">
        <v>2.1</v>
      </c>
      <c r="G45" s="3">
        <v>106.89</v>
      </c>
      <c r="H45" s="3">
        <v>3.3130682238992</v>
      </c>
      <c r="I45" s="3">
        <v>2.8007411944322</v>
      </c>
      <c r="J45" s="3">
        <v>8.7616438356164004</v>
      </c>
      <c r="K45" s="3">
        <v>7.1678827461286003</v>
      </c>
      <c r="L45" s="2" t="s">
        <v>363</v>
      </c>
      <c r="M45" s="5"/>
    </row>
    <row r="46" spans="1:13" x14ac:dyDescent="0.2">
      <c r="A46" s="2" t="s">
        <v>45</v>
      </c>
      <c r="B46" s="2" t="s">
        <v>279</v>
      </c>
      <c r="C46" s="2" t="s">
        <v>233</v>
      </c>
      <c r="D46" s="2" t="s">
        <v>234</v>
      </c>
      <c r="E46" s="2" t="s">
        <v>150</v>
      </c>
      <c r="F46" s="3">
        <v>0.45</v>
      </c>
      <c r="G46" s="3">
        <v>89.8</v>
      </c>
      <c r="H46" s="3">
        <v>2.8236432931612998</v>
      </c>
      <c r="I46" s="3">
        <v>2.7026495684833001</v>
      </c>
      <c r="J46" s="3">
        <v>5.8438356164384002</v>
      </c>
      <c r="K46" s="3">
        <v>5.5314560678325</v>
      </c>
      <c r="L46" s="2" t="s">
        <v>363</v>
      </c>
      <c r="M46" s="5"/>
    </row>
    <row r="47" spans="1:13" x14ac:dyDescent="0.2">
      <c r="A47" s="2" t="s">
        <v>55</v>
      </c>
      <c r="B47" s="2" t="s">
        <v>280</v>
      </c>
      <c r="C47" s="2" t="s">
        <v>233</v>
      </c>
      <c r="D47" s="2" t="s">
        <v>234</v>
      </c>
      <c r="E47" s="2" t="s">
        <v>151</v>
      </c>
      <c r="F47" s="3">
        <v>0.47499999999999998</v>
      </c>
      <c r="G47" s="3">
        <v>87.15</v>
      </c>
      <c r="H47" s="3">
        <v>3.0164838355448</v>
      </c>
      <c r="I47" s="3">
        <v>2.8768852420197999</v>
      </c>
      <c r="J47" s="3">
        <v>7.0136986301370001</v>
      </c>
      <c r="K47" s="3">
        <v>6.5488935510586996</v>
      </c>
      <c r="L47" s="2" t="s">
        <v>363</v>
      </c>
      <c r="M47" s="5"/>
    </row>
    <row r="48" spans="1:13" x14ac:dyDescent="0.2">
      <c r="A48" s="2" t="s">
        <v>65</v>
      </c>
      <c r="B48" s="2" t="s">
        <v>281</v>
      </c>
      <c r="C48" s="2" t="s">
        <v>233</v>
      </c>
      <c r="D48" s="2" t="s">
        <v>234</v>
      </c>
      <c r="E48" s="2" t="s">
        <v>152</v>
      </c>
      <c r="F48" s="3">
        <v>2.2000000000000002</v>
      </c>
      <c r="G48" s="3">
        <v>108.6</v>
      </c>
      <c r="H48" s="3">
        <v>3.1856483087010998</v>
      </c>
      <c r="I48" s="3">
        <v>2.6544263853731001</v>
      </c>
      <c r="J48" s="3">
        <v>7.9287671232876997</v>
      </c>
      <c r="K48" s="3">
        <v>6.6078145980452003</v>
      </c>
      <c r="L48" s="2" t="s">
        <v>363</v>
      </c>
      <c r="M48" s="5"/>
    </row>
    <row r="49" spans="1:13" x14ac:dyDescent="0.2">
      <c r="A49" s="2" t="s">
        <v>0</v>
      </c>
      <c r="B49" s="2" t="s">
        <v>282</v>
      </c>
      <c r="C49" s="2" t="s">
        <v>233</v>
      </c>
      <c r="D49" s="2" t="s">
        <v>234</v>
      </c>
      <c r="E49" s="2" t="s">
        <v>153</v>
      </c>
      <c r="F49" s="3">
        <v>3.625</v>
      </c>
      <c r="G49" s="3">
        <v>107.52</v>
      </c>
      <c r="H49" s="3">
        <v>1.8712040955002001</v>
      </c>
      <c r="I49" s="3">
        <v>1.0059637226103</v>
      </c>
      <c r="J49" s="3">
        <v>1.4273972602739999</v>
      </c>
      <c r="K49" s="3">
        <v>1.3551569560125001</v>
      </c>
      <c r="L49" s="2" t="s">
        <v>363</v>
      </c>
      <c r="M49" s="5"/>
    </row>
    <row r="50" spans="1:13" x14ac:dyDescent="0.2">
      <c r="A50" s="2" t="s">
        <v>1</v>
      </c>
      <c r="B50" s="2" t="s">
        <v>283</v>
      </c>
      <c r="C50" s="2" t="s">
        <v>233</v>
      </c>
      <c r="D50" s="2" t="s">
        <v>234</v>
      </c>
      <c r="E50" s="2" t="s">
        <v>154</v>
      </c>
      <c r="F50" s="3">
        <v>3.25</v>
      </c>
      <c r="G50" s="3">
        <v>110.43</v>
      </c>
      <c r="H50" s="3">
        <v>2.0724455161014999</v>
      </c>
      <c r="I50" s="3">
        <v>1.3038561154762001</v>
      </c>
      <c r="J50" s="3">
        <v>2.4273972602740002</v>
      </c>
      <c r="K50" s="3">
        <v>2.2376854022243999</v>
      </c>
      <c r="L50" s="2" t="s">
        <v>363</v>
      </c>
      <c r="M50" s="5"/>
    </row>
    <row r="51" spans="1:13" x14ac:dyDescent="0.2">
      <c r="A51" s="2" t="s">
        <v>2</v>
      </c>
      <c r="B51" s="2" t="s">
        <v>284</v>
      </c>
      <c r="C51" s="2" t="s">
        <v>233</v>
      </c>
      <c r="D51" s="2" t="s">
        <v>234</v>
      </c>
      <c r="E51" s="2" t="s">
        <v>155</v>
      </c>
      <c r="F51" s="3">
        <v>2.625</v>
      </c>
      <c r="G51" s="3">
        <v>111.79</v>
      </c>
      <c r="H51" s="3">
        <v>2.4338642752460999</v>
      </c>
      <c r="I51" s="3">
        <v>1.8131719608364001</v>
      </c>
      <c r="J51" s="3">
        <v>4.4301369863013997</v>
      </c>
      <c r="K51" s="3">
        <v>3.9290461027093002</v>
      </c>
      <c r="L51" s="2" t="s">
        <v>363</v>
      </c>
      <c r="M51" s="5"/>
    </row>
    <row r="52" spans="1:13" x14ac:dyDescent="0.2">
      <c r="A52" s="2" t="s">
        <v>3</v>
      </c>
      <c r="B52" s="2" t="s">
        <v>285</v>
      </c>
      <c r="C52" s="2" t="s">
        <v>233</v>
      </c>
      <c r="D52" s="2" t="s">
        <v>234</v>
      </c>
      <c r="E52" s="2" t="s">
        <v>156</v>
      </c>
      <c r="F52" s="3">
        <v>3</v>
      </c>
      <c r="G52" s="3">
        <v>117.54</v>
      </c>
      <c r="H52" s="3">
        <v>2.7851200883131999</v>
      </c>
      <c r="I52" s="3">
        <v>2.0954568371845999</v>
      </c>
      <c r="J52" s="3">
        <v>5.9260273972602997</v>
      </c>
      <c r="K52" s="3">
        <v>4.9972694071503003</v>
      </c>
      <c r="L52" s="2" t="s">
        <v>363</v>
      </c>
      <c r="M52" s="5"/>
    </row>
    <row r="53" spans="1:13" x14ac:dyDescent="0.2">
      <c r="A53" s="2" t="s">
        <v>14</v>
      </c>
      <c r="B53" s="2" t="s">
        <v>286</v>
      </c>
      <c r="C53" s="2" t="s">
        <v>233</v>
      </c>
      <c r="D53" s="2" t="s">
        <v>234</v>
      </c>
      <c r="E53" s="2" t="s">
        <v>157</v>
      </c>
      <c r="F53" s="3">
        <v>0.75</v>
      </c>
      <c r="G53" s="3">
        <v>99.989000000000004</v>
      </c>
      <c r="H53" s="3">
        <v>2.0872333223739998</v>
      </c>
      <c r="I53" s="3">
        <v>1.9514196028224</v>
      </c>
      <c r="J53" s="3">
        <v>8.2191780821918008E-3</v>
      </c>
      <c r="K53" s="3">
        <v>1.0734901981423999E-2</v>
      </c>
      <c r="L53" s="2" t="s">
        <v>363</v>
      </c>
      <c r="M53" s="5"/>
    </row>
    <row r="54" spans="1:13" x14ac:dyDescent="0.2">
      <c r="A54" s="2" t="s">
        <v>39</v>
      </c>
      <c r="B54" s="2" t="s">
        <v>287</v>
      </c>
      <c r="C54" s="2" t="s">
        <v>233</v>
      </c>
      <c r="D54" s="2" t="s">
        <v>234</v>
      </c>
      <c r="E54" s="2" t="s">
        <v>158</v>
      </c>
      <c r="F54" s="3">
        <v>0.47499999999999998</v>
      </c>
      <c r="G54" s="3">
        <v>91.74</v>
      </c>
      <c r="H54" s="3">
        <v>2.6858693728802998</v>
      </c>
      <c r="I54" s="3">
        <v>2.5545404892135002</v>
      </c>
      <c r="J54" s="3">
        <v>5.1780821917808</v>
      </c>
      <c r="K54" s="3">
        <v>4.9104607269041001</v>
      </c>
      <c r="L54" s="2" t="s">
        <v>363</v>
      </c>
      <c r="M54" s="5"/>
    </row>
    <row r="55" spans="1:13" x14ac:dyDescent="0.2">
      <c r="A55" s="2" t="s">
        <v>72</v>
      </c>
      <c r="B55" s="2" t="s">
        <v>288</v>
      </c>
      <c r="C55" s="2" t="s">
        <v>233</v>
      </c>
      <c r="D55" s="2" t="s">
        <v>234</v>
      </c>
      <c r="E55" s="2" t="s">
        <v>159</v>
      </c>
      <c r="F55" s="3">
        <v>2.1749999999999998</v>
      </c>
      <c r="G55" s="3">
        <v>108.12</v>
      </c>
      <c r="H55" s="3">
        <v>3.0393076540569002</v>
      </c>
      <c r="I55" s="3">
        <v>2.5359738690607001</v>
      </c>
      <c r="J55" s="3">
        <v>8.4328767123288007</v>
      </c>
      <c r="K55" s="3">
        <v>6.9770574274569999</v>
      </c>
      <c r="L55" s="2" t="s">
        <v>363</v>
      </c>
      <c r="M55" s="5"/>
    </row>
    <row r="56" spans="1:13" x14ac:dyDescent="0.2">
      <c r="A56" s="2" t="s">
        <v>160</v>
      </c>
      <c r="B56" s="2" t="s">
        <v>289</v>
      </c>
      <c r="C56" s="2" t="s">
        <v>233</v>
      </c>
      <c r="D56" s="2" t="s">
        <v>234</v>
      </c>
      <c r="E56" s="2" t="s">
        <v>161</v>
      </c>
      <c r="F56" s="3">
        <v>1.4951000000000001</v>
      </c>
      <c r="G56" s="3">
        <v>100.65</v>
      </c>
      <c r="H56" s="3">
        <v>3.5530989686184999</v>
      </c>
      <c r="I56" s="3">
        <v>3.0977203535998998</v>
      </c>
      <c r="J56" s="3">
        <v>10.347945205479</v>
      </c>
      <c r="K56" s="3">
        <v>8.4156885570324</v>
      </c>
      <c r="L56" s="2" t="s">
        <v>363</v>
      </c>
      <c r="M56" s="5"/>
    </row>
    <row r="57" spans="1:13" x14ac:dyDescent="0.2">
      <c r="A57" s="2" t="s">
        <v>93</v>
      </c>
      <c r="B57" s="2" t="s">
        <v>290</v>
      </c>
      <c r="C57" s="2" t="s">
        <v>233</v>
      </c>
      <c r="D57" s="2" t="s">
        <v>234</v>
      </c>
      <c r="E57" s="2" t="s">
        <v>162</v>
      </c>
      <c r="F57" s="3">
        <v>1.5</v>
      </c>
      <c r="G57" s="3">
        <v>101.9</v>
      </c>
      <c r="H57" s="3">
        <v>2.5483754774055001</v>
      </c>
      <c r="I57" s="3">
        <v>2.1675092193710999</v>
      </c>
      <c r="J57" s="3">
        <v>4.3452054794519999</v>
      </c>
      <c r="K57" s="3">
        <v>3.9894719939946999</v>
      </c>
      <c r="L57" s="2" t="s">
        <v>363</v>
      </c>
      <c r="M57" s="5"/>
    </row>
    <row r="58" spans="1:13" x14ac:dyDescent="0.2">
      <c r="A58" s="2" t="s">
        <v>80</v>
      </c>
      <c r="B58" s="2" t="s">
        <v>291</v>
      </c>
      <c r="C58" s="2" t="s">
        <v>233</v>
      </c>
      <c r="D58" s="2" t="s">
        <v>234</v>
      </c>
      <c r="E58" s="2" t="s">
        <v>163</v>
      </c>
      <c r="F58" s="3">
        <v>2.0499999999999998</v>
      </c>
      <c r="G58" s="3">
        <v>106.02</v>
      </c>
      <c r="H58" s="3">
        <v>2.3901500435065</v>
      </c>
      <c r="I58" s="3">
        <v>1.8642760599035999</v>
      </c>
      <c r="J58" s="3">
        <v>3.6821917808219</v>
      </c>
      <c r="K58" s="3">
        <v>3.3418413906865001</v>
      </c>
      <c r="L58" s="2" t="s">
        <v>363</v>
      </c>
      <c r="M58" s="5"/>
    </row>
    <row r="59" spans="1:13" x14ac:dyDescent="0.2">
      <c r="A59" s="2" t="s">
        <v>100</v>
      </c>
      <c r="B59" s="2" t="s">
        <v>292</v>
      </c>
      <c r="C59" s="2" t="s">
        <v>233</v>
      </c>
      <c r="D59" s="2" t="s">
        <v>234</v>
      </c>
      <c r="E59" s="2" t="s">
        <v>164</v>
      </c>
      <c r="F59" s="3">
        <v>0.97789999999999999</v>
      </c>
      <c r="G59" s="3">
        <v>101.18</v>
      </c>
      <c r="H59" s="3">
        <v>2.7171132085453999</v>
      </c>
      <c r="I59" s="3">
        <v>2.3464655094995002</v>
      </c>
      <c r="J59" s="3">
        <v>5.0931506849314996</v>
      </c>
      <c r="K59" s="3">
        <v>4.6110258106483997</v>
      </c>
      <c r="L59" s="2" t="s">
        <v>363</v>
      </c>
      <c r="M59" s="5"/>
    </row>
    <row r="60" spans="1:13" x14ac:dyDescent="0.2">
      <c r="A60" s="2" t="s">
        <v>60</v>
      </c>
      <c r="B60" s="2" t="s">
        <v>293</v>
      </c>
      <c r="C60" s="2" t="s">
        <v>233</v>
      </c>
      <c r="D60" s="2" t="s">
        <v>234</v>
      </c>
      <c r="E60" s="2" t="s">
        <v>165</v>
      </c>
      <c r="F60" s="3">
        <v>1.25</v>
      </c>
      <c r="G60" s="3">
        <v>96.14</v>
      </c>
      <c r="H60" s="3">
        <v>3.1005427833459001</v>
      </c>
      <c r="I60" s="3">
        <v>2.7530999833619001</v>
      </c>
      <c r="J60" s="3">
        <v>7.5150684931507001</v>
      </c>
      <c r="K60" s="3">
        <v>6.5919709492727998</v>
      </c>
      <c r="L60" s="2" t="s">
        <v>363</v>
      </c>
      <c r="M60" s="5"/>
    </row>
    <row r="61" spans="1:13" x14ac:dyDescent="0.2">
      <c r="A61" s="2" t="s">
        <v>25</v>
      </c>
      <c r="B61" s="2" t="s">
        <v>294</v>
      </c>
      <c r="C61" s="2" t="s">
        <v>233</v>
      </c>
      <c r="D61" s="2" t="s">
        <v>234</v>
      </c>
      <c r="E61" s="2" t="s">
        <v>166</v>
      </c>
      <c r="F61" s="3">
        <v>1.0249999999999999</v>
      </c>
      <c r="G61" s="3">
        <v>100.15</v>
      </c>
      <c r="H61" s="3">
        <v>1.9872348130187001</v>
      </c>
      <c r="I61" s="3">
        <v>1.7194042502652001</v>
      </c>
      <c r="J61" s="3">
        <v>2.1753424657534</v>
      </c>
      <c r="K61" s="3">
        <v>2.0865078039116001</v>
      </c>
      <c r="L61" s="2" t="s">
        <v>363</v>
      </c>
      <c r="M61" s="5"/>
    </row>
    <row r="62" spans="1:13" x14ac:dyDescent="0.2">
      <c r="A62" s="2" t="s">
        <v>63</v>
      </c>
      <c r="B62" s="2" t="s">
        <v>295</v>
      </c>
      <c r="C62" s="2" t="s">
        <v>233</v>
      </c>
      <c r="D62" s="2" t="s">
        <v>234</v>
      </c>
      <c r="E62" s="2" t="s">
        <v>167</v>
      </c>
      <c r="F62" s="3">
        <v>1.325</v>
      </c>
      <c r="G62" s="3">
        <v>101.36</v>
      </c>
      <c r="H62" s="3">
        <v>2.1003286055436998</v>
      </c>
      <c r="I62" s="3">
        <v>1.7606534078594001</v>
      </c>
      <c r="J62" s="3">
        <v>2.5095890410959001</v>
      </c>
      <c r="K62" s="3">
        <v>2.3644572511398998</v>
      </c>
      <c r="L62" s="2" t="s">
        <v>363</v>
      </c>
      <c r="M62" s="5"/>
    </row>
    <row r="63" spans="1:13" x14ac:dyDescent="0.2">
      <c r="A63" s="2" t="s">
        <v>17</v>
      </c>
      <c r="B63" s="2" t="s">
        <v>296</v>
      </c>
      <c r="C63" s="2" t="s">
        <v>233</v>
      </c>
      <c r="D63" s="2" t="s">
        <v>234</v>
      </c>
      <c r="E63" s="2" t="s">
        <v>168</v>
      </c>
      <c r="F63" s="3">
        <v>1.35</v>
      </c>
      <c r="G63" s="3">
        <v>80.099999999999994</v>
      </c>
      <c r="H63" s="3">
        <v>4.1288248941352999</v>
      </c>
      <c r="I63" s="3">
        <v>3.7329942597368002</v>
      </c>
      <c r="J63" s="3">
        <v>21.769863013698998</v>
      </c>
      <c r="K63" s="3">
        <v>15.126409117272001</v>
      </c>
      <c r="L63" s="2" t="s">
        <v>363</v>
      </c>
      <c r="M63" s="5"/>
    </row>
    <row r="64" spans="1:13" x14ac:dyDescent="0.2">
      <c r="A64" s="2" t="s">
        <v>47</v>
      </c>
      <c r="B64" s="2" t="s">
        <v>297</v>
      </c>
      <c r="C64" s="2" t="s">
        <v>233</v>
      </c>
      <c r="D64" s="2" t="s">
        <v>234</v>
      </c>
      <c r="E64" s="2" t="s">
        <v>169</v>
      </c>
      <c r="F64" s="3">
        <v>0.47499999999999998</v>
      </c>
      <c r="G64" s="3">
        <v>74.59</v>
      </c>
      <c r="H64" s="3">
        <v>3.6530192799216001</v>
      </c>
      <c r="I64" s="3">
        <v>3.5073630609183</v>
      </c>
      <c r="J64" s="3">
        <v>11.764383561643999</v>
      </c>
      <c r="K64" s="3">
        <v>10.614242463291999</v>
      </c>
      <c r="L64" s="2" t="s">
        <v>363</v>
      </c>
      <c r="M64" s="5"/>
    </row>
    <row r="65" spans="1:13" x14ac:dyDescent="0.2">
      <c r="A65" s="2" t="s">
        <v>57</v>
      </c>
      <c r="B65" s="2" t="s">
        <v>298</v>
      </c>
      <c r="C65" s="2" t="s">
        <v>233</v>
      </c>
      <c r="D65" s="2" t="s">
        <v>234</v>
      </c>
      <c r="E65" s="2" t="s">
        <v>170</v>
      </c>
      <c r="F65" s="3">
        <v>1.075</v>
      </c>
      <c r="G65" s="3">
        <v>67.180000000000007</v>
      </c>
      <c r="H65" s="3">
        <v>4.2182164357021996</v>
      </c>
      <c r="I65" s="3">
        <v>3.8653914310222999</v>
      </c>
      <c r="J65" s="3">
        <v>27.279452054795001</v>
      </c>
      <c r="K65" s="3">
        <v>18.138538466728001</v>
      </c>
      <c r="L65" s="2" t="s">
        <v>363</v>
      </c>
      <c r="M65" s="5"/>
    </row>
    <row r="66" spans="1:13" x14ac:dyDescent="0.2">
      <c r="A66" s="2" t="s">
        <v>81</v>
      </c>
      <c r="B66" s="2" t="s">
        <v>299</v>
      </c>
      <c r="C66" s="2" t="s">
        <v>233</v>
      </c>
      <c r="D66" s="2" t="s">
        <v>234</v>
      </c>
      <c r="E66" s="2" t="s">
        <v>171</v>
      </c>
      <c r="F66" s="3">
        <v>1.4750000000000001</v>
      </c>
      <c r="G66" s="3">
        <v>101.6</v>
      </c>
      <c r="H66" s="3">
        <v>2.0026716973715999</v>
      </c>
      <c r="I66" s="3">
        <v>1.6282118083062</v>
      </c>
      <c r="J66" s="3">
        <v>1.7178082191780999</v>
      </c>
      <c r="K66" s="3">
        <v>1.6421910018138</v>
      </c>
      <c r="L66" s="2" t="s">
        <v>363</v>
      </c>
      <c r="M66" s="5"/>
    </row>
    <row r="67" spans="1:13" x14ac:dyDescent="0.2">
      <c r="A67" s="2" t="s">
        <v>97</v>
      </c>
      <c r="B67" s="2" t="s">
        <v>300</v>
      </c>
      <c r="C67" s="2" t="s">
        <v>233</v>
      </c>
      <c r="D67" s="2" t="s">
        <v>234</v>
      </c>
      <c r="E67" s="2" t="s">
        <v>172</v>
      </c>
      <c r="F67" s="3">
        <v>1.825</v>
      </c>
      <c r="G67" s="3">
        <v>101.31</v>
      </c>
      <c r="H67" s="3">
        <v>3.5243086366577998</v>
      </c>
      <c r="I67" s="3">
        <v>3.0601721036681</v>
      </c>
      <c r="J67" s="3">
        <v>10.180821917808</v>
      </c>
      <c r="K67" s="3">
        <v>8.2204131559968996</v>
      </c>
      <c r="L67" s="2" t="s">
        <v>363</v>
      </c>
      <c r="M67" s="5"/>
    </row>
    <row r="68" spans="1:13" x14ac:dyDescent="0.2">
      <c r="A68" s="2" t="s">
        <v>33</v>
      </c>
      <c r="B68" s="2" t="s">
        <v>301</v>
      </c>
      <c r="C68" s="2" t="s">
        <v>233</v>
      </c>
      <c r="D68" s="2" t="s">
        <v>234</v>
      </c>
      <c r="E68" s="2" t="s">
        <v>173</v>
      </c>
      <c r="F68" s="3">
        <v>1.05</v>
      </c>
      <c r="G68" s="3">
        <v>100.24</v>
      </c>
      <c r="H68" s="3">
        <v>1.8940871758905</v>
      </c>
      <c r="I68" s="3">
        <v>1.6297175311648999</v>
      </c>
      <c r="J68" s="3">
        <v>1.1287671232876999</v>
      </c>
      <c r="K68" s="3">
        <v>1.0926094145633001</v>
      </c>
      <c r="L68" s="2" t="s">
        <v>363</v>
      </c>
      <c r="M68" s="5"/>
    </row>
    <row r="69" spans="1:13" x14ac:dyDescent="0.2">
      <c r="A69" s="2" t="s">
        <v>89</v>
      </c>
      <c r="B69" s="2" t="s">
        <v>302</v>
      </c>
      <c r="C69" s="2" t="s">
        <v>233</v>
      </c>
      <c r="D69" s="2" t="s">
        <v>234</v>
      </c>
      <c r="E69" s="2" t="s">
        <v>174</v>
      </c>
      <c r="F69" s="3">
        <v>1.7250000000000001</v>
      </c>
      <c r="G69" s="3">
        <v>103.05</v>
      </c>
      <c r="H69" s="3">
        <v>2.9228283872893002</v>
      </c>
      <c r="I69" s="3">
        <v>2.4935132598529002</v>
      </c>
      <c r="J69" s="3">
        <v>6.1315068493150999</v>
      </c>
      <c r="K69" s="3">
        <v>5.3651313884018998</v>
      </c>
      <c r="L69" s="2" t="s">
        <v>363</v>
      </c>
      <c r="M69" s="5"/>
    </row>
    <row r="70" spans="1:13" x14ac:dyDescent="0.2">
      <c r="A70" s="2" t="s">
        <v>44</v>
      </c>
      <c r="B70" s="2" t="s">
        <v>303</v>
      </c>
      <c r="C70" s="2" t="s">
        <v>233</v>
      </c>
      <c r="D70" s="2" t="s">
        <v>234</v>
      </c>
      <c r="E70" s="2" t="s">
        <v>175</v>
      </c>
      <c r="F70" s="3">
        <v>0.9</v>
      </c>
      <c r="G70" s="3">
        <v>74.94</v>
      </c>
      <c r="H70" s="3">
        <v>3.9880110740207</v>
      </c>
      <c r="I70" s="3">
        <v>3.7163018051661001</v>
      </c>
      <c r="J70" s="3">
        <v>15.767123287671</v>
      </c>
      <c r="K70" s="3">
        <v>12.81975929883</v>
      </c>
      <c r="L70" s="2" t="s">
        <v>363</v>
      </c>
      <c r="M70" s="5"/>
    </row>
    <row r="71" spans="1:13" x14ac:dyDescent="0.2">
      <c r="A71" s="2" t="s">
        <v>78</v>
      </c>
      <c r="B71" s="2" t="s">
        <v>304</v>
      </c>
      <c r="C71" s="2" t="s">
        <v>233</v>
      </c>
      <c r="D71" s="2" t="s">
        <v>234</v>
      </c>
      <c r="E71" s="2" t="s">
        <v>176</v>
      </c>
      <c r="F71" s="3">
        <v>2</v>
      </c>
      <c r="G71" s="3">
        <v>106.24</v>
      </c>
      <c r="H71" s="3">
        <v>2.7767552200773</v>
      </c>
      <c r="I71" s="3">
        <v>2.2884848773231998</v>
      </c>
      <c r="J71" s="3">
        <v>5.4684931506848997</v>
      </c>
      <c r="K71" s="3">
        <v>4.8435262305534996</v>
      </c>
      <c r="L71" s="2" t="s">
        <v>363</v>
      </c>
      <c r="M71" s="5"/>
    </row>
    <row r="72" spans="1:13" x14ac:dyDescent="0.2">
      <c r="A72" s="2" t="s">
        <v>36</v>
      </c>
      <c r="B72" s="2" t="s">
        <v>305</v>
      </c>
      <c r="C72" s="2" t="s">
        <v>233</v>
      </c>
      <c r="D72" s="2" t="s">
        <v>234</v>
      </c>
      <c r="E72" s="2" t="s">
        <v>177</v>
      </c>
      <c r="F72" s="3">
        <v>0.42499999999999999</v>
      </c>
      <c r="G72" s="3">
        <v>98.37</v>
      </c>
      <c r="H72" s="3">
        <v>1.8750691910649999</v>
      </c>
      <c r="I72" s="3">
        <v>1.7607485073093001</v>
      </c>
      <c r="J72" s="3">
        <v>1.6328767123287999</v>
      </c>
      <c r="K72" s="3">
        <v>1.5902146113304001</v>
      </c>
      <c r="L72" s="2" t="s">
        <v>363</v>
      </c>
      <c r="M72" s="5"/>
    </row>
    <row r="73" spans="1:13" x14ac:dyDescent="0.2">
      <c r="A73" s="2" t="s">
        <v>56</v>
      </c>
      <c r="B73" s="2" t="s">
        <v>306</v>
      </c>
      <c r="C73" s="2" t="s">
        <v>233</v>
      </c>
      <c r="D73" s="2" t="s">
        <v>234</v>
      </c>
      <c r="E73" s="2" t="s">
        <v>178</v>
      </c>
      <c r="F73" s="3">
        <v>0.22500000000000001</v>
      </c>
      <c r="G73" s="3">
        <v>93.41</v>
      </c>
      <c r="H73" s="3">
        <v>2.3211821935967998</v>
      </c>
      <c r="I73" s="3">
        <v>2.2456050744040001</v>
      </c>
      <c r="J73" s="3">
        <v>3.7205479452054999</v>
      </c>
      <c r="K73" s="3">
        <v>3.6040850130730999</v>
      </c>
      <c r="L73" s="2" t="s">
        <v>363</v>
      </c>
      <c r="M73" s="5"/>
    </row>
    <row r="74" spans="1:13" x14ac:dyDescent="0.2">
      <c r="A74" s="2" t="s">
        <v>66</v>
      </c>
      <c r="B74" s="2" t="s">
        <v>307</v>
      </c>
      <c r="C74" s="2" t="s">
        <v>233</v>
      </c>
      <c r="D74" s="2" t="s">
        <v>234</v>
      </c>
      <c r="E74" s="2" t="s">
        <v>179</v>
      </c>
      <c r="F74" s="3">
        <v>1.925</v>
      </c>
      <c r="G74" s="3">
        <v>105.57</v>
      </c>
      <c r="H74" s="3">
        <v>2.5557317476336001</v>
      </c>
      <c r="I74" s="3">
        <v>2.0849583781616001</v>
      </c>
      <c r="J74" s="3">
        <v>4.5506849315068001</v>
      </c>
      <c r="K74" s="3">
        <v>4.0612522392666</v>
      </c>
      <c r="L74" s="2" t="s">
        <v>363</v>
      </c>
      <c r="M74" s="5"/>
    </row>
    <row r="75" spans="1:13" x14ac:dyDescent="0.2">
      <c r="A75" s="2" t="s">
        <v>96</v>
      </c>
      <c r="B75" s="2" t="s">
        <v>308</v>
      </c>
      <c r="C75" s="2" t="s">
        <v>233</v>
      </c>
      <c r="D75" s="2" t="s">
        <v>234</v>
      </c>
      <c r="E75" s="2" t="s">
        <v>180</v>
      </c>
      <c r="F75" s="3">
        <v>1.35</v>
      </c>
      <c r="G75" s="3">
        <v>101.41</v>
      </c>
      <c r="H75" s="3">
        <v>2.0990056681654998</v>
      </c>
      <c r="I75" s="3">
        <v>1.7598054565204999</v>
      </c>
      <c r="J75" s="3">
        <v>2.3808219178082002</v>
      </c>
      <c r="K75" s="3">
        <v>2.26803010741</v>
      </c>
      <c r="L75" s="2" t="s">
        <v>363</v>
      </c>
      <c r="M75" s="5"/>
    </row>
    <row r="76" spans="1:13" x14ac:dyDescent="0.2">
      <c r="A76" s="2" t="s">
        <v>82</v>
      </c>
      <c r="B76" s="2" t="s">
        <v>309</v>
      </c>
      <c r="C76" s="2" t="s">
        <v>233</v>
      </c>
      <c r="D76" s="2" t="s">
        <v>234</v>
      </c>
      <c r="E76" s="2" t="s">
        <v>181</v>
      </c>
      <c r="F76" s="3">
        <v>1.75</v>
      </c>
      <c r="G76" s="3">
        <v>103.5</v>
      </c>
      <c r="H76" s="3">
        <v>2.8468000430368998</v>
      </c>
      <c r="I76" s="3">
        <v>2.4112295369468</v>
      </c>
      <c r="J76" s="3">
        <v>5.7205479452055004</v>
      </c>
      <c r="K76" s="3">
        <v>5.0561306130092003</v>
      </c>
      <c r="L76" s="2" t="s">
        <v>363</v>
      </c>
      <c r="M76" s="5"/>
    </row>
    <row r="77" spans="1:13" x14ac:dyDescent="0.2">
      <c r="A77" s="2" t="s">
        <v>70</v>
      </c>
      <c r="B77" s="2" t="s">
        <v>310</v>
      </c>
      <c r="C77" s="2" t="s">
        <v>233</v>
      </c>
      <c r="D77" s="2" t="s">
        <v>234</v>
      </c>
      <c r="E77" s="2" t="s">
        <v>182</v>
      </c>
      <c r="F77" s="3">
        <v>1.9</v>
      </c>
      <c r="G77" s="3">
        <v>101.556</v>
      </c>
      <c r="H77" s="3">
        <v>1.9857249285681999</v>
      </c>
      <c r="I77" s="3">
        <v>1.5202280391526</v>
      </c>
      <c r="J77" s="3">
        <v>0.87945205479452004</v>
      </c>
      <c r="K77" s="3">
        <v>0.85351051243750997</v>
      </c>
      <c r="L77" s="2" t="s">
        <v>363</v>
      </c>
      <c r="M77" s="5"/>
    </row>
    <row r="78" spans="1:13" x14ac:dyDescent="0.2">
      <c r="A78" s="2" t="s">
        <v>61</v>
      </c>
      <c r="B78" s="2" t="s">
        <v>311</v>
      </c>
      <c r="C78" s="2" t="s">
        <v>233</v>
      </c>
      <c r="D78" s="2" t="s">
        <v>234</v>
      </c>
      <c r="E78" s="2" t="s">
        <v>183</v>
      </c>
      <c r="F78" s="3">
        <v>1.4</v>
      </c>
      <c r="G78" s="3">
        <v>101.48</v>
      </c>
      <c r="H78" s="3">
        <v>2.4266826184707999</v>
      </c>
      <c r="I78" s="3">
        <v>2.0760419648700998</v>
      </c>
      <c r="J78" s="3">
        <v>4.0493150684931001</v>
      </c>
      <c r="K78" s="3">
        <v>3.7206347460167999</v>
      </c>
      <c r="L78" s="2" t="s">
        <v>363</v>
      </c>
      <c r="M78" s="5"/>
    </row>
    <row r="79" spans="1:13" x14ac:dyDescent="0.2">
      <c r="A79" s="2" t="s">
        <v>42</v>
      </c>
      <c r="B79" s="2" t="s">
        <v>312</v>
      </c>
      <c r="C79" s="2" t="s">
        <v>233</v>
      </c>
      <c r="D79" s="2" t="s">
        <v>234</v>
      </c>
      <c r="E79" s="2" t="s">
        <v>184</v>
      </c>
      <c r="F79" s="3">
        <v>0.47499999999999998</v>
      </c>
      <c r="G79" s="3">
        <v>97.67</v>
      </c>
      <c r="H79" s="3">
        <v>2.0006974611686998</v>
      </c>
      <c r="I79" s="3">
        <v>1.8792314215343</v>
      </c>
      <c r="J79" s="3">
        <v>2.2986301369862998</v>
      </c>
      <c r="K79" s="3">
        <v>2.2300977265853001</v>
      </c>
      <c r="L79" s="2" t="s">
        <v>363</v>
      </c>
      <c r="M79" s="5"/>
    </row>
    <row r="80" spans="1:13" x14ac:dyDescent="0.2">
      <c r="A80" s="2" t="s">
        <v>101</v>
      </c>
      <c r="B80" s="2" t="s">
        <v>313</v>
      </c>
      <c r="C80" s="2" t="s">
        <v>233</v>
      </c>
      <c r="D80" s="2" t="s">
        <v>234</v>
      </c>
      <c r="E80" s="2" t="s">
        <v>185</v>
      </c>
      <c r="F80" s="3">
        <v>0.6552</v>
      </c>
      <c r="G80" s="3">
        <v>101.15</v>
      </c>
      <c r="H80" s="3">
        <v>2.2681023858118001</v>
      </c>
      <c r="I80" s="3">
        <v>1.9243107042101999</v>
      </c>
      <c r="J80" s="3">
        <v>3.0493150684931001</v>
      </c>
      <c r="K80" s="3">
        <v>2.8696811181942001</v>
      </c>
      <c r="L80" s="2" t="s">
        <v>363</v>
      </c>
      <c r="M80" s="5"/>
    </row>
    <row r="81" spans="1:13" x14ac:dyDescent="0.2">
      <c r="A81" s="2" t="s">
        <v>71</v>
      </c>
      <c r="B81" s="2" t="s">
        <v>314</v>
      </c>
      <c r="C81" s="2" t="s">
        <v>233</v>
      </c>
      <c r="D81" s="2" t="s">
        <v>234</v>
      </c>
      <c r="E81" s="2" t="s">
        <v>186</v>
      </c>
      <c r="F81" s="3">
        <v>1.85</v>
      </c>
      <c r="G81" s="3">
        <v>104.82</v>
      </c>
      <c r="H81" s="3">
        <v>2.6860932486796001</v>
      </c>
      <c r="I81" s="3">
        <v>2.2042385495260999</v>
      </c>
      <c r="J81" s="3">
        <v>5.0493150684931001</v>
      </c>
      <c r="K81" s="3">
        <v>4.4749208756216001</v>
      </c>
      <c r="L81" s="2" t="s">
        <v>363</v>
      </c>
      <c r="M81" s="5"/>
    </row>
    <row r="82" spans="1:13" x14ac:dyDescent="0.2">
      <c r="A82" s="2" t="s">
        <v>52</v>
      </c>
      <c r="B82" s="2" t="s">
        <v>315</v>
      </c>
      <c r="C82" s="2" t="s">
        <v>233</v>
      </c>
      <c r="D82" s="2" t="s">
        <v>234</v>
      </c>
      <c r="E82" s="2" t="s">
        <v>187</v>
      </c>
      <c r="F82" s="3">
        <v>0.25</v>
      </c>
      <c r="G82" s="3">
        <v>94.96</v>
      </c>
      <c r="H82" s="3">
        <v>2.1811685742955</v>
      </c>
      <c r="I82" s="3">
        <v>2.0951147565374</v>
      </c>
      <c r="J82" s="3">
        <v>3.1315068493150999</v>
      </c>
      <c r="K82" s="3">
        <v>3.0434966693134</v>
      </c>
      <c r="L82" s="2" t="s">
        <v>363</v>
      </c>
      <c r="M82" s="5"/>
    </row>
    <row r="83" spans="1:13" x14ac:dyDescent="0.2">
      <c r="A83" s="2" t="s">
        <v>90</v>
      </c>
      <c r="B83" s="2" t="s">
        <v>316</v>
      </c>
      <c r="C83" s="2" t="s">
        <v>233</v>
      </c>
      <c r="D83" s="2" t="s">
        <v>234</v>
      </c>
      <c r="E83" s="2" t="s">
        <v>188</v>
      </c>
      <c r="F83" s="3">
        <v>1.7250000000000001</v>
      </c>
      <c r="G83" s="3">
        <v>102.89</v>
      </c>
      <c r="H83" s="3">
        <v>2.0669068784553999</v>
      </c>
      <c r="I83" s="3">
        <v>1.6394441092922001</v>
      </c>
      <c r="J83" s="3">
        <v>2.1287671232876999</v>
      </c>
      <c r="K83" s="3">
        <v>2.0057012086824999</v>
      </c>
      <c r="L83" s="2" t="s">
        <v>363</v>
      </c>
      <c r="M83" s="5"/>
    </row>
    <row r="84" spans="1:13" x14ac:dyDescent="0.2">
      <c r="A84" s="2" t="s">
        <v>75</v>
      </c>
      <c r="B84" s="2" t="s">
        <v>317</v>
      </c>
      <c r="C84" s="2" t="s">
        <v>233</v>
      </c>
      <c r="D84" s="2" t="s">
        <v>234</v>
      </c>
      <c r="E84" s="2" t="s">
        <v>189</v>
      </c>
      <c r="F84" s="3">
        <v>1.925</v>
      </c>
      <c r="G84" s="3">
        <v>101.96</v>
      </c>
      <c r="H84" s="3">
        <v>2.3132256685450998</v>
      </c>
      <c r="I84" s="3">
        <v>1.8351234310377</v>
      </c>
      <c r="J84" s="3">
        <v>1.2986301369863</v>
      </c>
      <c r="K84" s="3">
        <v>1.2420662540358001</v>
      </c>
      <c r="L84" s="2" t="s">
        <v>363</v>
      </c>
      <c r="M84" s="5"/>
    </row>
    <row r="85" spans="1:13" x14ac:dyDescent="0.2">
      <c r="A85" s="2" t="s">
        <v>29</v>
      </c>
      <c r="B85" s="2" t="s">
        <v>318</v>
      </c>
      <c r="C85" s="2" t="s">
        <v>233</v>
      </c>
      <c r="D85" s="2" t="s">
        <v>234</v>
      </c>
      <c r="E85" s="2" t="s">
        <v>190</v>
      </c>
      <c r="F85" s="3">
        <v>1.25</v>
      </c>
      <c r="G85" s="3">
        <v>100.251</v>
      </c>
      <c r="H85" s="3">
        <v>1.8853374482487</v>
      </c>
      <c r="I85" s="3">
        <v>1.5812381041951999</v>
      </c>
      <c r="J85" s="3">
        <v>0.46575342465753</v>
      </c>
      <c r="K85" s="3">
        <v>0.46258962763058997</v>
      </c>
      <c r="L85" s="2" t="s">
        <v>363</v>
      </c>
      <c r="M85" s="5"/>
    </row>
    <row r="86" spans="1:13" x14ac:dyDescent="0.2">
      <c r="A86" s="2" t="s">
        <v>94</v>
      </c>
      <c r="B86" s="2" t="s">
        <v>319</v>
      </c>
      <c r="C86" s="2" t="s">
        <v>233</v>
      </c>
      <c r="D86" s="2" t="s">
        <v>234</v>
      </c>
      <c r="E86" s="2" t="s">
        <v>191</v>
      </c>
      <c r="F86" s="3">
        <v>2.15</v>
      </c>
      <c r="G86" s="3">
        <v>99.41</v>
      </c>
      <c r="H86" s="3">
        <v>4.3791454744465996</v>
      </c>
      <c r="I86" s="3">
        <v>3.8285131610848002</v>
      </c>
      <c r="J86" s="3">
        <v>29.361643835616</v>
      </c>
      <c r="K86" s="3">
        <v>16.095019636894001</v>
      </c>
      <c r="L86" s="2" t="s">
        <v>363</v>
      </c>
      <c r="M86" s="5"/>
    </row>
    <row r="87" spans="1:13" x14ac:dyDescent="0.2">
      <c r="A87" s="2" t="s">
        <v>64</v>
      </c>
      <c r="B87" s="2" t="s">
        <v>320</v>
      </c>
      <c r="C87" s="2" t="s">
        <v>233</v>
      </c>
      <c r="D87" s="2" t="s">
        <v>234</v>
      </c>
      <c r="E87" s="2" t="s">
        <v>192</v>
      </c>
      <c r="F87" s="3">
        <v>1.75</v>
      </c>
      <c r="G87" s="3">
        <v>100.93300000000001</v>
      </c>
      <c r="H87" s="3">
        <v>1.9650327973971</v>
      </c>
      <c r="I87" s="3">
        <v>1.5353692332133999</v>
      </c>
      <c r="J87" s="3">
        <v>0.63287671232876996</v>
      </c>
      <c r="K87" s="3">
        <v>0.61236923853846004</v>
      </c>
      <c r="L87" s="2" t="s">
        <v>363</v>
      </c>
      <c r="M87" s="5"/>
    </row>
    <row r="88" spans="1:13" x14ac:dyDescent="0.2">
      <c r="A88" s="2" t="s">
        <v>48</v>
      </c>
      <c r="B88" s="2" t="s">
        <v>321</v>
      </c>
      <c r="C88" s="2" t="s">
        <v>233</v>
      </c>
      <c r="D88" s="2" t="s">
        <v>234</v>
      </c>
      <c r="E88" s="2" t="s">
        <v>193</v>
      </c>
      <c r="F88" s="3">
        <v>0.125</v>
      </c>
      <c r="G88" s="3">
        <v>94.94</v>
      </c>
      <c r="H88" s="3">
        <v>2.1338292120013</v>
      </c>
      <c r="I88" s="3">
        <v>2.0951639245634999</v>
      </c>
      <c r="J88" s="3">
        <v>2.7972602739725998</v>
      </c>
      <c r="K88" s="3">
        <v>2.7293511043690999</v>
      </c>
      <c r="L88" s="2" t="s">
        <v>363</v>
      </c>
      <c r="M88" s="5"/>
    </row>
    <row r="89" spans="1:13" x14ac:dyDescent="0.2">
      <c r="A89" s="2" t="s">
        <v>38</v>
      </c>
      <c r="B89" s="2" t="s">
        <v>322</v>
      </c>
      <c r="C89" s="2" t="s">
        <v>233</v>
      </c>
      <c r="D89" s="2" t="s">
        <v>234</v>
      </c>
      <c r="E89" s="2" t="s">
        <v>194</v>
      </c>
      <c r="F89" s="3">
        <v>0.72499999999999998</v>
      </c>
      <c r="G89" s="3">
        <v>81.510000000000005</v>
      </c>
      <c r="H89" s="3">
        <v>3.5577601595239998</v>
      </c>
      <c r="I89" s="3">
        <v>3.3484920229786002</v>
      </c>
      <c r="J89" s="3">
        <v>10.764383561643999</v>
      </c>
      <c r="K89" s="3">
        <v>9.5242283411468005</v>
      </c>
      <c r="L89" s="2" t="s">
        <v>363</v>
      </c>
      <c r="M89" s="5"/>
    </row>
    <row r="90" spans="1:13" x14ac:dyDescent="0.2">
      <c r="A90" s="2" t="s">
        <v>99</v>
      </c>
      <c r="B90" s="2" t="s">
        <v>323</v>
      </c>
      <c r="C90" s="2" t="s">
        <v>233</v>
      </c>
      <c r="D90" s="2" t="s">
        <v>234</v>
      </c>
      <c r="E90" s="2" t="s">
        <v>195</v>
      </c>
      <c r="F90" s="3">
        <v>1.925</v>
      </c>
      <c r="G90" s="3">
        <v>98.71</v>
      </c>
      <c r="H90" s="3">
        <v>3.998684448943</v>
      </c>
      <c r="I90" s="3">
        <v>3.5012353407817001</v>
      </c>
      <c r="J90" s="3">
        <v>15.353424657533999</v>
      </c>
      <c r="K90" s="3">
        <v>11.189578693887</v>
      </c>
      <c r="L90" s="2" t="s">
        <v>363</v>
      </c>
      <c r="M90" s="5"/>
    </row>
    <row r="91" spans="1:13" x14ac:dyDescent="0.2">
      <c r="A91" s="2" t="s">
        <v>59</v>
      </c>
      <c r="B91" s="2" t="s">
        <v>324</v>
      </c>
      <c r="C91" s="2" t="s">
        <v>233</v>
      </c>
      <c r="D91" s="2" t="s">
        <v>234</v>
      </c>
      <c r="E91" s="2" t="s">
        <v>196</v>
      </c>
      <c r="F91" s="3">
        <v>0.6</v>
      </c>
      <c r="G91" s="3">
        <v>99.844999999999999</v>
      </c>
      <c r="H91" s="3">
        <v>1.9051864319508001</v>
      </c>
      <c r="I91" s="3">
        <v>1.7441090576756</v>
      </c>
      <c r="J91" s="3">
        <v>0.21369863013699</v>
      </c>
      <c r="K91" s="3">
        <v>0.20972149786415001</v>
      </c>
      <c r="L91" s="2" t="s">
        <v>363</v>
      </c>
      <c r="M91" s="5"/>
    </row>
    <row r="92" spans="1:13" x14ac:dyDescent="0.2">
      <c r="A92" s="2" t="s">
        <v>197</v>
      </c>
      <c r="B92" s="2" t="s">
        <v>325</v>
      </c>
      <c r="C92" s="2" t="s">
        <v>233</v>
      </c>
      <c r="D92" s="2" t="s">
        <v>234</v>
      </c>
      <c r="E92" s="2" t="s">
        <v>198</v>
      </c>
      <c r="F92" s="3">
        <v>2.125</v>
      </c>
      <c r="G92" s="3">
        <v>0</v>
      </c>
      <c r="H92" s="3">
        <v>0</v>
      </c>
      <c r="I92" s="3">
        <v>0</v>
      </c>
      <c r="J92" s="3">
        <v>9.8136986301370008</v>
      </c>
      <c r="K92" s="3">
        <v>0</v>
      </c>
      <c r="L92" s="2" t="s">
        <v>326</v>
      </c>
      <c r="M92" s="5"/>
    </row>
    <row r="93" spans="1:13" x14ac:dyDescent="0.2">
      <c r="A93" s="2" t="s">
        <v>10</v>
      </c>
      <c r="B93" s="2" t="s">
        <v>327</v>
      </c>
      <c r="C93" s="2" t="s">
        <v>233</v>
      </c>
      <c r="D93" s="2" t="s">
        <v>234</v>
      </c>
      <c r="E93" s="2" t="s">
        <v>199</v>
      </c>
      <c r="F93" s="3">
        <v>2.375</v>
      </c>
      <c r="G93" s="3">
        <v>107.85</v>
      </c>
      <c r="H93" s="3">
        <v>2.2465189628570998</v>
      </c>
      <c r="I93" s="3">
        <v>1.6745693717089001</v>
      </c>
      <c r="J93" s="3">
        <v>3.2630136986300999</v>
      </c>
      <c r="K93" s="3">
        <v>2.9724171853325001</v>
      </c>
      <c r="L93" s="2" t="s">
        <v>363</v>
      </c>
      <c r="M93" s="5"/>
    </row>
    <row r="94" spans="1:13" x14ac:dyDescent="0.2">
      <c r="A94" s="2" t="s">
        <v>69</v>
      </c>
      <c r="B94" s="2" t="s">
        <v>328</v>
      </c>
      <c r="C94" s="2" t="s">
        <v>233</v>
      </c>
      <c r="D94" s="2" t="s">
        <v>234</v>
      </c>
      <c r="E94" s="2" t="s">
        <v>200</v>
      </c>
      <c r="F94" s="3">
        <v>2.25</v>
      </c>
      <c r="G94" s="3">
        <v>103.1</v>
      </c>
      <c r="H94" s="3">
        <v>4.3523087088691002</v>
      </c>
      <c r="I94" s="3">
        <v>3.7901330923162999</v>
      </c>
      <c r="J94" s="3">
        <v>28.361643835616</v>
      </c>
      <c r="K94" s="3">
        <v>15.693186403955</v>
      </c>
      <c r="L94" s="2" t="s">
        <v>363</v>
      </c>
      <c r="M94" s="5"/>
    </row>
    <row r="95" spans="1:13" x14ac:dyDescent="0.2">
      <c r="A95" s="2" t="s">
        <v>201</v>
      </c>
      <c r="B95" s="2" t="s">
        <v>329</v>
      </c>
      <c r="C95" s="2" t="s">
        <v>233</v>
      </c>
      <c r="D95" s="2" t="s">
        <v>234</v>
      </c>
      <c r="E95" s="2" t="s">
        <v>202</v>
      </c>
      <c r="F95" s="3">
        <v>0.72719999999999996</v>
      </c>
      <c r="G95" s="3">
        <v>101.05</v>
      </c>
      <c r="H95" s="3">
        <v>3.1066897013335999</v>
      </c>
      <c r="I95" s="3">
        <v>2.6972807878390999</v>
      </c>
      <c r="J95" s="3">
        <v>7.1342465753425</v>
      </c>
      <c r="K95" s="3">
        <v>6.2171203857210999</v>
      </c>
      <c r="L95" s="2" t="s">
        <v>363</v>
      </c>
      <c r="M95" s="5"/>
    </row>
    <row r="96" spans="1:13" x14ac:dyDescent="0.2">
      <c r="A96" s="2" t="s">
        <v>85</v>
      </c>
      <c r="B96" s="2" t="s">
        <v>330</v>
      </c>
      <c r="C96" s="2" t="s">
        <v>233</v>
      </c>
      <c r="D96" s="2" t="s">
        <v>234</v>
      </c>
      <c r="E96" s="2" t="s">
        <v>203</v>
      </c>
      <c r="F96" s="3">
        <v>1.6</v>
      </c>
      <c r="G96" s="3">
        <v>100.771</v>
      </c>
      <c r="H96" s="3">
        <v>1.9930205676938999</v>
      </c>
      <c r="I96" s="3">
        <v>1.5816946130275999</v>
      </c>
      <c r="J96" s="3">
        <v>0.66849315068492998</v>
      </c>
      <c r="K96" s="3">
        <v>0.64783622162740995</v>
      </c>
      <c r="L96" s="2" t="s">
        <v>363</v>
      </c>
      <c r="M96" s="5"/>
    </row>
    <row r="97" spans="1:13" x14ac:dyDescent="0.2">
      <c r="A97" s="2" t="s">
        <v>76</v>
      </c>
      <c r="B97" s="2" t="s">
        <v>331</v>
      </c>
      <c r="C97" s="2" t="s">
        <v>233</v>
      </c>
      <c r="D97" s="2" t="s">
        <v>234</v>
      </c>
      <c r="E97" s="2" t="s">
        <v>204</v>
      </c>
      <c r="F97" s="3">
        <v>1.8</v>
      </c>
      <c r="G97" s="3">
        <v>100.512</v>
      </c>
      <c r="H97" s="3">
        <v>2.0010139577568999</v>
      </c>
      <c r="I97" s="3">
        <v>1.5602479014782</v>
      </c>
      <c r="J97" s="3">
        <v>0.33698630136986002</v>
      </c>
      <c r="K97" s="3">
        <v>0.33042069686070002</v>
      </c>
      <c r="L97" s="2" t="s">
        <v>363</v>
      </c>
      <c r="M97" s="5"/>
    </row>
    <row r="98" spans="1:13" x14ac:dyDescent="0.2">
      <c r="A98" s="2" t="s">
        <v>40</v>
      </c>
      <c r="B98" s="2" t="s">
        <v>332</v>
      </c>
      <c r="C98" s="2" t="s">
        <v>233</v>
      </c>
      <c r="D98" s="2" t="s">
        <v>234</v>
      </c>
      <c r="E98" s="2" t="s">
        <v>205</v>
      </c>
      <c r="F98" s="3">
        <v>0.92500000000000004</v>
      </c>
      <c r="G98" s="3">
        <v>99.981999999999999</v>
      </c>
      <c r="H98" s="3">
        <v>2.0212578607667999</v>
      </c>
      <c r="I98" s="3">
        <v>1.7873779324053001</v>
      </c>
      <c r="J98" s="3">
        <v>9.0410958904109995E-2</v>
      </c>
      <c r="K98" s="3">
        <v>8.8623438108158994E-2</v>
      </c>
      <c r="L98" s="2" t="s">
        <v>363</v>
      </c>
      <c r="M98" s="5"/>
    </row>
    <row r="99" spans="1:13" x14ac:dyDescent="0.2">
      <c r="A99" s="2" t="s">
        <v>91</v>
      </c>
      <c r="B99" s="2" t="s">
        <v>333</v>
      </c>
      <c r="C99" s="2" t="s">
        <v>233</v>
      </c>
      <c r="D99" s="2" t="s">
        <v>234</v>
      </c>
      <c r="E99" s="2" t="s">
        <v>206</v>
      </c>
      <c r="F99" s="3">
        <v>1.55</v>
      </c>
      <c r="G99" s="3">
        <v>101.37</v>
      </c>
      <c r="H99" s="3">
        <v>1.9975828542473</v>
      </c>
      <c r="I99" s="3">
        <v>1.6101982246080999</v>
      </c>
      <c r="J99" s="3">
        <v>1.2493150684931</v>
      </c>
      <c r="K99" s="3">
        <v>1.2028553577561001</v>
      </c>
      <c r="L99" s="2" t="s">
        <v>363</v>
      </c>
      <c r="M99" s="5"/>
    </row>
    <row r="100" spans="1:13" x14ac:dyDescent="0.2">
      <c r="A100" s="2" t="s">
        <v>95</v>
      </c>
      <c r="B100" s="2" t="s">
        <v>334</v>
      </c>
      <c r="C100" s="2" t="s">
        <v>233</v>
      </c>
      <c r="D100" s="2" t="s">
        <v>234</v>
      </c>
      <c r="E100" s="2" t="s">
        <v>207</v>
      </c>
      <c r="F100" s="3">
        <v>1.575</v>
      </c>
      <c r="G100" s="3">
        <v>101.06</v>
      </c>
      <c r="H100" s="3">
        <v>2.9848871849654</v>
      </c>
      <c r="I100" s="3">
        <v>2.5888335770254001</v>
      </c>
      <c r="J100" s="3">
        <v>6.4684931506848997</v>
      </c>
      <c r="K100" s="3">
        <v>5.7336533246514003</v>
      </c>
      <c r="L100" s="2" t="s">
        <v>363</v>
      </c>
      <c r="M100" s="5"/>
    </row>
    <row r="101" spans="1:13" x14ac:dyDescent="0.2">
      <c r="A101" s="2" t="s">
        <v>98</v>
      </c>
      <c r="B101" s="2" t="s">
        <v>335</v>
      </c>
      <c r="C101" s="2" t="s">
        <v>233</v>
      </c>
      <c r="D101" s="2" t="s">
        <v>234</v>
      </c>
      <c r="E101" s="2" t="s">
        <v>208</v>
      </c>
      <c r="F101" s="3">
        <v>1.2749999999999999</v>
      </c>
      <c r="G101" s="3">
        <v>100.91</v>
      </c>
      <c r="H101" s="3">
        <v>2.0228999664053</v>
      </c>
      <c r="I101" s="3">
        <v>1.6983459376328001</v>
      </c>
      <c r="J101" s="3">
        <v>1.745205479452</v>
      </c>
      <c r="K101" s="3">
        <v>1.6740104406639</v>
      </c>
      <c r="L101" s="2" t="s">
        <v>363</v>
      </c>
      <c r="M101" s="5"/>
    </row>
    <row r="102" spans="1:13" x14ac:dyDescent="0.2">
      <c r="A102" s="2" t="s">
        <v>67</v>
      </c>
      <c r="B102" s="2" t="s">
        <v>336</v>
      </c>
      <c r="C102" s="2" t="s">
        <v>233</v>
      </c>
      <c r="D102" s="2" t="s">
        <v>234</v>
      </c>
      <c r="E102" s="2" t="s">
        <v>209</v>
      </c>
      <c r="F102" s="3">
        <v>1.7</v>
      </c>
      <c r="G102" s="3">
        <v>103.35</v>
      </c>
      <c r="H102" s="3">
        <v>2.1830985334800999</v>
      </c>
      <c r="I102" s="3">
        <v>1.7502419357507</v>
      </c>
      <c r="J102" s="3">
        <v>2.8438356164384002</v>
      </c>
      <c r="K102" s="3">
        <v>2.6703370190239002</v>
      </c>
      <c r="L102" s="2" t="s">
        <v>363</v>
      </c>
      <c r="M102" s="5"/>
    </row>
    <row r="103" spans="1:13" x14ac:dyDescent="0.2">
      <c r="A103" s="2" t="s">
        <v>84</v>
      </c>
      <c r="B103" s="2" t="s">
        <v>337</v>
      </c>
      <c r="C103" s="2" t="s">
        <v>233</v>
      </c>
      <c r="D103" s="2" t="s">
        <v>234</v>
      </c>
      <c r="E103" s="2" t="s">
        <v>210</v>
      </c>
      <c r="F103" s="3">
        <v>0.8125</v>
      </c>
      <c r="G103" s="3">
        <v>104.08</v>
      </c>
      <c r="H103" s="3">
        <v>2.8219349792772999</v>
      </c>
      <c r="I103" s="3">
        <v>2.3613157464037</v>
      </c>
      <c r="J103" s="3">
        <v>4.7698630136986004</v>
      </c>
      <c r="K103" s="3">
        <v>4.2694139395802004</v>
      </c>
      <c r="L103" s="2" t="s">
        <v>363</v>
      </c>
      <c r="M103" s="5"/>
    </row>
    <row r="104" spans="1:13" x14ac:dyDescent="0.2">
      <c r="A104" s="2" t="s">
        <v>211</v>
      </c>
      <c r="B104" s="2" t="s">
        <v>338</v>
      </c>
      <c r="C104" s="2" t="s">
        <v>233</v>
      </c>
      <c r="D104" s="2" t="s">
        <v>234</v>
      </c>
      <c r="E104" s="2" t="s">
        <v>210</v>
      </c>
      <c r="F104" s="3">
        <v>0.8125</v>
      </c>
      <c r="G104" s="3">
        <v>104.08</v>
      </c>
      <c r="H104" s="3">
        <v>2.9585400686378001</v>
      </c>
      <c r="I104" s="3">
        <v>2.4857662761724999</v>
      </c>
      <c r="J104" s="3">
        <v>4.7698630136986004</v>
      </c>
      <c r="K104" s="3">
        <v>4.2645229692821998</v>
      </c>
      <c r="L104" s="2" t="s">
        <v>363</v>
      </c>
      <c r="M104" s="5"/>
    </row>
    <row r="105" spans="1:13" x14ac:dyDescent="0.2">
      <c r="A105" s="2" t="s">
        <v>79</v>
      </c>
      <c r="B105" s="2" t="s">
        <v>339</v>
      </c>
      <c r="C105" s="2" t="s">
        <v>233</v>
      </c>
      <c r="D105" s="2" t="s">
        <v>234</v>
      </c>
      <c r="E105" s="2" t="s">
        <v>212</v>
      </c>
      <c r="F105" s="3">
        <v>1.0249999999999999</v>
      </c>
      <c r="G105" s="3">
        <v>105.84</v>
      </c>
      <c r="H105" s="3">
        <v>2.5383367179862</v>
      </c>
      <c r="I105" s="3">
        <v>2.0061361832214</v>
      </c>
      <c r="J105" s="3">
        <v>3.3698630136986001</v>
      </c>
      <c r="K105" s="3">
        <v>3.0723947198169999</v>
      </c>
      <c r="L105" s="2" t="s">
        <v>363</v>
      </c>
      <c r="M105" s="5"/>
    </row>
    <row r="106" spans="1:13" x14ac:dyDescent="0.2">
      <c r="A106" s="2" t="s">
        <v>213</v>
      </c>
      <c r="B106" s="2" t="s">
        <v>340</v>
      </c>
      <c r="C106" s="2" t="s">
        <v>233</v>
      </c>
      <c r="D106" s="2" t="s">
        <v>234</v>
      </c>
      <c r="E106" s="2" t="s">
        <v>212</v>
      </c>
      <c r="F106" s="3">
        <v>1.0249999999999999</v>
      </c>
      <c r="G106" s="3">
        <v>105.84</v>
      </c>
      <c r="H106" s="3">
        <v>2.6786735005467999</v>
      </c>
      <c r="I106" s="3">
        <v>2.1357100751748002</v>
      </c>
      <c r="J106" s="3">
        <v>3.3698630136986001</v>
      </c>
      <c r="K106" s="3">
        <v>3.0685260692481</v>
      </c>
      <c r="L106" s="2" t="s">
        <v>363</v>
      </c>
      <c r="M106" s="5"/>
    </row>
    <row r="107" spans="1:13" x14ac:dyDescent="0.2">
      <c r="A107" s="2" t="s">
        <v>73</v>
      </c>
      <c r="B107" s="2" t="s">
        <v>341</v>
      </c>
      <c r="C107" s="2" t="s">
        <v>233</v>
      </c>
      <c r="D107" s="2" t="s">
        <v>234</v>
      </c>
      <c r="E107" s="2" t="s">
        <v>214</v>
      </c>
      <c r="F107" s="3">
        <v>1.625</v>
      </c>
      <c r="G107" s="3">
        <v>103.48</v>
      </c>
      <c r="H107" s="3">
        <v>2.2399744604973</v>
      </c>
      <c r="I107" s="3">
        <v>1.7486297863119999</v>
      </c>
      <c r="J107" s="3">
        <v>2.0410958904109999</v>
      </c>
      <c r="K107" s="3">
        <v>1.9140825488891999</v>
      </c>
      <c r="L107" s="2" t="s">
        <v>363</v>
      </c>
      <c r="M107" s="5"/>
    </row>
    <row r="108" spans="1:13" x14ac:dyDescent="0.2">
      <c r="A108" s="2" t="s">
        <v>215</v>
      </c>
      <c r="B108" s="2" t="s">
        <v>342</v>
      </c>
      <c r="C108" s="2" t="s">
        <v>233</v>
      </c>
      <c r="D108" s="2" t="s">
        <v>234</v>
      </c>
      <c r="E108" s="2" t="s">
        <v>214</v>
      </c>
      <c r="F108" s="3">
        <v>1.625</v>
      </c>
      <c r="G108" s="3">
        <v>103.48</v>
      </c>
      <c r="H108" s="3">
        <v>2.4775147265881001</v>
      </c>
      <c r="I108" s="3">
        <v>1.9719611364889</v>
      </c>
      <c r="J108" s="3">
        <v>2.0410958904109999</v>
      </c>
      <c r="K108" s="3">
        <v>1.9097595678563</v>
      </c>
      <c r="L108" s="2" t="s">
        <v>363</v>
      </c>
      <c r="M108" s="5"/>
    </row>
    <row r="109" spans="1:13" x14ac:dyDescent="0.2">
      <c r="A109" s="2" t="s">
        <v>88</v>
      </c>
      <c r="B109" s="2" t="s">
        <v>343</v>
      </c>
      <c r="C109" s="2" t="s">
        <v>233</v>
      </c>
      <c r="D109" s="2" t="s">
        <v>234</v>
      </c>
      <c r="E109" s="2" t="s">
        <v>216</v>
      </c>
      <c r="F109" s="3">
        <v>0.83750000000000002</v>
      </c>
      <c r="G109" s="3">
        <v>103.62</v>
      </c>
      <c r="H109" s="3">
        <v>2.9166743058061999</v>
      </c>
      <c r="I109" s="3">
        <v>2.4590231355357002</v>
      </c>
      <c r="J109" s="3">
        <v>4.9616438356163997</v>
      </c>
      <c r="K109" s="3">
        <v>4.4471959481800996</v>
      </c>
      <c r="L109" s="2" t="s">
        <v>363</v>
      </c>
      <c r="M109" s="5"/>
    </row>
    <row r="110" spans="1:13" x14ac:dyDescent="0.2">
      <c r="A110" s="2" t="s">
        <v>217</v>
      </c>
      <c r="B110" s="2" t="s">
        <v>344</v>
      </c>
      <c r="C110" s="2" t="s">
        <v>233</v>
      </c>
      <c r="D110" s="2" t="s">
        <v>234</v>
      </c>
      <c r="E110" s="2" t="s">
        <v>216</v>
      </c>
      <c r="F110" s="3">
        <v>0.83750000000000002</v>
      </c>
      <c r="G110" s="3">
        <v>103.62</v>
      </c>
      <c r="H110" s="3">
        <v>3.0665527603909002</v>
      </c>
      <c r="I110" s="3">
        <v>2.5949696518988001</v>
      </c>
      <c r="J110" s="3">
        <v>4.9616438356163997</v>
      </c>
      <c r="K110" s="3">
        <v>4.4416757246529004</v>
      </c>
      <c r="L110" s="2" t="s">
        <v>363</v>
      </c>
      <c r="M110" s="5"/>
    </row>
    <row r="111" spans="1:13" x14ac:dyDescent="0.2">
      <c r="A111" s="2" t="s">
        <v>218</v>
      </c>
      <c r="B111" s="2" t="s">
        <v>345</v>
      </c>
      <c r="C111" s="2" t="s">
        <v>233</v>
      </c>
      <c r="D111" s="2" t="s">
        <v>234</v>
      </c>
      <c r="E111" s="2" t="s">
        <v>219</v>
      </c>
      <c r="F111" s="3">
        <v>1.2749999999999999</v>
      </c>
      <c r="G111" s="3">
        <v>101.55</v>
      </c>
      <c r="H111" s="3">
        <v>4.7770662069972998</v>
      </c>
      <c r="I111" s="3">
        <v>4.4487771154568003</v>
      </c>
      <c r="J111" s="3">
        <v>30.983561643836001</v>
      </c>
      <c r="K111" s="3">
        <v>5.7767639438511997</v>
      </c>
      <c r="L111" s="2" t="s">
        <v>363</v>
      </c>
      <c r="M1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aprile</vt:lpstr>
      <vt:lpstr>maggio</vt:lpstr>
      <vt:lpstr>no109</vt:lpstr>
      <vt:lpstr>singolo</vt:lpstr>
      <vt:lpstr>15a</vt:lpstr>
      <vt:lpstr>16a</vt:lpstr>
      <vt:lpstr>17a</vt:lpstr>
      <vt:lpstr>22a</vt:lpstr>
      <vt:lpstr>23a</vt:lpstr>
      <vt:lpstr>24a</vt:lpstr>
      <vt:lpstr>25a</vt:lpstr>
      <vt:lpstr>28</vt:lpstr>
      <vt:lpstr>29</vt:lpstr>
      <vt:lpstr>30</vt:lpstr>
      <vt:lpstr>2</vt:lpstr>
      <vt:lpstr>5</vt:lpstr>
      <vt:lpstr>6</vt:lpstr>
      <vt:lpstr>7</vt:lpstr>
      <vt:lpstr>8</vt:lpstr>
      <vt:lpstr>9</vt:lpstr>
      <vt:lpstr>12</vt:lpstr>
      <vt:lpstr>13</vt:lpstr>
      <vt:lpstr>14</vt:lpstr>
      <vt:lpstr>15</vt:lpstr>
      <vt:lpstr>16</vt:lpstr>
      <vt:lpstr>19</vt:lpstr>
      <vt:lpstr>20</vt:lpstr>
      <vt:lpstr>21</vt:lpstr>
      <vt:lpstr>22</vt:lpstr>
      <vt:lpstr>23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d'amico</dc:creator>
  <cp:lastModifiedBy>marco d'amico</cp:lastModifiedBy>
  <dcterms:created xsi:type="dcterms:W3CDTF">2025-03-16T11:14:42Z</dcterms:created>
  <dcterms:modified xsi:type="dcterms:W3CDTF">2025-06-20T12:29:05Z</dcterms:modified>
</cp:coreProperties>
</file>